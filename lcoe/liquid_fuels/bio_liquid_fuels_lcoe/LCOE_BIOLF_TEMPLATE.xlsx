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liquid_fuels/bio_liquid_fuels_lcoe/"/>
    </mc:Choice>
  </mc:AlternateContent>
  <xr:revisionPtr revIDLastSave="0" documentId="13_ncr:1_{88CFE4C1-4745-CB47-8286-69A598E4DBC8}" xr6:coauthVersionLast="47" xr6:coauthVersionMax="47" xr10:uidLastSave="{00000000-0000-0000-0000-000000000000}"/>
  <bookViews>
    <workbookView xWindow="29400" yWindow="500" windowWidth="38400" windowHeight="23500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5" i="1" l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4" i="1"/>
  <c r="AL4" i="1"/>
  <c r="AK5" i="1"/>
  <c r="AK6" i="1"/>
  <c r="AK7" i="1"/>
  <c r="J6" i="2" s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4" i="1"/>
  <c r="AY4" i="1"/>
  <c r="AW53" i="1"/>
  <c r="BE53" i="1" s="1"/>
  <c r="AW54" i="1"/>
  <c r="BE54" i="1" s="1"/>
  <c r="AW61" i="1"/>
  <c r="BE61" i="1" s="1"/>
  <c r="AW62" i="1"/>
  <c r="BE62" i="1" s="1"/>
  <c r="AW69" i="1"/>
  <c r="BE69" i="1" s="1"/>
  <c r="AW70" i="1"/>
  <c r="BE70" i="1" s="1"/>
  <c r="AW23" i="1"/>
  <c r="BE23" i="1" s="1"/>
  <c r="AW31" i="1"/>
  <c r="BE31" i="1" s="1"/>
  <c r="AW39" i="1"/>
  <c r="BE39" i="1" s="1"/>
  <c r="AW47" i="1"/>
  <c r="BE47" i="1" s="1"/>
  <c r="AY5" i="1"/>
  <c r="AZ5" i="1"/>
  <c r="BA5" i="1"/>
  <c r="BB5" i="1"/>
  <c r="BC5" i="1"/>
  <c r="AY6" i="1"/>
  <c r="AZ6" i="1"/>
  <c r="BA6" i="1"/>
  <c r="BB6" i="1"/>
  <c r="BC6" i="1"/>
  <c r="AY7" i="1"/>
  <c r="AZ7" i="1"/>
  <c r="BA7" i="1"/>
  <c r="BB7" i="1"/>
  <c r="BC7" i="1"/>
  <c r="AY8" i="1"/>
  <c r="AZ8" i="1"/>
  <c r="BA8" i="1"/>
  <c r="BB8" i="1"/>
  <c r="BC8" i="1"/>
  <c r="AY9" i="1"/>
  <c r="AZ9" i="1"/>
  <c r="BA9" i="1"/>
  <c r="BB9" i="1"/>
  <c r="BC9" i="1"/>
  <c r="AY10" i="1"/>
  <c r="AZ10" i="1"/>
  <c r="BA10" i="1"/>
  <c r="BB10" i="1"/>
  <c r="BC10" i="1"/>
  <c r="AY11" i="1"/>
  <c r="AZ11" i="1"/>
  <c r="BA11" i="1"/>
  <c r="BB11" i="1"/>
  <c r="BC11" i="1"/>
  <c r="AY12" i="1"/>
  <c r="AZ12" i="1"/>
  <c r="BA12" i="1"/>
  <c r="BB12" i="1"/>
  <c r="BC12" i="1"/>
  <c r="AY13" i="1"/>
  <c r="AZ13" i="1"/>
  <c r="BA13" i="1"/>
  <c r="BB13" i="1"/>
  <c r="BC13" i="1"/>
  <c r="AY14" i="1"/>
  <c r="AZ14" i="1"/>
  <c r="BA14" i="1"/>
  <c r="BB14" i="1"/>
  <c r="BC14" i="1"/>
  <c r="AY15" i="1"/>
  <c r="AZ15" i="1"/>
  <c r="BA15" i="1"/>
  <c r="BB15" i="1"/>
  <c r="BC15" i="1"/>
  <c r="AY16" i="1"/>
  <c r="AZ16" i="1"/>
  <c r="BA16" i="1"/>
  <c r="BB16" i="1"/>
  <c r="BC16" i="1"/>
  <c r="AY17" i="1"/>
  <c r="AZ17" i="1"/>
  <c r="BA17" i="1"/>
  <c r="BB17" i="1"/>
  <c r="BC17" i="1"/>
  <c r="AY18" i="1"/>
  <c r="AZ18" i="1"/>
  <c r="BA18" i="1"/>
  <c r="BB18" i="1"/>
  <c r="BC18" i="1"/>
  <c r="AY19" i="1"/>
  <c r="AZ19" i="1"/>
  <c r="BA19" i="1"/>
  <c r="BB19" i="1"/>
  <c r="BC19" i="1"/>
  <c r="AY20" i="1"/>
  <c r="AZ20" i="1"/>
  <c r="BA20" i="1"/>
  <c r="BB20" i="1"/>
  <c r="BC20" i="1"/>
  <c r="AY21" i="1"/>
  <c r="AZ21" i="1"/>
  <c r="BA21" i="1"/>
  <c r="BB21" i="1"/>
  <c r="BC21" i="1"/>
  <c r="AY22" i="1"/>
  <c r="AZ22" i="1"/>
  <c r="BA22" i="1"/>
  <c r="BB22" i="1"/>
  <c r="BC22" i="1"/>
  <c r="AY23" i="1"/>
  <c r="AZ23" i="1"/>
  <c r="BA23" i="1"/>
  <c r="BB23" i="1"/>
  <c r="BC23" i="1"/>
  <c r="AY24" i="1"/>
  <c r="AZ24" i="1"/>
  <c r="BA24" i="1"/>
  <c r="BB24" i="1"/>
  <c r="BC24" i="1"/>
  <c r="AY25" i="1"/>
  <c r="AZ25" i="1"/>
  <c r="BA25" i="1"/>
  <c r="BB25" i="1"/>
  <c r="BC25" i="1"/>
  <c r="AY26" i="1"/>
  <c r="AZ26" i="1"/>
  <c r="BA26" i="1"/>
  <c r="BB26" i="1"/>
  <c r="BC26" i="1"/>
  <c r="AY27" i="1"/>
  <c r="AZ27" i="1"/>
  <c r="BA27" i="1"/>
  <c r="BB27" i="1"/>
  <c r="BC27" i="1"/>
  <c r="AY28" i="1"/>
  <c r="AZ28" i="1"/>
  <c r="BA28" i="1"/>
  <c r="BB28" i="1"/>
  <c r="BC28" i="1"/>
  <c r="AY29" i="1"/>
  <c r="AZ29" i="1"/>
  <c r="BA29" i="1"/>
  <c r="BB29" i="1"/>
  <c r="BC29" i="1"/>
  <c r="AY30" i="1"/>
  <c r="AZ30" i="1"/>
  <c r="BA30" i="1"/>
  <c r="BB30" i="1"/>
  <c r="BC30" i="1"/>
  <c r="AY31" i="1"/>
  <c r="AZ31" i="1"/>
  <c r="BA31" i="1"/>
  <c r="BB31" i="1"/>
  <c r="BC31" i="1"/>
  <c r="AY32" i="1"/>
  <c r="AZ32" i="1"/>
  <c r="BA32" i="1"/>
  <c r="BB32" i="1"/>
  <c r="BC32" i="1"/>
  <c r="AY33" i="1"/>
  <c r="AZ33" i="1"/>
  <c r="BA33" i="1"/>
  <c r="BB33" i="1"/>
  <c r="BC33" i="1"/>
  <c r="AY34" i="1"/>
  <c r="AZ34" i="1"/>
  <c r="BA34" i="1"/>
  <c r="BB34" i="1"/>
  <c r="BC34" i="1"/>
  <c r="AY35" i="1"/>
  <c r="AZ35" i="1"/>
  <c r="BA35" i="1"/>
  <c r="BB35" i="1"/>
  <c r="BC35" i="1"/>
  <c r="AY36" i="1"/>
  <c r="AZ36" i="1"/>
  <c r="BA36" i="1"/>
  <c r="BB36" i="1"/>
  <c r="BC36" i="1"/>
  <c r="AY37" i="1"/>
  <c r="AZ37" i="1"/>
  <c r="BA37" i="1"/>
  <c r="BB37" i="1"/>
  <c r="BC37" i="1"/>
  <c r="AY38" i="1"/>
  <c r="AZ38" i="1"/>
  <c r="BA38" i="1"/>
  <c r="BB38" i="1"/>
  <c r="BC38" i="1"/>
  <c r="AY39" i="1"/>
  <c r="AZ39" i="1"/>
  <c r="BA39" i="1"/>
  <c r="BB39" i="1"/>
  <c r="BC39" i="1"/>
  <c r="AY40" i="1"/>
  <c r="AZ40" i="1"/>
  <c r="BA40" i="1"/>
  <c r="BB40" i="1"/>
  <c r="BC40" i="1"/>
  <c r="AY41" i="1"/>
  <c r="AZ41" i="1"/>
  <c r="BA41" i="1"/>
  <c r="BB41" i="1"/>
  <c r="BC41" i="1"/>
  <c r="AY42" i="1"/>
  <c r="AZ42" i="1"/>
  <c r="BA42" i="1"/>
  <c r="BB42" i="1"/>
  <c r="BC42" i="1"/>
  <c r="AY43" i="1"/>
  <c r="AZ43" i="1"/>
  <c r="BA43" i="1"/>
  <c r="BB43" i="1"/>
  <c r="BC43" i="1"/>
  <c r="AY44" i="1"/>
  <c r="AZ44" i="1"/>
  <c r="BA44" i="1"/>
  <c r="BB44" i="1"/>
  <c r="BC44" i="1"/>
  <c r="AY45" i="1"/>
  <c r="AZ45" i="1"/>
  <c r="BA45" i="1"/>
  <c r="BB45" i="1"/>
  <c r="BC45" i="1"/>
  <c r="AY46" i="1"/>
  <c r="AZ46" i="1"/>
  <c r="BA46" i="1"/>
  <c r="BB46" i="1"/>
  <c r="BC46" i="1"/>
  <c r="AY47" i="1"/>
  <c r="AZ47" i="1"/>
  <c r="BA47" i="1"/>
  <c r="BB47" i="1"/>
  <c r="BC47" i="1"/>
  <c r="AY48" i="1"/>
  <c r="AZ48" i="1"/>
  <c r="BA48" i="1"/>
  <c r="BB48" i="1"/>
  <c r="BC48" i="1"/>
  <c r="AY49" i="1"/>
  <c r="AZ49" i="1"/>
  <c r="BA49" i="1"/>
  <c r="BB49" i="1"/>
  <c r="BC49" i="1"/>
  <c r="AY50" i="1"/>
  <c r="AZ50" i="1"/>
  <c r="BA50" i="1"/>
  <c r="BB50" i="1"/>
  <c r="BC50" i="1"/>
  <c r="AY51" i="1"/>
  <c r="AZ51" i="1"/>
  <c r="BA51" i="1"/>
  <c r="BB51" i="1"/>
  <c r="BC51" i="1"/>
  <c r="AY52" i="1"/>
  <c r="AZ52" i="1"/>
  <c r="BA52" i="1"/>
  <c r="BB52" i="1"/>
  <c r="BC52" i="1"/>
  <c r="AY53" i="1"/>
  <c r="AZ53" i="1"/>
  <c r="BA53" i="1"/>
  <c r="BB53" i="1"/>
  <c r="BC53" i="1"/>
  <c r="AY54" i="1"/>
  <c r="AZ54" i="1"/>
  <c r="BA54" i="1"/>
  <c r="BB54" i="1"/>
  <c r="BC54" i="1"/>
  <c r="AY55" i="1"/>
  <c r="AZ55" i="1"/>
  <c r="BA55" i="1"/>
  <c r="BB55" i="1"/>
  <c r="BC55" i="1"/>
  <c r="AY56" i="1"/>
  <c r="AZ56" i="1"/>
  <c r="BA56" i="1"/>
  <c r="BB56" i="1"/>
  <c r="BC56" i="1"/>
  <c r="AY57" i="1"/>
  <c r="AZ57" i="1"/>
  <c r="BA57" i="1"/>
  <c r="BB57" i="1"/>
  <c r="BC57" i="1"/>
  <c r="AY58" i="1"/>
  <c r="AZ58" i="1"/>
  <c r="BA58" i="1"/>
  <c r="BB58" i="1"/>
  <c r="BC58" i="1"/>
  <c r="AY59" i="1"/>
  <c r="AZ59" i="1"/>
  <c r="BA59" i="1"/>
  <c r="BB59" i="1"/>
  <c r="BC59" i="1"/>
  <c r="AY60" i="1"/>
  <c r="AZ60" i="1"/>
  <c r="BA60" i="1"/>
  <c r="BB60" i="1"/>
  <c r="BC60" i="1"/>
  <c r="AY61" i="1"/>
  <c r="AZ61" i="1"/>
  <c r="BA61" i="1"/>
  <c r="BB61" i="1"/>
  <c r="BC61" i="1"/>
  <c r="AY62" i="1"/>
  <c r="AZ62" i="1"/>
  <c r="BA62" i="1"/>
  <c r="BB62" i="1"/>
  <c r="BC62" i="1"/>
  <c r="AY63" i="1"/>
  <c r="AZ63" i="1"/>
  <c r="BA63" i="1"/>
  <c r="BB63" i="1"/>
  <c r="BC63" i="1"/>
  <c r="AY64" i="1"/>
  <c r="AZ64" i="1"/>
  <c r="BA64" i="1"/>
  <c r="BB64" i="1"/>
  <c r="BC64" i="1"/>
  <c r="AY65" i="1"/>
  <c r="AZ65" i="1"/>
  <c r="BA65" i="1"/>
  <c r="BB65" i="1"/>
  <c r="BC65" i="1"/>
  <c r="AY66" i="1"/>
  <c r="AZ66" i="1"/>
  <c r="BA66" i="1"/>
  <c r="BB66" i="1"/>
  <c r="BC66" i="1"/>
  <c r="AY67" i="1"/>
  <c r="AZ67" i="1"/>
  <c r="BA67" i="1"/>
  <c r="BB67" i="1"/>
  <c r="BC67" i="1"/>
  <c r="AY68" i="1"/>
  <c r="AZ68" i="1"/>
  <c r="BA68" i="1"/>
  <c r="BB68" i="1"/>
  <c r="BC68" i="1"/>
  <c r="AY69" i="1"/>
  <c r="AZ69" i="1"/>
  <c r="BA69" i="1"/>
  <c r="BB69" i="1"/>
  <c r="BC69" i="1"/>
  <c r="AY70" i="1"/>
  <c r="AZ70" i="1"/>
  <c r="BA70" i="1"/>
  <c r="BB70" i="1"/>
  <c r="BC70" i="1"/>
  <c r="AY71" i="1"/>
  <c r="AZ71" i="1"/>
  <c r="BA71" i="1"/>
  <c r="BB71" i="1"/>
  <c r="BC71" i="1"/>
  <c r="AY72" i="1"/>
  <c r="AZ72" i="1"/>
  <c r="BA72" i="1"/>
  <c r="BB72" i="1"/>
  <c r="BC72" i="1"/>
  <c r="AY73" i="1"/>
  <c r="AZ73" i="1"/>
  <c r="BA73" i="1"/>
  <c r="BB73" i="1"/>
  <c r="BC73" i="1"/>
  <c r="AY74" i="1"/>
  <c r="AZ74" i="1"/>
  <c r="BA74" i="1"/>
  <c r="BB74" i="1"/>
  <c r="BC74" i="1"/>
  <c r="AY75" i="1"/>
  <c r="AZ75" i="1"/>
  <c r="BA75" i="1"/>
  <c r="BB75" i="1"/>
  <c r="BC75" i="1"/>
  <c r="BC4" i="1"/>
  <c r="BB4" i="1"/>
  <c r="AZ4" i="1"/>
  <c r="BA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4" i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3" i="2"/>
  <c r="J3" i="2"/>
  <c r="AG75" i="1"/>
  <c r="G74" i="2" s="1"/>
  <c r="F74" i="2"/>
  <c r="AF42" i="1" a="1"/>
  <c r="AF42" i="1" s="1"/>
  <c r="E41" i="2" s="1"/>
  <c r="AF43" i="1" a="1"/>
  <c r="AF43" i="1" s="1"/>
  <c r="E42" i="2" s="1"/>
  <c r="AF44" i="1" a="1"/>
  <c r="AF44" i="1" s="1"/>
  <c r="E43" i="2" s="1"/>
  <c r="AF45" i="1" a="1"/>
  <c r="AF45" i="1" s="1"/>
  <c r="E44" i="2" s="1"/>
  <c r="AF46" i="1" a="1"/>
  <c r="AF46" i="1" s="1"/>
  <c r="E45" i="2" s="1"/>
  <c r="AF47" i="1" a="1"/>
  <c r="AF47" i="1" s="1"/>
  <c r="E46" i="2" s="1"/>
  <c r="AF48" i="1" a="1"/>
  <c r="AF48" i="1" s="1"/>
  <c r="E47" i="2" s="1"/>
  <c r="AF49" i="1" a="1"/>
  <c r="AF49" i="1" s="1"/>
  <c r="E48" i="2" s="1"/>
  <c r="AF50" i="1" a="1"/>
  <c r="AF50" i="1" s="1"/>
  <c r="E49" i="2" s="1"/>
  <c r="AF51" i="1" a="1"/>
  <c r="AF51" i="1" s="1"/>
  <c r="E50" i="2" s="1"/>
  <c r="AF52" i="1" a="1"/>
  <c r="AF52" i="1" s="1"/>
  <c r="E51" i="2" s="1"/>
  <c r="AF53" i="1" a="1"/>
  <c r="AF53" i="1" s="1"/>
  <c r="E52" i="2" s="1"/>
  <c r="AF54" i="1" a="1"/>
  <c r="AF54" i="1" s="1"/>
  <c r="E53" i="2" s="1"/>
  <c r="AF55" i="1" a="1"/>
  <c r="AF55" i="1" s="1"/>
  <c r="E54" i="2" s="1"/>
  <c r="AF56" i="1" a="1"/>
  <c r="AF56" i="1" s="1"/>
  <c r="E55" i="2" s="1"/>
  <c r="AF57" i="1" a="1"/>
  <c r="AF57" i="1" s="1"/>
  <c r="E56" i="2" s="1"/>
  <c r="AF58" i="1" a="1"/>
  <c r="AF58" i="1" s="1"/>
  <c r="E57" i="2" s="1"/>
  <c r="AF59" i="1" a="1"/>
  <c r="AF59" i="1" s="1"/>
  <c r="E58" i="2" s="1"/>
  <c r="AF60" i="1" a="1"/>
  <c r="AF60" i="1" s="1"/>
  <c r="E59" i="2" s="1"/>
  <c r="AF61" i="1" a="1"/>
  <c r="AF61" i="1" s="1"/>
  <c r="E60" i="2" s="1"/>
  <c r="AF62" i="1" a="1"/>
  <c r="AF62" i="1" s="1"/>
  <c r="E61" i="2" s="1"/>
  <c r="AF63" i="1" a="1"/>
  <c r="AF63" i="1" s="1"/>
  <c r="E62" i="2" s="1"/>
  <c r="AF64" i="1" a="1"/>
  <c r="AF64" i="1" s="1"/>
  <c r="E63" i="2" s="1"/>
  <c r="AF65" i="1" a="1"/>
  <c r="AF65" i="1" s="1"/>
  <c r="E64" i="2" s="1"/>
  <c r="AF66" i="1" a="1"/>
  <c r="AF66" i="1" s="1"/>
  <c r="E65" i="2" s="1"/>
  <c r="AF67" i="1" a="1"/>
  <c r="AF67" i="1" s="1"/>
  <c r="E66" i="2" s="1"/>
  <c r="AF68" i="1" a="1"/>
  <c r="AF68" i="1" s="1"/>
  <c r="E67" i="2" s="1"/>
  <c r="AF69" i="1" a="1"/>
  <c r="AF69" i="1" s="1"/>
  <c r="E68" i="2" s="1"/>
  <c r="AF70" i="1" a="1"/>
  <c r="AF70" i="1" s="1"/>
  <c r="E69" i="2" s="1"/>
  <c r="AF71" i="1" a="1"/>
  <c r="AF71" i="1" s="1"/>
  <c r="E70" i="2" s="1"/>
  <c r="AF72" i="1" a="1"/>
  <c r="AF72" i="1" s="1"/>
  <c r="E71" i="2" s="1"/>
  <c r="AF73" i="1" a="1"/>
  <c r="AF73" i="1" s="1"/>
  <c r="E72" i="2" s="1"/>
  <c r="AF74" i="1" a="1"/>
  <c r="AF74" i="1" s="1"/>
  <c r="E73" i="2" s="1"/>
  <c r="AF75" i="1" a="1"/>
  <c r="AF75" i="1" s="1"/>
  <c r="E74" i="2" s="1"/>
  <c r="AF5" i="1" a="1"/>
  <c r="AF5" i="1" s="1"/>
  <c r="E4" i="2" s="1"/>
  <c r="AF6" i="1" a="1"/>
  <c r="AF6" i="1" s="1"/>
  <c r="E5" i="2" s="1"/>
  <c r="AF7" i="1" a="1"/>
  <c r="AF7" i="1" s="1"/>
  <c r="E6" i="2" s="1"/>
  <c r="AF8" i="1" a="1"/>
  <c r="AF8" i="1" s="1"/>
  <c r="E7" i="2" s="1"/>
  <c r="AF9" i="1" a="1"/>
  <c r="AF9" i="1" s="1"/>
  <c r="E8" i="2" s="1"/>
  <c r="AF10" i="1" a="1"/>
  <c r="AF10" i="1" s="1"/>
  <c r="E9" i="2" s="1"/>
  <c r="AF11" i="1" a="1"/>
  <c r="AF11" i="1" s="1"/>
  <c r="E10" i="2" s="1"/>
  <c r="AF12" i="1" a="1"/>
  <c r="AF12" i="1" s="1"/>
  <c r="E11" i="2" s="1"/>
  <c r="AF13" i="1" a="1"/>
  <c r="AF13" i="1" s="1"/>
  <c r="E12" i="2" s="1"/>
  <c r="AF14" i="1" a="1"/>
  <c r="AF14" i="1" s="1"/>
  <c r="E13" i="2" s="1"/>
  <c r="AF15" i="1" a="1"/>
  <c r="AF15" i="1" s="1"/>
  <c r="E14" i="2" s="1"/>
  <c r="AF16" i="1" a="1"/>
  <c r="AF16" i="1" s="1"/>
  <c r="E15" i="2" s="1"/>
  <c r="AF17" i="1" a="1"/>
  <c r="AF17" i="1" s="1"/>
  <c r="E16" i="2" s="1"/>
  <c r="AF18" i="1" a="1"/>
  <c r="AF18" i="1" s="1"/>
  <c r="E17" i="2" s="1"/>
  <c r="AF19" i="1" a="1"/>
  <c r="AF19" i="1" s="1"/>
  <c r="E18" i="2" s="1"/>
  <c r="AF20" i="1" a="1"/>
  <c r="AF20" i="1" s="1"/>
  <c r="E19" i="2" s="1"/>
  <c r="AF21" i="1" a="1"/>
  <c r="AF21" i="1" s="1"/>
  <c r="E20" i="2" s="1"/>
  <c r="AF22" i="1" a="1"/>
  <c r="AF22" i="1" s="1"/>
  <c r="E21" i="2" s="1"/>
  <c r="AF23" i="1" a="1"/>
  <c r="AF23" i="1" s="1"/>
  <c r="E22" i="2" s="1"/>
  <c r="AF24" i="1" a="1"/>
  <c r="AF24" i="1" s="1"/>
  <c r="E23" i="2" s="1"/>
  <c r="AF25" i="1" a="1"/>
  <c r="AF25" i="1" s="1"/>
  <c r="E24" i="2" s="1"/>
  <c r="AF26" i="1" a="1"/>
  <c r="AF26" i="1" s="1"/>
  <c r="E25" i="2" s="1"/>
  <c r="AF27" i="1" a="1"/>
  <c r="AF27" i="1" s="1"/>
  <c r="E26" i="2" s="1"/>
  <c r="AF28" i="1" a="1"/>
  <c r="AF28" i="1" s="1"/>
  <c r="E27" i="2" s="1"/>
  <c r="AF29" i="1" a="1"/>
  <c r="AF29" i="1" s="1"/>
  <c r="E28" i="2" s="1"/>
  <c r="AF30" i="1" a="1"/>
  <c r="AF30" i="1" s="1"/>
  <c r="E29" i="2" s="1"/>
  <c r="AF31" i="1" a="1"/>
  <c r="AF31" i="1" s="1"/>
  <c r="E30" i="2" s="1"/>
  <c r="AF32" i="1" a="1"/>
  <c r="AF32" i="1" s="1"/>
  <c r="E31" i="2" s="1"/>
  <c r="AF33" i="1" a="1"/>
  <c r="AF33" i="1" s="1"/>
  <c r="E32" i="2" s="1"/>
  <c r="AF34" i="1" a="1"/>
  <c r="AF34" i="1" s="1"/>
  <c r="E33" i="2" s="1"/>
  <c r="AF35" i="1" a="1"/>
  <c r="AF35" i="1" s="1"/>
  <c r="E34" i="2" s="1"/>
  <c r="AF36" i="1" a="1"/>
  <c r="AF36" i="1" s="1"/>
  <c r="E35" i="2" s="1"/>
  <c r="AF37" i="1" a="1"/>
  <c r="AF37" i="1" s="1"/>
  <c r="E36" i="2" s="1"/>
  <c r="AF38" i="1" a="1"/>
  <c r="AF38" i="1" s="1"/>
  <c r="E37" i="2" s="1"/>
  <c r="AF39" i="1" a="1"/>
  <c r="AF39" i="1" s="1"/>
  <c r="E38" i="2" s="1"/>
  <c r="AF40" i="1" a="1"/>
  <c r="AF40" i="1" s="1"/>
  <c r="E39" i="2" s="1"/>
  <c r="AF41" i="1" a="1"/>
  <c r="AF41" i="1" s="1"/>
  <c r="E40" i="2" s="1"/>
  <c r="AF4" i="1" a="1"/>
  <c r="AF4" i="1" s="1"/>
  <c r="E3" i="2" s="1"/>
  <c r="AE4" i="1"/>
  <c r="D3" i="2" s="1"/>
  <c r="AD4" i="1"/>
  <c r="C3" i="2" s="1"/>
  <c r="J4" i="2"/>
  <c r="J5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AQ75" i="1"/>
  <c r="AW75" i="1" s="1"/>
  <c r="BE75" i="1" s="1"/>
  <c r="AI75" i="1"/>
  <c r="I74" i="2" s="1"/>
  <c r="AH75" i="1"/>
  <c r="H74" i="2" s="1"/>
  <c r="AE75" i="1"/>
  <c r="D74" i="2" s="1"/>
  <c r="AD75" i="1"/>
  <c r="C74" i="2" s="1"/>
  <c r="Z75" i="1"/>
  <c r="Y75" i="1"/>
  <c r="AQ74" i="1"/>
  <c r="AW74" i="1" s="1"/>
  <c r="BE74" i="1" s="1"/>
  <c r="AI74" i="1"/>
  <c r="I73" i="2" s="1"/>
  <c r="AH74" i="1"/>
  <c r="H73" i="2" s="1"/>
  <c r="AG74" i="1"/>
  <c r="G73" i="2" s="1"/>
  <c r="F73" i="2"/>
  <c r="AE74" i="1"/>
  <c r="D73" i="2" s="1"/>
  <c r="AD74" i="1"/>
  <c r="C73" i="2" s="1"/>
  <c r="Z74" i="1"/>
  <c r="Y74" i="1"/>
  <c r="AQ73" i="1"/>
  <c r="AW73" i="1" s="1"/>
  <c r="BE73" i="1" s="1"/>
  <c r="AI73" i="1"/>
  <c r="I72" i="2" s="1"/>
  <c r="AH73" i="1"/>
  <c r="H72" i="2" s="1"/>
  <c r="AG73" i="1"/>
  <c r="G72" i="2" s="1"/>
  <c r="F72" i="2"/>
  <c r="AE73" i="1"/>
  <c r="D72" i="2" s="1"/>
  <c r="AD73" i="1"/>
  <c r="C72" i="2" s="1"/>
  <c r="Z73" i="1"/>
  <c r="Y73" i="1"/>
  <c r="AQ72" i="1"/>
  <c r="AW72" i="1" s="1"/>
  <c r="BE72" i="1" s="1"/>
  <c r="AI72" i="1"/>
  <c r="I71" i="2" s="1"/>
  <c r="AH72" i="1"/>
  <c r="H71" i="2" s="1"/>
  <c r="AG72" i="1"/>
  <c r="G71" i="2" s="1"/>
  <c r="F71" i="2"/>
  <c r="AE72" i="1"/>
  <c r="D71" i="2" s="1"/>
  <c r="AD72" i="1"/>
  <c r="C71" i="2" s="1"/>
  <c r="Z72" i="1"/>
  <c r="Y72" i="1"/>
  <c r="AQ71" i="1"/>
  <c r="AW71" i="1" s="1"/>
  <c r="BE71" i="1" s="1"/>
  <c r="AI71" i="1"/>
  <c r="I70" i="2" s="1"/>
  <c r="AH71" i="1"/>
  <c r="H70" i="2" s="1"/>
  <c r="AG71" i="1"/>
  <c r="G70" i="2" s="1"/>
  <c r="F70" i="2"/>
  <c r="AE71" i="1"/>
  <c r="D70" i="2" s="1"/>
  <c r="AD71" i="1"/>
  <c r="C70" i="2" s="1"/>
  <c r="Z71" i="1"/>
  <c r="Y71" i="1"/>
  <c r="AQ70" i="1"/>
  <c r="AI70" i="1"/>
  <c r="I69" i="2" s="1"/>
  <c r="AH70" i="1"/>
  <c r="H69" i="2" s="1"/>
  <c r="AG70" i="1"/>
  <c r="G69" i="2" s="1"/>
  <c r="F69" i="2"/>
  <c r="AE70" i="1"/>
  <c r="D69" i="2" s="1"/>
  <c r="AD70" i="1"/>
  <c r="C69" i="2" s="1"/>
  <c r="Z70" i="1"/>
  <c r="Y70" i="1"/>
  <c r="AQ69" i="1"/>
  <c r="AI69" i="1"/>
  <c r="I68" i="2" s="1"/>
  <c r="AH69" i="1"/>
  <c r="H68" i="2" s="1"/>
  <c r="AG69" i="1"/>
  <c r="G68" i="2" s="1"/>
  <c r="F68" i="2"/>
  <c r="AE69" i="1"/>
  <c r="D68" i="2" s="1"/>
  <c r="AD69" i="1"/>
  <c r="C68" i="2" s="1"/>
  <c r="Z69" i="1"/>
  <c r="Y69" i="1"/>
  <c r="AQ68" i="1"/>
  <c r="AW68" i="1" s="1"/>
  <c r="BE68" i="1" s="1"/>
  <c r="AI68" i="1"/>
  <c r="I67" i="2" s="1"/>
  <c r="AH68" i="1"/>
  <c r="H67" i="2" s="1"/>
  <c r="AG68" i="1"/>
  <c r="G67" i="2" s="1"/>
  <c r="F67" i="2"/>
  <c r="AE68" i="1"/>
  <c r="D67" i="2" s="1"/>
  <c r="AD68" i="1"/>
  <c r="C67" i="2" s="1"/>
  <c r="Z68" i="1"/>
  <c r="Y68" i="1"/>
  <c r="AQ67" i="1"/>
  <c r="AW67" i="1" s="1"/>
  <c r="BE67" i="1" s="1"/>
  <c r="AI67" i="1"/>
  <c r="I66" i="2" s="1"/>
  <c r="AH67" i="1"/>
  <c r="H66" i="2" s="1"/>
  <c r="AG67" i="1"/>
  <c r="G66" i="2" s="1"/>
  <c r="F66" i="2"/>
  <c r="AE67" i="1"/>
  <c r="D66" i="2" s="1"/>
  <c r="AD67" i="1"/>
  <c r="C66" i="2" s="1"/>
  <c r="Z67" i="1"/>
  <c r="Y67" i="1"/>
  <c r="AQ66" i="1"/>
  <c r="AW66" i="1" s="1"/>
  <c r="BE66" i="1" s="1"/>
  <c r="AI66" i="1"/>
  <c r="I65" i="2" s="1"/>
  <c r="AH66" i="1"/>
  <c r="H65" i="2" s="1"/>
  <c r="AG66" i="1"/>
  <c r="G65" i="2" s="1"/>
  <c r="F65" i="2"/>
  <c r="AE66" i="1"/>
  <c r="D65" i="2" s="1"/>
  <c r="AD66" i="1"/>
  <c r="C65" i="2" s="1"/>
  <c r="Z66" i="1"/>
  <c r="Y66" i="1"/>
  <c r="AQ65" i="1"/>
  <c r="AW65" i="1" s="1"/>
  <c r="BE65" i="1" s="1"/>
  <c r="AI65" i="1"/>
  <c r="I64" i="2" s="1"/>
  <c r="AH65" i="1"/>
  <c r="H64" i="2" s="1"/>
  <c r="AG65" i="1"/>
  <c r="G64" i="2" s="1"/>
  <c r="F64" i="2"/>
  <c r="AE65" i="1"/>
  <c r="D64" i="2" s="1"/>
  <c r="AD65" i="1"/>
  <c r="C64" i="2" s="1"/>
  <c r="Z65" i="1"/>
  <c r="Y65" i="1"/>
  <c r="AQ64" i="1"/>
  <c r="AW64" i="1" s="1"/>
  <c r="BE64" i="1" s="1"/>
  <c r="AI64" i="1"/>
  <c r="I63" i="2" s="1"/>
  <c r="AH64" i="1"/>
  <c r="H63" i="2" s="1"/>
  <c r="AG64" i="1"/>
  <c r="G63" i="2" s="1"/>
  <c r="F63" i="2"/>
  <c r="AE64" i="1"/>
  <c r="D63" i="2" s="1"/>
  <c r="AD64" i="1"/>
  <c r="C63" i="2" s="1"/>
  <c r="Z64" i="1"/>
  <c r="Y64" i="1"/>
  <c r="AQ63" i="1"/>
  <c r="AW63" i="1" s="1"/>
  <c r="BE63" i="1" s="1"/>
  <c r="AI63" i="1"/>
  <c r="I62" i="2" s="1"/>
  <c r="AH63" i="1"/>
  <c r="H62" i="2" s="1"/>
  <c r="AG63" i="1"/>
  <c r="G62" i="2" s="1"/>
  <c r="F62" i="2"/>
  <c r="AE63" i="1"/>
  <c r="D62" i="2" s="1"/>
  <c r="AD63" i="1"/>
  <c r="C62" i="2" s="1"/>
  <c r="Z63" i="1"/>
  <c r="Y63" i="1"/>
  <c r="AQ62" i="1"/>
  <c r="AI62" i="1"/>
  <c r="I61" i="2" s="1"/>
  <c r="AH62" i="1"/>
  <c r="H61" i="2" s="1"/>
  <c r="AG62" i="1"/>
  <c r="G61" i="2" s="1"/>
  <c r="F61" i="2"/>
  <c r="AE62" i="1"/>
  <c r="D61" i="2" s="1"/>
  <c r="AD62" i="1"/>
  <c r="C61" i="2" s="1"/>
  <c r="Z62" i="1"/>
  <c r="Y62" i="1"/>
  <c r="AQ61" i="1"/>
  <c r="AI61" i="1"/>
  <c r="I60" i="2" s="1"/>
  <c r="AH61" i="1"/>
  <c r="H60" i="2" s="1"/>
  <c r="AG61" i="1"/>
  <c r="G60" i="2" s="1"/>
  <c r="F60" i="2"/>
  <c r="AE61" i="1"/>
  <c r="D60" i="2" s="1"/>
  <c r="AD61" i="1"/>
  <c r="C60" i="2" s="1"/>
  <c r="Z61" i="1"/>
  <c r="Y61" i="1"/>
  <c r="AQ60" i="1"/>
  <c r="AW60" i="1" s="1"/>
  <c r="BE60" i="1" s="1"/>
  <c r="AI60" i="1"/>
  <c r="I59" i="2" s="1"/>
  <c r="AH60" i="1"/>
  <c r="H59" i="2" s="1"/>
  <c r="AG60" i="1"/>
  <c r="G59" i="2" s="1"/>
  <c r="F59" i="2"/>
  <c r="AE60" i="1"/>
  <c r="D59" i="2" s="1"/>
  <c r="AD60" i="1"/>
  <c r="C59" i="2" s="1"/>
  <c r="Z60" i="1"/>
  <c r="Y60" i="1"/>
  <c r="AQ59" i="1"/>
  <c r="AW59" i="1" s="1"/>
  <c r="BE59" i="1" s="1"/>
  <c r="AI59" i="1"/>
  <c r="I58" i="2" s="1"/>
  <c r="AH59" i="1"/>
  <c r="H58" i="2" s="1"/>
  <c r="AG59" i="1"/>
  <c r="G58" i="2" s="1"/>
  <c r="F58" i="2"/>
  <c r="AE59" i="1"/>
  <c r="D58" i="2" s="1"/>
  <c r="AD59" i="1"/>
  <c r="C58" i="2" s="1"/>
  <c r="Z59" i="1"/>
  <c r="Y59" i="1"/>
  <c r="AQ58" i="1"/>
  <c r="AW58" i="1" s="1"/>
  <c r="BE58" i="1" s="1"/>
  <c r="AI58" i="1"/>
  <c r="I57" i="2" s="1"/>
  <c r="AH58" i="1"/>
  <c r="H57" i="2" s="1"/>
  <c r="AG58" i="1"/>
  <c r="G57" i="2" s="1"/>
  <c r="F57" i="2"/>
  <c r="AE58" i="1"/>
  <c r="D57" i="2" s="1"/>
  <c r="AD58" i="1"/>
  <c r="C57" i="2" s="1"/>
  <c r="Z58" i="1"/>
  <c r="Y58" i="1"/>
  <c r="AQ57" i="1"/>
  <c r="AW57" i="1" s="1"/>
  <c r="BE57" i="1" s="1"/>
  <c r="AI57" i="1"/>
  <c r="I56" i="2" s="1"/>
  <c r="AH57" i="1"/>
  <c r="H56" i="2" s="1"/>
  <c r="AG57" i="1"/>
  <c r="G56" i="2" s="1"/>
  <c r="F56" i="2"/>
  <c r="AE57" i="1"/>
  <c r="D56" i="2" s="1"/>
  <c r="AD57" i="1"/>
  <c r="C56" i="2" s="1"/>
  <c r="Z57" i="1"/>
  <c r="Y57" i="1"/>
  <c r="AQ56" i="1"/>
  <c r="AW56" i="1" s="1"/>
  <c r="BE56" i="1" s="1"/>
  <c r="AI56" i="1"/>
  <c r="I55" i="2" s="1"/>
  <c r="AH56" i="1"/>
  <c r="H55" i="2" s="1"/>
  <c r="AG56" i="1"/>
  <c r="G55" i="2" s="1"/>
  <c r="F55" i="2"/>
  <c r="AE56" i="1"/>
  <c r="D55" i="2" s="1"/>
  <c r="AD56" i="1"/>
  <c r="C55" i="2" s="1"/>
  <c r="Z56" i="1"/>
  <c r="Y56" i="1"/>
  <c r="AQ55" i="1"/>
  <c r="AW55" i="1" s="1"/>
  <c r="BE55" i="1" s="1"/>
  <c r="AI55" i="1"/>
  <c r="I54" i="2" s="1"/>
  <c r="AH55" i="1"/>
  <c r="H54" i="2" s="1"/>
  <c r="AG55" i="1"/>
  <c r="G54" i="2" s="1"/>
  <c r="F54" i="2"/>
  <c r="AE55" i="1"/>
  <c r="D54" i="2" s="1"/>
  <c r="AD55" i="1"/>
  <c r="C54" i="2" s="1"/>
  <c r="Z55" i="1"/>
  <c r="Y55" i="1"/>
  <c r="AQ54" i="1"/>
  <c r="AI54" i="1"/>
  <c r="I53" i="2" s="1"/>
  <c r="AH54" i="1"/>
  <c r="H53" i="2" s="1"/>
  <c r="AG54" i="1"/>
  <c r="G53" i="2" s="1"/>
  <c r="F53" i="2"/>
  <c r="AE54" i="1"/>
  <c r="D53" i="2" s="1"/>
  <c r="AD54" i="1"/>
  <c r="C53" i="2" s="1"/>
  <c r="Z54" i="1"/>
  <c r="Y54" i="1"/>
  <c r="AQ53" i="1"/>
  <c r="AI53" i="1"/>
  <c r="I52" i="2" s="1"/>
  <c r="AH53" i="1"/>
  <c r="H52" i="2" s="1"/>
  <c r="AG53" i="1"/>
  <c r="G52" i="2" s="1"/>
  <c r="F52" i="2"/>
  <c r="AE53" i="1"/>
  <c r="D52" i="2" s="1"/>
  <c r="AD53" i="1"/>
  <c r="C52" i="2" s="1"/>
  <c r="Z53" i="1"/>
  <c r="Y53" i="1"/>
  <c r="AQ52" i="1"/>
  <c r="AW52" i="1" s="1"/>
  <c r="BE52" i="1" s="1"/>
  <c r="AI52" i="1"/>
  <c r="I51" i="2" s="1"/>
  <c r="AH52" i="1"/>
  <c r="H51" i="2" s="1"/>
  <c r="AG52" i="1"/>
  <c r="G51" i="2" s="1"/>
  <c r="F51" i="2"/>
  <c r="AE52" i="1"/>
  <c r="D51" i="2" s="1"/>
  <c r="AD52" i="1"/>
  <c r="C51" i="2" s="1"/>
  <c r="Z52" i="1"/>
  <c r="Y52" i="1"/>
  <c r="AQ51" i="1"/>
  <c r="AW51" i="1" s="1"/>
  <c r="BE51" i="1" s="1"/>
  <c r="AI51" i="1"/>
  <c r="I50" i="2" s="1"/>
  <c r="AH51" i="1"/>
  <c r="H50" i="2" s="1"/>
  <c r="AG51" i="1"/>
  <c r="G50" i="2" s="1"/>
  <c r="F50" i="2"/>
  <c r="AE51" i="1"/>
  <c r="D50" i="2" s="1"/>
  <c r="AD51" i="1"/>
  <c r="C50" i="2" s="1"/>
  <c r="Z51" i="1"/>
  <c r="Y51" i="1"/>
  <c r="AQ50" i="1"/>
  <c r="AW50" i="1" s="1"/>
  <c r="BE50" i="1" s="1"/>
  <c r="AI50" i="1"/>
  <c r="I49" i="2" s="1"/>
  <c r="AH50" i="1"/>
  <c r="H49" i="2" s="1"/>
  <c r="AG50" i="1"/>
  <c r="G49" i="2" s="1"/>
  <c r="F49" i="2"/>
  <c r="AE50" i="1"/>
  <c r="D49" i="2" s="1"/>
  <c r="AD50" i="1"/>
  <c r="C49" i="2" s="1"/>
  <c r="Z50" i="1"/>
  <c r="Y50" i="1"/>
  <c r="AQ49" i="1"/>
  <c r="AW49" i="1" s="1"/>
  <c r="BE49" i="1" s="1"/>
  <c r="AI49" i="1"/>
  <c r="I48" i="2" s="1"/>
  <c r="AH49" i="1"/>
  <c r="H48" i="2" s="1"/>
  <c r="AG49" i="1"/>
  <c r="G48" i="2" s="1"/>
  <c r="F48" i="2"/>
  <c r="AE49" i="1"/>
  <c r="D48" i="2" s="1"/>
  <c r="AD49" i="1"/>
  <c r="C48" i="2" s="1"/>
  <c r="Z49" i="1"/>
  <c r="Y49" i="1"/>
  <c r="AQ48" i="1"/>
  <c r="AW48" i="1" s="1"/>
  <c r="BE48" i="1" s="1"/>
  <c r="AI48" i="1"/>
  <c r="I47" i="2" s="1"/>
  <c r="AH48" i="1"/>
  <c r="H47" i="2" s="1"/>
  <c r="AG48" i="1"/>
  <c r="G47" i="2" s="1"/>
  <c r="F47" i="2"/>
  <c r="AE48" i="1"/>
  <c r="D47" i="2" s="1"/>
  <c r="AD48" i="1"/>
  <c r="C47" i="2" s="1"/>
  <c r="Z48" i="1"/>
  <c r="Y48" i="1"/>
  <c r="AQ47" i="1"/>
  <c r="AI47" i="1"/>
  <c r="I46" i="2" s="1"/>
  <c r="AH47" i="1"/>
  <c r="H46" i="2" s="1"/>
  <c r="AG47" i="1"/>
  <c r="G46" i="2" s="1"/>
  <c r="F46" i="2"/>
  <c r="AE47" i="1"/>
  <c r="D46" i="2" s="1"/>
  <c r="AD47" i="1"/>
  <c r="C46" i="2" s="1"/>
  <c r="Z47" i="1"/>
  <c r="Y47" i="1"/>
  <c r="AQ46" i="1"/>
  <c r="AW46" i="1" s="1"/>
  <c r="BE46" i="1" s="1"/>
  <c r="AI46" i="1"/>
  <c r="I45" i="2" s="1"/>
  <c r="AH46" i="1"/>
  <c r="H45" i="2" s="1"/>
  <c r="AG46" i="1"/>
  <c r="G45" i="2" s="1"/>
  <c r="F45" i="2"/>
  <c r="AE46" i="1"/>
  <c r="D45" i="2" s="1"/>
  <c r="AD46" i="1"/>
  <c r="C45" i="2" s="1"/>
  <c r="Z46" i="1"/>
  <c r="Y46" i="1"/>
  <c r="AQ45" i="1"/>
  <c r="AW45" i="1" s="1"/>
  <c r="BE45" i="1" s="1"/>
  <c r="AI45" i="1"/>
  <c r="I44" i="2" s="1"/>
  <c r="AH45" i="1"/>
  <c r="H44" i="2" s="1"/>
  <c r="AG45" i="1"/>
  <c r="G44" i="2" s="1"/>
  <c r="F44" i="2"/>
  <c r="AE45" i="1"/>
  <c r="D44" i="2" s="1"/>
  <c r="AD45" i="1"/>
  <c r="C44" i="2" s="1"/>
  <c r="Z45" i="1"/>
  <c r="Y45" i="1"/>
  <c r="AQ44" i="1"/>
  <c r="AW44" i="1" s="1"/>
  <c r="BE44" i="1" s="1"/>
  <c r="AI44" i="1"/>
  <c r="I43" i="2" s="1"/>
  <c r="AH44" i="1"/>
  <c r="H43" i="2" s="1"/>
  <c r="AG44" i="1"/>
  <c r="G43" i="2" s="1"/>
  <c r="F43" i="2"/>
  <c r="AE44" i="1"/>
  <c r="D43" i="2" s="1"/>
  <c r="AD44" i="1"/>
  <c r="C43" i="2" s="1"/>
  <c r="Z44" i="1"/>
  <c r="Y44" i="1"/>
  <c r="AQ43" i="1"/>
  <c r="AW43" i="1" s="1"/>
  <c r="BE43" i="1" s="1"/>
  <c r="AI43" i="1"/>
  <c r="I42" i="2" s="1"/>
  <c r="AH43" i="1"/>
  <c r="H42" i="2" s="1"/>
  <c r="AG43" i="1"/>
  <c r="G42" i="2" s="1"/>
  <c r="F42" i="2"/>
  <c r="AE43" i="1"/>
  <c r="D42" i="2" s="1"/>
  <c r="AD43" i="1"/>
  <c r="C42" i="2" s="1"/>
  <c r="Z43" i="1"/>
  <c r="Y43" i="1"/>
  <c r="AQ42" i="1"/>
  <c r="AW42" i="1" s="1"/>
  <c r="BE42" i="1" s="1"/>
  <c r="AI42" i="1"/>
  <c r="I41" i="2" s="1"/>
  <c r="AH42" i="1"/>
  <c r="H41" i="2" s="1"/>
  <c r="AG42" i="1"/>
  <c r="G41" i="2" s="1"/>
  <c r="F41" i="2"/>
  <c r="AE42" i="1"/>
  <c r="D41" i="2" s="1"/>
  <c r="AD42" i="1"/>
  <c r="C41" i="2" s="1"/>
  <c r="Z42" i="1"/>
  <c r="Y42" i="1"/>
  <c r="AQ41" i="1"/>
  <c r="AW41" i="1" s="1"/>
  <c r="BE41" i="1" s="1"/>
  <c r="AI41" i="1"/>
  <c r="I40" i="2" s="1"/>
  <c r="AH41" i="1"/>
  <c r="H40" i="2" s="1"/>
  <c r="AG41" i="1"/>
  <c r="G40" i="2" s="1"/>
  <c r="F40" i="2"/>
  <c r="AE41" i="1"/>
  <c r="D40" i="2" s="1"/>
  <c r="AD41" i="1"/>
  <c r="C40" i="2" s="1"/>
  <c r="Z41" i="1"/>
  <c r="Y41" i="1"/>
  <c r="AQ40" i="1"/>
  <c r="AW40" i="1" s="1"/>
  <c r="BE40" i="1" s="1"/>
  <c r="AI40" i="1"/>
  <c r="I39" i="2" s="1"/>
  <c r="AH40" i="1"/>
  <c r="H39" i="2" s="1"/>
  <c r="AG40" i="1"/>
  <c r="G39" i="2" s="1"/>
  <c r="F39" i="2"/>
  <c r="AE40" i="1"/>
  <c r="D39" i="2" s="1"/>
  <c r="AD40" i="1"/>
  <c r="C39" i="2" s="1"/>
  <c r="Z40" i="1"/>
  <c r="Y40" i="1"/>
  <c r="AQ39" i="1"/>
  <c r="AI39" i="1"/>
  <c r="I38" i="2" s="1"/>
  <c r="AH39" i="1"/>
  <c r="H38" i="2" s="1"/>
  <c r="AG39" i="1"/>
  <c r="G38" i="2" s="1"/>
  <c r="F38" i="2"/>
  <c r="AE39" i="1"/>
  <c r="D38" i="2" s="1"/>
  <c r="AD39" i="1"/>
  <c r="C38" i="2" s="1"/>
  <c r="Z39" i="1"/>
  <c r="Y39" i="1"/>
  <c r="AQ38" i="1"/>
  <c r="AW38" i="1" s="1"/>
  <c r="BE38" i="1" s="1"/>
  <c r="AI38" i="1"/>
  <c r="I37" i="2" s="1"/>
  <c r="AH38" i="1"/>
  <c r="H37" i="2" s="1"/>
  <c r="AG38" i="1"/>
  <c r="G37" i="2" s="1"/>
  <c r="F37" i="2"/>
  <c r="AE38" i="1"/>
  <c r="D37" i="2" s="1"/>
  <c r="AD38" i="1"/>
  <c r="C37" i="2" s="1"/>
  <c r="Z38" i="1"/>
  <c r="Y38" i="1"/>
  <c r="AQ37" i="1"/>
  <c r="AW37" i="1" s="1"/>
  <c r="BE37" i="1" s="1"/>
  <c r="AI37" i="1"/>
  <c r="I36" i="2" s="1"/>
  <c r="AH37" i="1"/>
  <c r="H36" i="2" s="1"/>
  <c r="AG37" i="1"/>
  <c r="G36" i="2" s="1"/>
  <c r="F36" i="2"/>
  <c r="AE37" i="1"/>
  <c r="D36" i="2" s="1"/>
  <c r="AD37" i="1"/>
  <c r="C36" i="2" s="1"/>
  <c r="Z37" i="1"/>
  <c r="Y37" i="1"/>
  <c r="AQ36" i="1"/>
  <c r="AW36" i="1" s="1"/>
  <c r="BE36" i="1" s="1"/>
  <c r="AI36" i="1"/>
  <c r="I35" i="2" s="1"/>
  <c r="AH36" i="1"/>
  <c r="H35" i="2" s="1"/>
  <c r="AG36" i="1"/>
  <c r="G35" i="2" s="1"/>
  <c r="F35" i="2"/>
  <c r="AE36" i="1"/>
  <c r="D35" i="2" s="1"/>
  <c r="AD36" i="1"/>
  <c r="C35" i="2" s="1"/>
  <c r="Z36" i="1"/>
  <c r="Y36" i="1"/>
  <c r="AQ35" i="1"/>
  <c r="AW35" i="1" s="1"/>
  <c r="BE35" i="1" s="1"/>
  <c r="AI35" i="1"/>
  <c r="I34" i="2" s="1"/>
  <c r="AH35" i="1"/>
  <c r="H34" i="2" s="1"/>
  <c r="AG35" i="1"/>
  <c r="G34" i="2" s="1"/>
  <c r="F34" i="2"/>
  <c r="AE35" i="1"/>
  <c r="D34" i="2" s="1"/>
  <c r="AD35" i="1"/>
  <c r="C34" i="2" s="1"/>
  <c r="Z35" i="1"/>
  <c r="Y35" i="1"/>
  <c r="AQ34" i="1"/>
  <c r="AW34" i="1" s="1"/>
  <c r="BE34" i="1" s="1"/>
  <c r="AI34" i="1"/>
  <c r="I33" i="2" s="1"/>
  <c r="AH34" i="1"/>
  <c r="H33" i="2" s="1"/>
  <c r="AG34" i="1"/>
  <c r="G33" i="2" s="1"/>
  <c r="F33" i="2"/>
  <c r="AE34" i="1"/>
  <c r="D33" i="2" s="1"/>
  <c r="AD34" i="1"/>
  <c r="C33" i="2" s="1"/>
  <c r="Z34" i="1"/>
  <c r="Y34" i="1"/>
  <c r="AQ33" i="1"/>
  <c r="AW33" i="1" s="1"/>
  <c r="BE33" i="1" s="1"/>
  <c r="AI33" i="1"/>
  <c r="I32" i="2" s="1"/>
  <c r="AH33" i="1"/>
  <c r="H32" i="2" s="1"/>
  <c r="AG33" i="1"/>
  <c r="G32" i="2" s="1"/>
  <c r="F32" i="2"/>
  <c r="AE33" i="1"/>
  <c r="D32" i="2" s="1"/>
  <c r="AD33" i="1"/>
  <c r="C32" i="2" s="1"/>
  <c r="Z33" i="1"/>
  <c r="Y33" i="1"/>
  <c r="AQ32" i="1"/>
  <c r="AW32" i="1" s="1"/>
  <c r="BE32" i="1" s="1"/>
  <c r="AI32" i="1"/>
  <c r="I31" i="2" s="1"/>
  <c r="AH32" i="1"/>
  <c r="H31" i="2" s="1"/>
  <c r="AG32" i="1"/>
  <c r="G31" i="2" s="1"/>
  <c r="F31" i="2"/>
  <c r="AE32" i="1"/>
  <c r="D31" i="2" s="1"/>
  <c r="AD32" i="1"/>
  <c r="C31" i="2" s="1"/>
  <c r="Z32" i="1"/>
  <c r="Y32" i="1"/>
  <c r="AQ31" i="1"/>
  <c r="AI31" i="1"/>
  <c r="I30" i="2" s="1"/>
  <c r="AH31" i="1"/>
  <c r="H30" i="2" s="1"/>
  <c r="AG31" i="1"/>
  <c r="G30" i="2" s="1"/>
  <c r="F30" i="2"/>
  <c r="AE31" i="1"/>
  <c r="D30" i="2" s="1"/>
  <c r="AD31" i="1"/>
  <c r="C30" i="2" s="1"/>
  <c r="Z31" i="1"/>
  <c r="Y31" i="1"/>
  <c r="AQ30" i="1"/>
  <c r="AW30" i="1" s="1"/>
  <c r="BE30" i="1" s="1"/>
  <c r="AI30" i="1"/>
  <c r="I29" i="2" s="1"/>
  <c r="AH30" i="1"/>
  <c r="H29" i="2" s="1"/>
  <c r="AG30" i="1"/>
  <c r="G29" i="2" s="1"/>
  <c r="F29" i="2"/>
  <c r="AE30" i="1"/>
  <c r="D29" i="2" s="1"/>
  <c r="AD30" i="1"/>
  <c r="C29" i="2" s="1"/>
  <c r="Z30" i="1"/>
  <c r="Y30" i="1"/>
  <c r="AQ29" i="1"/>
  <c r="AW29" i="1" s="1"/>
  <c r="BE29" i="1" s="1"/>
  <c r="AI29" i="1"/>
  <c r="I28" i="2" s="1"/>
  <c r="AH29" i="1"/>
  <c r="H28" i="2" s="1"/>
  <c r="AG29" i="1"/>
  <c r="G28" i="2" s="1"/>
  <c r="F28" i="2"/>
  <c r="AE29" i="1"/>
  <c r="D28" i="2" s="1"/>
  <c r="AD29" i="1"/>
  <c r="C28" i="2" s="1"/>
  <c r="Z29" i="1"/>
  <c r="Y29" i="1"/>
  <c r="AQ28" i="1"/>
  <c r="AW28" i="1" s="1"/>
  <c r="BE28" i="1" s="1"/>
  <c r="AI28" i="1"/>
  <c r="I27" i="2" s="1"/>
  <c r="AH28" i="1"/>
  <c r="H27" i="2" s="1"/>
  <c r="AG28" i="1"/>
  <c r="G27" i="2" s="1"/>
  <c r="F27" i="2"/>
  <c r="AE28" i="1"/>
  <c r="D27" i="2" s="1"/>
  <c r="AD28" i="1"/>
  <c r="C27" i="2" s="1"/>
  <c r="Z28" i="1"/>
  <c r="Y28" i="1"/>
  <c r="AQ27" i="1"/>
  <c r="AW27" i="1" s="1"/>
  <c r="BE27" i="1" s="1"/>
  <c r="AI27" i="1"/>
  <c r="I26" i="2" s="1"/>
  <c r="AH27" i="1"/>
  <c r="H26" i="2" s="1"/>
  <c r="AG27" i="1"/>
  <c r="G26" i="2" s="1"/>
  <c r="F26" i="2"/>
  <c r="AE27" i="1"/>
  <c r="D26" i="2" s="1"/>
  <c r="AD27" i="1"/>
  <c r="C26" i="2" s="1"/>
  <c r="Z27" i="1"/>
  <c r="Y27" i="1"/>
  <c r="AQ26" i="1"/>
  <c r="AW26" i="1" s="1"/>
  <c r="BE26" i="1" s="1"/>
  <c r="AI26" i="1"/>
  <c r="I25" i="2" s="1"/>
  <c r="AH26" i="1"/>
  <c r="H25" i="2" s="1"/>
  <c r="AG26" i="1"/>
  <c r="G25" i="2" s="1"/>
  <c r="F25" i="2"/>
  <c r="AE26" i="1"/>
  <c r="D25" i="2" s="1"/>
  <c r="AD26" i="1"/>
  <c r="C25" i="2" s="1"/>
  <c r="Z26" i="1"/>
  <c r="Y26" i="1"/>
  <c r="AQ25" i="1"/>
  <c r="AW25" i="1" s="1"/>
  <c r="BE25" i="1" s="1"/>
  <c r="AI25" i="1"/>
  <c r="I24" i="2" s="1"/>
  <c r="AH25" i="1"/>
  <c r="H24" i="2" s="1"/>
  <c r="AG25" i="1"/>
  <c r="G24" i="2" s="1"/>
  <c r="F24" i="2"/>
  <c r="AE25" i="1"/>
  <c r="D24" i="2" s="1"/>
  <c r="AD25" i="1"/>
  <c r="C24" i="2" s="1"/>
  <c r="Z25" i="1"/>
  <c r="Y25" i="1"/>
  <c r="AQ24" i="1"/>
  <c r="AW24" i="1" s="1"/>
  <c r="BE24" i="1" s="1"/>
  <c r="AI24" i="1"/>
  <c r="I23" i="2" s="1"/>
  <c r="AH24" i="1"/>
  <c r="H23" i="2" s="1"/>
  <c r="AG24" i="1"/>
  <c r="G23" i="2" s="1"/>
  <c r="F23" i="2"/>
  <c r="AE24" i="1"/>
  <c r="D23" i="2" s="1"/>
  <c r="AD24" i="1"/>
  <c r="C23" i="2" s="1"/>
  <c r="Z24" i="1"/>
  <c r="Y24" i="1"/>
  <c r="AQ23" i="1"/>
  <c r="AI23" i="1"/>
  <c r="I22" i="2" s="1"/>
  <c r="AH23" i="1"/>
  <c r="H22" i="2" s="1"/>
  <c r="AG23" i="1"/>
  <c r="G22" i="2" s="1"/>
  <c r="F22" i="2"/>
  <c r="AE23" i="1"/>
  <c r="D22" i="2" s="1"/>
  <c r="AD23" i="1"/>
  <c r="C22" i="2" s="1"/>
  <c r="Z23" i="1"/>
  <c r="Y23" i="1"/>
  <c r="AQ22" i="1"/>
  <c r="AW22" i="1" s="1"/>
  <c r="BE22" i="1" s="1"/>
  <c r="AI22" i="1"/>
  <c r="I21" i="2" s="1"/>
  <c r="AH22" i="1"/>
  <c r="H21" i="2" s="1"/>
  <c r="AG22" i="1"/>
  <c r="G21" i="2" s="1"/>
  <c r="F21" i="2"/>
  <c r="AE22" i="1"/>
  <c r="D21" i="2" s="1"/>
  <c r="AD22" i="1"/>
  <c r="C21" i="2" s="1"/>
  <c r="Z22" i="1"/>
  <c r="Y22" i="1"/>
  <c r="AQ21" i="1"/>
  <c r="AW21" i="1" s="1"/>
  <c r="BE21" i="1" s="1"/>
  <c r="AI21" i="1"/>
  <c r="I20" i="2" s="1"/>
  <c r="AH21" i="1"/>
  <c r="H20" i="2" s="1"/>
  <c r="AG21" i="1"/>
  <c r="G20" i="2" s="1"/>
  <c r="F20" i="2"/>
  <c r="AE21" i="1"/>
  <c r="D20" i="2" s="1"/>
  <c r="AD21" i="1"/>
  <c r="C20" i="2" s="1"/>
  <c r="Z21" i="1"/>
  <c r="Y21" i="1"/>
  <c r="AQ20" i="1"/>
  <c r="AW20" i="1" s="1"/>
  <c r="BE20" i="1" s="1"/>
  <c r="AI20" i="1"/>
  <c r="I19" i="2" s="1"/>
  <c r="AH20" i="1"/>
  <c r="H19" i="2" s="1"/>
  <c r="AG20" i="1"/>
  <c r="G19" i="2" s="1"/>
  <c r="F19" i="2"/>
  <c r="AE20" i="1"/>
  <c r="D19" i="2" s="1"/>
  <c r="AD20" i="1"/>
  <c r="C19" i="2" s="1"/>
  <c r="Z20" i="1"/>
  <c r="Y20" i="1"/>
  <c r="AQ19" i="1"/>
  <c r="AW19" i="1" s="1"/>
  <c r="BE19" i="1" s="1"/>
  <c r="AI19" i="1"/>
  <c r="I18" i="2" s="1"/>
  <c r="AH19" i="1"/>
  <c r="H18" i="2" s="1"/>
  <c r="AG19" i="1"/>
  <c r="G18" i="2" s="1"/>
  <c r="F18" i="2"/>
  <c r="AE19" i="1"/>
  <c r="D18" i="2" s="1"/>
  <c r="AD19" i="1"/>
  <c r="C18" i="2" s="1"/>
  <c r="Z19" i="1"/>
  <c r="Y19" i="1"/>
  <c r="AQ18" i="1"/>
  <c r="AW18" i="1" s="1"/>
  <c r="BE18" i="1" s="1"/>
  <c r="AI18" i="1"/>
  <c r="I17" i="2" s="1"/>
  <c r="AH18" i="1"/>
  <c r="H17" i="2" s="1"/>
  <c r="AG18" i="1"/>
  <c r="G17" i="2" s="1"/>
  <c r="F17" i="2"/>
  <c r="AE18" i="1"/>
  <c r="D17" i="2" s="1"/>
  <c r="AD18" i="1"/>
  <c r="C17" i="2" s="1"/>
  <c r="Z18" i="1"/>
  <c r="Y18" i="1"/>
  <c r="AQ17" i="1"/>
  <c r="AW17" i="1" s="1"/>
  <c r="BE17" i="1" s="1"/>
  <c r="AI17" i="1"/>
  <c r="I16" i="2" s="1"/>
  <c r="AH17" i="1"/>
  <c r="H16" i="2" s="1"/>
  <c r="AG17" i="1"/>
  <c r="G16" i="2" s="1"/>
  <c r="F16" i="2"/>
  <c r="AE17" i="1"/>
  <c r="D16" i="2" s="1"/>
  <c r="AD17" i="1"/>
  <c r="C16" i="2" s="1"/>
  <c r="Z17" i="1"/>
  <c r="Y17" i="1"/>
  <c r="AQ16" i="1"/>
  <c r="AW16" i="1" s="1"/>
  <c r="BE16" i="1" s="1"/>
  <c r="AI16" i="1"/>
  <c r="I15" i="2" s="1"/>
  <c r="AH16" i="1"/>
  <c r="H15" i="2" s="1"/>
  <c r="AG16" i="1"/>
  <c r="G15" i="2" s="1"/>
  <c r="F15" i="2"/>
  <c r="AE16" i="1"/>
  <c r="D15" i="2" s="1"/>
  <c r="AD16" i="1"/>
  <c r="C15" i="2" s="1"/>
  <c r="Z16" i="1"/>
  <c r="Y16" i="1"/>
  <c r="AQ15" i="1"/>
  <c r="AW15" i="1" s="1"/>
  <c r="BE15" i="1" s="1"/>
  <c r="AI15" i="1"/>
  <c r="I14" i="2" s="1"/>
  <c r="AH15" i="1"/>
  <c r="H14" i="2" s="1"/>
  <c r="AG15" i="1"/>
  <c r="G14" i="2" s="1"/>
  <c r="F14" i="2"/>
  <c r="AE15" i="1"/>
  <c r="D14" i="2" s="1"/>
  <c r="AD15" i="1"/>
  <c r="C14" i="2" s="1"/>
  <c r="Z15" i="1"/>
  <c r="Y15" i="1"/>
  <c r="AQ14" i="1"/>
  <c r="AW14" i="1" s="1"/>
  <c r="BE14" i="1" s="1"/>
  <c r="AI14" i="1"/>
  <c r="I13" i="2" s="1"/>
  <c r="AH14" i="1"/>
  <c r="H13" i="2" s="1"/>
  <c r="AG14" i="1"/>
  <c r="G13" i="2" s="1"/>
  <c r="F13" i="2"/>
  <c r="AE14" i="1"/>
  <c r="D13" i="2" s="1"/>
  <c r="AD14" i="1"/>
  <c r="C13" i="2" s="1"/>
  <c r="Z14" i="1"/>
  <c r="Y14" i="1"/>
  <c r="AQ13" i="1"/>
  <c r="AW13" i="1" s="1"/>
  <c r="BE13" i="1" s="1"/>
  <c r="AI13" i="1"/>
  <c r="I12" i="2" s="1"/>
  <c r="AH13" i="1"/>
  <c r="H12" i="2" s="1"/>
  <c r="AG13" i="1"/>
  <c r="G12" i="2" s="1"/>
  <c r="F12" i="2"/>
  <c r="AE13" i="1"/>
  <c r="D12" i="2" s="1"/>
  <c r="AD13" i="1"/>
  <c r="C12" i="2" s="1"/>
  <c r="Z13" i="1"/>
  <c r="Y13" i="1"/>
  <c r="AQ12" i="1"/>
  <c r="AW12" i="1" s="1"/>
  <c r="BE12" i="1" s="1"/>
  <c r="AI12" i="1"/>
  <c r="I11" i="2" s="1"/>
  <c r="AH12" i="1"/>
  <c r="H11" i="2" s="1"/>
  <c r="AG12" i="1"/>
  <c r="G11" i="2" s="1"/>
  <c r="F11" i="2"/>
  <c r="AE12" i="1"/>
  <c r="D11" i="2" s="1"/>
  <c r="AD12" i="1"/>
  <c r="C11" i="2" s="1"/>
  <c r="Z12" i="1"/>
  <c r="Y12" i="1"/>
  <c r="AQ11" i="1"/>
  <c r="AW11" i="1" s="1"/>
  <c r="BE11" i="1" s="1"/>
  <c r="AI11" i="1"/>
  <c r="I10" i="2" s="1"/>
  <c r="AH11" i="1"/>
  <c r="H10" i="2" s="1"/>
  <c r="AG11" i="1"/>
  <c r="G10" i="2" s="1"/>
  <c r="F10" i="2"/>
  <c r="AE11" i="1"/>
  <c r="D10" i="2" s="1"/>
  <c r="AD11" i="1"/>
  <c r="C10" i="2" s="1"/>
  <c r="Z11" i="1"/>
  <c r="Y11" i="1"/>
  <c r="AQ10" i="1"/>
  <c r="AW10" i="1" s="1"/>
  <c r="BE10" i="1" s="1"/>
  <c r="AI10" i="1"/>
  <c r="I9" i="2" s="1"/>
  <c r="AH10" i="1"/>
  <c r="H9" i="2" s="1"/>
  <c r="AG10" i="1"/>
  <c r="G9" i="2" s="1"/>
  <c r="F9" i="2"/>
  <c r="AE10" i="1"/>
  <c r="D9" i="2" s="1"/>
  <c r="AD10" i="1"/>
  <c r="C9" i="2" s="1"/>
  <c r="Z10" i="1"/>
  <c r="Y10" i="1"/>
  <c r="AQ9" i="1"/>
  <c r="AW9" i="1" s="1"/>
  <c r="BE9" i="1" s="1"/>
  <c r="AI9" i="1"/>
  <c r="I8" i="2" s="1"/>
  <c r="AH9" i="1"/>
  <c r="H8" i="2" s="1"/>
  <c r="AG9" i="1"/>
  <c r="G8" i="2" s="1"/>
  <c r="F8" i="2"/>
  <c r="AE9" i="1"/>
  <c r="D8" i="2" s="1"/>
  <c r="AD9" i="1"/>
  <c r="C8" i="2" s="1"/>
  <c r="Z9" i="1"/>
  <c r="Y9" i="1"/>
  <c r="AQ8" i="1"/>
  <c r="AW8" i="1" s="1"/>
  <c r="BE8" i="1" s="1"/>
  <c r="AI8" i="1"/>
  <c r="I7" i="2" s="1"/>
  <c r="AH8" i="1"/>
  <c r="H7" i="2" s="1"/>
  <c r="AG8" i="1"/>
  <c r="G7" i="2" s="1"/>
  <c r="F7" i="2"/>
  <c r="AE8" i="1"/>
  <c r="D7" i="2" s="1"/>
  <c r="AD8" i="1"/>
  <c r="C7" i="2" s="1"/>
  <c r="Z8" i="1"/>
  <c r="Y8" i="1"/>
  <c r="AQ7" i="1"/>
  <c r="AW7" i="1" s="1"/>
  <c r="BE7" i="1" s="1"/>
  <c r="AI7" i="1"/>
  <c r="I6" i="2" s="1"/>
  <c r="AH7" i="1"/>
  <c r="H6" i="2" s="1"/>
  <c r="AG7" i="1"/>
  <c r="G6" i="2" s="1"/>
  <c r="F6" i="2"/>
  <c r="AE7" i="1"/>
  <c r="D6" i="2" s="1"/>
  <c r="AD7" i="1"/>
  <c r="C6" i="2" s="1"/>
  <c r="Z7" i="1"/>
  <c r="Y7" i="1"/>
  <c r="AQ6" i="1"/>
  <c r="AW6" i="1" s="1"/>
  <c r="BE6" i="1" s="1"/>
  <c r="AI6" i="1"/>
  <c r="I5" i="2" s="1"/>
  <c r="AH6" i="1"/>
  <c r="H5" i="2" s="1"/>
  <c r="AG6" i="1"/>
  <c r="G5" i="2" s="1"/>
  <c r="F5" i="2"/>
  <c r="AE6" i="1"/>
  <c r="D5" i="2" s="1"/>
  <c r="AD6" i="1"/>
  <c r="C5" i="2" s="1"/>
  <c r="Z6" i="1"/>
  <c r="Y6" i="1"/>
  <c r="AQ5" i="1"/>
  <c r="AW5" i="1" s="1"/>
  <c r="BE5" i="1" s="1"/>
  <c r="AI5" i="1"/>
  <c r="I4" i="2" s="1"/>
  <c r="AH5" i="1"/>
  <c r="H4" i="2" s="1"/>
  <c r="AG5" i="1"/>
  <c r="G4" i="2" s="1"/>
  <c r="F4" i="2"/>
  <c r="AE5" i="1"/>
  <c r="D4" i="2" s="1"/>
  <c r="AD5" i="1"/>
  <c r="C4" i="2" s="1"/>
  <c r="Z5" i="1"/>
  <c r="Y5" i="1"/>
  <c r="AQ4" i="1"/>
  <c r="AW4" i="1" s="1"/>
  <c r="BE4" i="1" s="1"/>
  <c r="AI4" i="1"/>
  <c r="I3" i="2" s="1"/>
  <c r="AH4" i="1"/>
  <c r="H3" i="2" s="1"/>
  <c r="AG4" i="1"/>
  <c r="G3" i="2" s="1"/>
  <c r="Z4" i="1"/>
  <c r="Y4" i="1"/>
  <c r="AO17" i="1" l="1"/>
  <c r="AB17" i="1" s="1"/>
  <c r="AL14" i="1"/>
  <c r="K13" i="2" s="1"/>
  <c r="AL39" i="1"/>
  <c r="K38" i="2" s="1"/>
  <c r="AO62" i="1"/>
  <c r="AB62" i="1" s="1"/>
  <c r="AL50" i="1"/>
  <c r="K49" i="2" s="1"/>
  <c r="AL47" i="1"/>
  <c r="K46" i="2" s="1"/>
  <c r="AL55" i="1"/>
  <c r="K54" i="2" s="1"/>
  <c r="AL16" i="1"/>
  <c r="K15" i="2" s="1"/>
  <c r="AO22" i="1"/>
  <c r="AB22" i="1" s="1"/>
  <c r="AL46" i="1"/>
  <c r="K45" i="2" s="1"/>
  <c r="AO69" i="1"/>
  <c r="AB69" i="1" s="1"/>
  <c r="K3" i="2"/>
  <c r="AO6" i="1"/>
  <c r="AB6" i="1" s="1"/>
  <c r="AO8" i="1"/>
  <c r="AB8" i="1" s="1"/>
  <c r="AO14" i="1"/>
  <c r="AB14" i="1" s="1"/>
  <c r="AL59" i="1"/>
  <c r="K58" i="2" s="1"/>
  <c r="AL54" i="1"/>
  <c r="K53" i="2" s="1"/>
  <c r="AO45" i="1"/>
  <c r="AB45" i="1" s="1"/>
  <c r="AL51" i="1"/>
  <c r="K50" i="2" s="1"/>
  <c r="AO25" i="1"/>
  <c r="AB25" i="1" s="1"/>
  <c r="AL72" i="1"/>
  <c r="K71" i="2" s="1"/>
  <c r="AO4" i="1"/>
  <c r="AO10" i="1"/>
  <c r="AB10" i="1" s="1"/>
  <c r="AL12" i="1"/>
  <c r="K11" i="2" s="1"/>
  <c r="AL35" i="1"/>
  <c r="K34" i="2" s="1"/>
  <c r="AO65" i="1"/>
  <c r="AB65" i="1" s="1"/>
  <c r="AO9" i="1"/>
  <c r="AB9" i="1" s="1"/>
  <c r="AL24" i="1"/>
  <c r="K23" i="2" s="1"/>
  <c r="AO58" i="1"/>
  <c r="AB58" i="1" s="1"/>
  <c r="AO60" i="1"/>
  <c r="AB60" i="1" s="1"/>
  <c r="AO64" i="1"/>
  <c r="AB64" i="1" s="1"/>
  <c r="AL33" i="1"/>
  <c r="K32" i="2" s="1"/>
  <c r="AO18" i="1"/>
  <c r="AB18" i="1" s="1"/>
  <c r="AL20" i="1"/>
  <c r="K19" i="2" s="1"/>
  <c r="AO24" i="1"/>
  <c r="AB24" i="1" s="1"/>
  <c r="AO34" i="1"/>
  <c r="AB34" i="1" s="1"/>
  <c r="AL31" i="1"/>
  <c r="K30" i="2" s="1"/>
  <c r="AL18" i="1"/>
  <c r="K17" i="2" s="1"/>
  <c r="AO53" i="1"/>
  <c r="AB53" i="1" s="1"/>
  <c r="AO16" i="1"/>
  <c r="AB16" i="1" s="1"/>
  <c r="AO40" i="1"/>
  <c r="AB40" i="1" s="1"/>
  <c r="AO48" i="1"/>
  <c r="AB48" i="1" s="1"/>
  <c r="AO36" i="1"/>
  <c r="AB36" i="1" s="1"/>
  <c r="AO61" i="1"/>
  <c r="AB61" i="1" s="1"/>
  <c r="AO42" i="1"/>
  <c r="AB42" i="1" s="1"/>
  <c r="AO21" i="1"/>
  <c r="AB21" i="1" s="1"/>
  <c r="AO57" i="1"/>
  <c r="AB57" i="1" s="1"/>
  <c r="AO49" i="1"/>
  <c r="AB49" i="1" s="1"/>
  <c r="AO13" i="1"/>
  <c r="AB13" i="1" s="1"/>
  <c r="AO12" i="1"/>
  <c r="AB12" i="1" s="1"/>
  <c r="AO20" i="1"/>
  <c r="AB20" i="1" s="1"/>
  <c r="AO32" i="1"/>
  <c r="AB32" i="1" s="1"/>
  <c r="AO5" i="1"/>
  <c r="AB5" i="1" s="1"/>
  <c r="AO44" i="1"/>
  <c r="AB44" i="1" s="1"/>
  <c r="AO52" i="1"/>
  <c r="AB52" i="1" s="1"/>
  <c r="AO38" i="1"/>
  <c r="AB38" i="1" s="1"/>
  <c r="AO68" i="1"/>
  <c r="AB68" i="1" s="1"/>
  <c r="AO75" i="1"/>
  <c r="AB75" i="1" s="1"/>
  <c r="AO56" i="1"/>
  <c r="AB56" i="1" s="1"/>
  <c r="AO15" i="1"/>
  <c r="AB15" i="1" s="1"/>
  <c r="AO29" i="1"/>
  <c r="AB29" i="1" s="1"/>
  <c r="AO30" i="1"/>
  <c r="AB30" i="1" s="1"/>
  <c r="AO7" i="1"/>
  <c r="AB7" i="1" s="1"/>
  <c r="AO11" i="1"/>
  <c r="AB11" i="1" s="1"/>
  <c r="AO23" i="1"/>
  <c r="AB23" i="1" s="1"/>
  <c r="AO27" i="1"/>
  <c r="AB27" i="1" s="1"/>
  <c r="AO26" i="1"/>
  <c r="AB26" i="1" s="1"/>
  <c r="AO19" i="1"/>
  <c r="AB19" i="1" s="1"/>
  <c r="AO28" i="1"/>
  <c r="AB28" i="1" s="1"/>
  <c r="AO71" i="1"/>
  <c r="AB71" i="1" s="1"/>
  <c r="AL22" i="1"/>
  <c r="K21" i="2" s="1"/>
  <c r="AO46" i="1"/>
  <c r="AB46" i="1" s="1"/>
  <c r="AO50" i="1"/>
  <c r="AB50" i="1" s="1"/>
  <c r="AO54" i="1"/>
  <c r="AB54" i="1" s="1"/>
  <c r="AO66" i="1"/>
  <c r="AB66" i="1" s="1"/>
  <c r="AO70" i="1"/>
  <c r="AB70" i="1" s="1"/>
  <c r="AO31" i="1"/>
  <c r="AB31" i="1" s="1"/>
  <c r="AO33" i="1"/>
  <c r="AB33" i="1" s="1"/>
  <c r="AO35" i="1"/>
  <c r="AB35" i="1" s="1"/>
  <c r="AO37" i="1"/>
  <c r="AB37" i="1" s="1"/>
  <c r="AO39" i="1"/>
  <c r="AB39" i="1" s="1"/>
  <c r="AO41" i="1"/>
  <c r="AB41" i="1" s="1"/>
  <c r="AO43" i="1"/>
  <c r="AB43" i="1" s="1"/>
  <c r="AO47" i="1"/>
  <c r="AB47" i="1" s="1"/>
  <c r="AO51" i="1"/>
  <c r="AB51" i="1" s="1"/>
  <c r="AO55" i="1"/>
  <c r="AB55" i="1" s="1"/>
  <c r="AO59" i="1"/>
  <c r="AB59" i="1" s="1"/>
  <c r="AO63" i="1"/>
  <c r="AB63" i="1" s="1"/>
  <c r="AO67" i="1"/>
  <c r="AB67" i="1" s="1"/>
  <c r="AO73" i="1"/>
  <c r="AB73" i="1" s="1"/>
  <c r="AO74" i="1"/>
  <c r="AB74" i="1" s="1"/>
  <c r="AO72" i="1"/>
  <c r="AB72" i="1" s="1"/>
  <c r="AA14" i="1" l="1"/>
  <c r="M13" i="2" s="1"/>
  <c r="AA18" i="1"/>
  <c r="AC18" i="1" s="1"/>
  <c r="L24" i="2"/>
  <c r="L63" i="2"/>
  <c r="L74" i="2"/>
  <c r="L59" i="2"/>
  <c r="L9" i="2"/>
  <c r="L57" i="2"/>
  <c r="L40" i="2"/>
  <c r="L11" i="2"/>
  <c r="L13" i="2"/>
  <c r="L29" i="2"/>
  <c r="L33" i="2"/>
  <c r="L31" i="2"/>
  <c r="L12" i="2"/>
  <c r="L41" i="2"/>
  <c r="L44" i="2"/>
  <c r="L61" i="2"/>
  <c r="L71" i="2"/>
  <c r="L66" i="2"/>
  <c r="L38" i="2"/>
  <c r="L49" i="2"/>
  <c r="L70" i="2"/>
  <c r="L67" i="2"/>
  <c r="L19" i="2"/>
  <c r="L60" i="2"/>
  <c r="L39" i="2"/>
  <c r="L64" i="2"/>
  <c r="L50" i="2"/>
  <c r="L36" i="2"/>
  <c r="L27" i="2"/>
  <c r="L25" i="2"/>
  <c r="L10" i="2"/>
  <c r="L8" i="2"/>
  <c r="L37" i="2"/>
  <c r="L51" i="2"/>
  <c r="L43" i="2"/>
  <c r="L48" i="2"/>
  <c r="L7" i="2"/>
  <c r="L26" i="2"/>
  <c r="L72" i="2"/>
  <c r="L69" i="2"/>
  <c r="L21" i="2"/>
  <c r="L22" i="2"/>
  <c r="L6" i="2"/>
  <c r="L55" i="2"/>
  <c r="L4" i="2"/>
  <c r="L54" i="2"/>
  <c r="L73" i="2"/>
  <c r="L62" i="2"/>
  <c r="L34" i="2"/>
  <c r="L65" i="2"/>
  <c r="L45" i="2"/>
  <c r="L23" i="2"/>
  <c r="L28" i="2"/>
  <c r="L68" i="2"/>
  <c r="L56" i="2"/>
  <c r="L35" i="2"/>
  <c r="L17" i="2"/>
  <c r="L46" i="2"/>
  <c r="L32" i="2"/>
  <c r="L18" i="2"/>
  <c r="L14" i="2"/>
  <c r="L52" i="2"/>
  <c r="L16" i="2"/>
  <c r="L15" i="2"/>
  <c r="L58" i="2"/>
  <c r="L30" i="2"/>
  <c r="L42" i="2"/>
  <c r="L53" i="2"/>
  <c r="L5" i="2"/>
  <c r="L20" i="2"/>
  <c r="L47" i="2"/>
  <c r="AA24" i="1"/>
  <c r="M23" i="2" s="1"/>
  <c r="AL43" i="1"/>
  <c r="K42" i="2" s="1"/>
  <c r="AL8" i="1"/>
  <c r="AL41" i="1"/>
  <c r="K40" i="2" s="1"/>
  <c r="AL37" i="1"/>
  <c r="AL10" i="1"/>
  <c r="K9" i="2" s="1"/>
  <c r="AL63" i="1"/>
  <c r="AA54" i="1"/>
  <c r="AC54" i="1" s="1"/>
  <c r="AL42" i="1"/>
  <c r="K41" i="2" s="1"/>
  <c r="AL68" i="1"/>
  <c r="K67" i="2" s="1"/>
  <c r="AA51" i="1"/>
  <c r="AL62" i="1"/>
  <c r="K61" i="2" s="1"/>
  <c r="AA47" i="1"/>
  <c r="AL13" i="1"/>
  <c r="K12" i="2" s="1"/>
  <c r="AL7" i="1"/>
  <c r="K6" i="2" s="1"/>
  <c r="AA16" i="1"/>
  <c r="AL11" i="1"/>
  <c r="K10" i="2" s="1"/>
  <c r="AL15" i="1"/>
  <c r="K14" i="2" s="1"/>
  <c r="AL58" i="1"/>
  <c r="K57" i="2" s="1"/>
  <c r="AL25" i="1"/>
  <c r="K24" i="2" s="1"/>
  <c r="AL9" i="1"/>
  <c r="K8" i="2" s="1"/>
  <c r="AL28" i="1"/>
  <c r="K27" i="2" s="1"/>
  <c r="AL19" i="1"/>
  <c r="K18" i="2" s="1"/>
  <c r="AL23" i="1"/>
  <c r="K22" i="2" s="1"/>
  <c r="AL30" i="1"/>
  <c r="K29" i="2" s="1"/>
  <c r="AL73" i="1"/>
  <c r="K72" i="2" s="1"/>
  <c r="AL34" i="1"/>
  <c r="K33" i="2" s="1"/>
  <c r="AL40" i="1"/>
  <c r="K39" i="2" s="1"/>
  <c r="AL32" i="1"/>
  <c r="K31" i="2" s="1"/>
  <c r="AC14" i="1"/>
  <c r="AL74" i="1"/>
  <c r="K73" i="2" s="1"/>
  <c r="AL61" i="1"/>
  <c r="K60" i="2" s="1"/>
  <c r="AL53" i="1"/>
  <c r="K52" i="2" s="1"/>
  <c r="AA59" i="1"/>
  <c r="AL38" i="1"/>
  <c r="K37" i="2" s="1"/>
  <c r="AA39" i="1"/>
  <c r="AA31" i="1"/>
  <c r="AL64" i="1"/>
  <c r="K63" i="2" s="1"/>
  <c r="AL70" i="1"/>
  <c r="K69" i="2" s="1"/>
  <c r="AA72" i="1"/>
  <c r="AL36" i="1"/>
  <c r="K35" i="2" s="1"/>
  <c r="AL69" i="1"/>
  <c r="K68" i="2" s="1"/>
  <c r="AL67" i="1"/>
  <c r="K66" i="2" s="1"/>
  <c r="AA55" i="1"/>
  <c r="AL6" i="1"/>
  <c r="K5" i="2" s="1"/>
  <c r="AL66" i="1"/>
  <c r="K65" i="2" s="1"/>
  <c r="AL21" i="1"/>
  <c r="K20" i="2" s="1"/>
  <c r="AL5" i="1"/>
  <c r="K4" i="2" s="1"/>
  <c r="AL57" i="1"/>
  <c r="K56" i="2" s="1"/>
  <c r="AA35" i="1"/>
  <c r="M17" i="2"/>
  <c r="AA33" i="1"/>
  <c r="AL56" i="1"/>
  <c r="K55" i="2" s="1"/>
  <c r="AL48" i="1"/>
  <c r="K47" i="2" s="1"/>
  <c r="AA50" i="1"/>
  <c r="AL45" i="1"/>
  <c r="K44" i="2" s="1"/>
  <c r="AL75" i="1"/>
  <c r="K74" i="2" s="1"/>
  <c r="AL65" i="1"/>
  <c r="K64" i="2" s="1"/>
  <c r="AL49" i="1"/>
  <c r="K48" i="2" s="1"/>
  <c r="AA22" i="1"/>
  <c r="AL60" i="1"/>
  <c r="K59" i="2" s="1"/>
  <c r="AL52" i="1"/>
  <c r="K51" i="2" s="1"/>
  <c r="AL44" i="1"/>
  <c r="K43" i="2" s="1"/>
  <c r="AL71" i="1"/>
  <c r="K70" i="2" s="1"/>
  <c r="AA46" i="1"/>
  <c r="AL26" i="1"/>
  <c r="K25" i="2" s="1"/>
  <c r="AL27" i="1"/>
  <c r="K26" i="2" s="1"/>
  <c r="AA12" i="1"/>
  <c r="AA20" i="1"/>
  <c r="M53" i="2"/>
  <c r="AL17" i="1"/>
  <c r="K16" i="2" s="1"/>
  <c r="AL29" i="1"/>
  <c r="K28" i="2" s="1"/>
  <c r="AA41" i="1" l="1"/>
  <c r="AC24" i="1"/>
  <c r="AA8" i="1"/>
  <c r="K7" i="2"/>
  <c r="AA43" i="1"/>
  <c r="AC43" i="1" s="1"/>
  <c r="AA37" i="1"/>
  <c r="M36" i="2" s="1"/>
  <c r="K36" i="2"/>
  <c r="AA63" i="1"/>
  <c r="AC63" i="1" s="1"/>
  <c r="K62" i="2"/>
  <c r="AA10" i="1"/>
  <c r="AA44" i="1"/>
  <c r="AC8" i="1"/>
  <c r="M7" i="2"/>
  <c r="AA6" i="1"/>
  <c r="AA38" i="1"/>
  <c r="AA74" i="1"/>
  <c r="AA15" i="1"/>
  <c r="AA13" i="1"/>
  <c r="AA11" i="1"/>
  <c r="AC47" i="1"/>
  <c r="M46" i="2"/>
  <c r="AA68" i="1"/>
  <c r="AA29" i="1"/>
  <c r="AA56" i="1"/>
  <c r="AA34" i="1"/>
  <c r="AA19" i="1"/>
  <c r="AA58" i="1"/>
  <c r="AC12" i="1"/>
  <c r="M11" i="2"/>
  <c r="AC46" i="1"/>
  <c r="M45" i="2"/>
  <c r="AA60" i="1"/>
  <c r="AC35" i="1"/>
  <c r="M34" i="2"/>
  <c r="AA21" i="1"/>
  <c r="AA67" i="1"/>
  <c r="M71" i="2"/>
  <c r="AC72" i="1"/>
  <c r="AC31" i="1"/>
  <c r="M30" i="2"/>
  <c r="AA53" i="1"/>
  <c r="AC16" i="1"/>
  <c r="M15" i="2"/>
  <c r="AA62" i="1"/>
  <c r="AA42" i="1"/>
  <c r="AA48" i="1"/>
  <c r="AA23" i="1"/>
  <c r="AA25" i="1"/>
  <c r="AA75" i="1"/>
  <c r="AA17" i="1"/>
  <c r="AA45" i="1"/>
  <c r="AC33" i="1"/>
  <c r="M32" i="2"/>
  <c r="AA70" i="1"/>
  <c r="AA32" i="1"/>
  <c r="AA73" i="1"/>
  <c r="AA28" i="1"/>
  <c r="AA26" i="1"/>
  <c r="AC20" i="1"/>
  <c r="M19" i="2"/>
  <c r="AA52" i="1"/>
  <c r="AA5" i="1"/>
  <c r="AC55" i="1"/>
  <c r="M54" i="2"/>
  <c r="AA36" i="1"/>
  <c r="AA27" i="1"/>
  <c r="AA71" i="1"/>
  <c r="AC22" i="1"/>
  <c r="M21" i="2"/>
  <c r="AA57" i="1"/>
  <c r="AC39" i="1"/>
  <c r="M38" i="2"/>
  <c r="AA61" i="1"/>
  <c r="AA7" i="1"/>
  <c r="AC51" i="1"/>
  <c r="M50" i="2"/>
  <c r="AA65" i="1"/>
  <c r="M3" i="2"/>
  <c r="AC59" i="1"/>
  <c r="M58" i="2"/>
  <c r="AA66" i="1"/>
  <c r="AA69" i="1"/>
  <c r="AA49" i="1"/>
  <c r="AC50" i="1"/>
  <c r="M49" i="2"/>
  <c r="AC41" i="1"/>
  <c r="M40" i="2"/>
  <c r="AA64" i="1"/>
  <c r="AA40" i="1"/>
  <c r="AA30" i="1"/>
  <c r="AA9" i="1"/>
  <c r="M62" i="2" l="1"/>
  <c r="AC37" i="1"/>
  <c r="M42" i="2"/>
  <c r="M9" i="2"/>
  <c r="AC10" i="1"/>
  <c r="M16" i="2"/>
  <c r="AC17" i="1"/>
  <c r="M28" i="2"/>
  <c r="AC29" i="1"/>
  <c r="AC49" i="1"/>
  <c r="M48" i="2"/>
  <c r="AC53" i="1"/>
  <c r="M52" i="2"/>
  <c r="AC45" i="1"/>
  <c r="M44" i="2"/>
  <c r="AC23" i="1"/>
  <c r="M22" i="2"/>
  <c r="M55" i="2"/>
  <c r="AC56" i="1"/>
  <c r="AC15" i="1"/>
  <c r="M14" i="2"/>
  <c r="AC65" i="1"/>
  <c r="M64" i="2"/>
  <c r="M47" i="2"/>
  <c r="AC48" i="1"/>
  <c r="M59" i="2"/>
  <c r="AC60" i="1"/>
  <c r="AC58" i="1"/>
  <c r="M57" i="2"/>
  <c r="M73" i="2"/>
  <c r="AC74" i="1"/>
  <c r="M70" i="2"/>
  <c r="AC71" i="1"/>
  <c r="M25" i="2"/>
  <c r="AC26" i="1"/>
  <c r="M51" i="2"/>
  <c r="AC52" i="1"/>
  <c r="M39" i="2"/>
  <c r="AC40" i="1"/>
  <c r="AC61" i="1"/>
  <c r="M60" i="2"/>
  <c r="M31" i="2"/>
  <c r="AC32" i="1"/>
  <c r="AC11" i="1"/>
  <c r="M10" i="2"/>
  <c r="AC6" i="1"/>
  <c r="M5" i="2"/>
  <c r="M4" i="2"/>
  <c r="AC5" i="1"/>
  <c r="M74" i="2"/>
  <c r="AC75" i="1"/>
  <c r="M41" i="2"/>
  <c r="AC42" i="1"/>
  <c r="AC19" i="1"/>
  <c r="M18" i="2"/>
  <c r="M67" i="2"/>
  <c r="AC68" i="1"/>
  <c r="M37" i="2"/>
  <c r="AC38" i="1"/>
  <c r="M8" i="2"/>
  <c r="AC9" i="1"/>
  <c r="M68" i="2"/>
  <c r="AC69" i="1"/>
  <c r="AC27" i="1"/>
  <c r="M26" i="2"/>
  <c r="AC28" i="1"/>
  <c r="M27" i="2"/>
  <c r="M20" i="2"/>
  <c r="AC21" i="1"/>
  <c r="M63" i="2"/>
  <c r="AC64" i="1"/>
  <c r="M69" i="2"/>
  <c r="AC70" i="1"/>
  <c r="M33" i="2"/>
  <c r="AC34" i="1"/>
  <c r="M12" i="2"/>
  <c r="AC13" i="1"/>
  <c r="M43" i="2"/>
  <c r="AC44" i="1"/>
  <c r="AC67" i="1"/>
  <c r="M66" i="2"/>
  <c r="AC57" i="1"/>
  <c r="M56" i="2"/>
  <c r="M24" i="2"/>
  <c r="AC25" i="1"/>
  <c r="AC62" i="1"/>
  <c r="M61" i="2"/>
  <c r="AC30" i="1"/>
  <c r="M29" i="2"/>
  <c r="AC66" i="1"/>
  <c r="M65" i="2"/>
  <c r="AC7" i="1"/>
  <c r="M6" i="2"/>
  <c r="M35" i="2"/>
  <c r="AC36" i="1"/>
  <c r="M72" i="2"/>
  <c r="AC73" i="1"/>
  <c r="AB4" i="1"/>
  <c r="L3" i="2" s="1"/>
  <c r="O3" i="2" s="1" a="1"/>
  <c r="O3" i="2" s="1"/>
  <c r="AA4" i="1"/>
  <c r="AC4" i="1" s="1"/>
  <c r="F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<sst xmlns="http://schemas.openxmlformats.org/spreadsheetml/2006/main" count="224" uniqueCount="65">
  <si>
    <t>Asset Parameters (normalized by commodity feedstock)</t>
  </si>
  <si>
    <t>Duals</t>
  </si>
  <si>
    <t>LCOE for ethanol production ($/MWh-ethanol)</t>
  </si>
  <si>
    <t>CI</t>
  </si>
  <si>
    <t>CREDIT</t>
  </si>
  <si>
    <t>NET CARBON INTENSITY + credit for capture</t>
  </si>
  <si>
    <t>CREDIT for capture/storage + PAY for storage</t>
  </si>
  <si>
    <t>Carbon Content</t>
  </si>
  <si>
    <t>Carbon Inputs</t>
  </si>
  <si>
    <t>Carbon Outputs</t>
  </si>
  <si>
    <t>Sanity Checks</t>
  </si>
  <si>
    <t>id</t>
  </si>
  <si>
    <t>commodity</t>
  </si>
  <si>
    <t>elec_production (MWh/t-bio)</t>
  </si>
  <si>
    <t>elec_consumption (MWh/t-bio)</t>
  </si>
  <si>
    <t>co2_biomass_content (t-CO2/t-bio)</t>
  </si>
  <si>
    <t>process_capture_rate (t-CO2/t-bio)</t>
  </si>
  <si>
    <t>process_emission_rate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</si>
  <si>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</si>
  <si>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</si>
  <si>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</si>
  <si>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</si>
  <si>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</si>
  <si>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biocorn_supply ($/t)</t>
  </si>
  <si>
    <t>bioherb_supply ($/t)</t>
  </si>
  <si>
    <t>biowood_supply ($/t)</t>
  </si>
  <si>
    <t>bioagri_supply ($/t)</t>
  </si>
  <si>
    <t>elec_demand ($/MWh)</t>
  </si>
  <si>
    <t>id_LC</t>
  </si>
  <si>
    <t>commodity_LC</t>
  </si>
  <si>
    <t>LCOE ($/MWh-ethanol)</t>
  </si>
  <si>
    <t>LCOE ($/GJ-ethanol)</t>
  </si>
  <si>
    <t>Diff. Between Methods ($/MWh)</t>
  </si>
  <si>
    <t>elec_production</t>
  </si>
  <si>
    <t>elec_consumption</t>
  </si>
  <si>
    <t>biomass_consumption</t>
  </si>
  <si>
    <t>natgas_consumption</t>
  </si>
  <si>
    <t>investment_cost</t>
  </si>
  <si>
    <t>fixed_om_cost</t>
  </si>
  <si>
    <t>variable_om_cost</t>
  </si>
  <si>
    <t>modified capture cost</t>
  </si>
  <si>
    <t>modified emissions cost</t>
  </si>
  <si>
    <t>Biomass CO2 content (t-CO2/t-bio)</t>
  </si>
  <si>
    <t>Ethanol (t-CO2/MWh-ethanol)</t>
  </si>
  <si>
    <t>Carbon INPUT - OUTPUT</t>
  </si>
  <si>
    <t>Biomass_Herb</t>
  </si>
  <si>
    <t>Biomass_Wood</t>
  </si>
  <si>
    <t>Biomass_Agri</t>
  </si>
  <si>
    <t>Biomass_Corn</t>
  </si>
  <si>
    <t>UNSORTED</t>
  </si>
  <si>
    <t>SORTED</t>
  </si>
  <si>
    <t>CA_Gasoline_Gasification_Non_CCS_Herb</t>
  </si>
  <si>
    <t>gasoline_production (MWh-gasoline/t-bio)</t>
  </si>
  <si>
    <t>jetfuel_production (MWh-jetfuel/t-bio)</t>
  </si>
  <si>
    <t>diesel_production (MWh-diesel/t-bio)</t>
  </si>
  <si>
    <t>Gasoline (t-CO2/MWh-gasoline)</t>
  </si>
  <si>
    <t>Diesel (t-CO2/MWh-diesel)</t>
  </si>
  <si>
    <t>JetFuel (t-CO2/MWh-jetfuel)</t>
  </si>
  <si>
    <t>fuel_production (MWh-fuel/t-bio)</t>
  </si>
  <si>
    <t>Biomass (t-CO2/t-bio)</t>
  </si>
  <si>
    <t>Gasoline (t-CO2/t-bio)</t>
  </si>
  <si>
    <t>Diesel (t-CO2/t-bio)</t>
  </si>
  <si>
    <t>JetFuel (t-CO2/t-bio)</t>
  </si>
  <si>
    <t>Process Emissions (t-CO2/t-bio)</t>
  </si>
  <si>
    <t>Process Captured (t-CO2/t-bio)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</si>
</sst>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8E8FF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6D3D6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8E8FF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2" fillId="0" borderId="0" xfId="0" applyFont="1"/>
    <xf numFmtId="0" fontId="0" fillId="14" borderId="0" xfId="0" applyFill="1"/>
    <xf numFmtId="0" fontId="3" fillId="14" borderId="0" xfId="0" applyFont="1" applyFill="1"/>
    <xf numFmtId="164" fontId="1" fillId="15" borderId="0" xfId="0" applyNumberFormat="1" applyFont="1" applyFill="1"/>
    <xf numFmtId="0" fontId="0" fillId="16" borderId="0" xfId="0" applyFill="1"/>
    <xf numFmtId="0" fontId="0" fillId="17" borderId="0" xfId="0" applyFill="1"/>
    <xf numFmtId="0" fontId="4" fillId="18" borderId="0" xfId="0" applyFont="1" applyFill="1"/>
    <xf numFmtId="0" fontId="0" fillId="19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E8FF"/>
      <color rgb="FF2F5496"/>
      <color rgb="FFADD8E6"/>
      <color rgb="FFF6D3D6"/>
      <color rgb="FFFCE4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lc_summary!$P$2</c:f>
              <c:strCache>
                <c:ptCount val="1"/>
                <c:pt idx="0">
                  <c:v>elec_production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0</c:v>
                </c:pt>
                <c:pt idx="1">
                  <c:v>CA_Gasoline_Gasification_Non_CCS_Herb</c:v>
                </c:pt>
                <c:pt idx="2">
                  <c:v>CA_Gasoline_Gasification_Non_CCS_Herb</c:v>
                </c:pt>
                <c:pt idx="3">
                  <c:v>CA_Gasoline_Gasification_Non_CCS_Herb</c:v>
                </c:pt>
                <c:pt idx="4">
                  <c:v>CA_Gasoline_Gasification_Non_CCS_Herb</c:v>
                </c:pt>
                <c:pt idx="5">
                  <c:v>CA_Gasoline_Gasification_Non_CCS_Herb</c:v>
                </c:pt>
                <c:pt idx="6">
                  <c:v>CA_Gasoline_Gasification_Non_CCS_Herb</c:v>
                </c:pt>
                <c:pt idx="7">
                  <c:v>0</c:v>
                </c:pt>
                <c:pt idx="8">
                  <c:v>0</c:v>
                </c:pt>
                <c:pt idx="9">
                  <c:v>CA_Gasoline_Gasification_Non_CCS_Herb</c:v>
                </c:pt>
                <c:pt idx="10">
                  <c:v>0</c:v>
                </c:pt>
                <c:pt idx="11">
                  <c:v>CA_Gasoline_Gasification_Non_CCS_Herb</c:v>
                </c:pt>
                <c:pt idx="12">
                  <c:v>CA_Gasoline_Gasification_Non_CCS_Herb</c:v>
                </c:pt>
                <c:pt idx="13">
                  <c:v>0</c:v>
                </c:pt>
                <c:pt idx="14">
                  <c:v>CA_Gasoline_Gasification_Non_CCS_Herb</c:v>
                </c:pt>
                <c:pt idx="15">
                  <c:v>0</c:v>
                </c:pt>
                <c:pt idx="16">
                  <c:v>0</c:v>
                </c:pt>
                <c:pt idx="17">
                  <c:v>CA_Gasoline_Gasification_Non_CCS_Herb</c:v>
                </c:pt>
                <c:pt idx="18">
                  <c:v>CA_Gasoline_Gasification_Non_CCS_Herb</c:v>
                </c:pt>
                <c:pt idx="19">
                  <c:v>CA_Gasoline_Gasification_Non_CCS_Herb</c:v>
                </c:pt>
                <c:pt idx="20">
                  <c:v>CA_Gasoline_Gasification_Non_CCS_Herb</c:v>
                </c:pt>
                <c:pt idx="21">
                  <c:v>CA_Gasoline_Gasification_Non_CCS_Herb</c:v>
                </c:pt>
                <c:pt idx="22">
                  <c:v>CA_Gasoline_Gasification_Non_CCS_Herb</c:v>
                </c:pt>
                <c:pt idx="23">
                  <c:v>CA_Gasoline_Gasification_Non_CCS_Herb</c:v>
                </c:pt>
                <c:pt idx="24">
                  <c:v>CA_Gasoline_Gasification_Non_CCS_Herb</c:v>
                </c:pt>
                <c:pt idx="25">
                  <c:v>CA_Gasoline_Gasification_Non_CCS_Herb</c:v>
                </c:pt>
                <c:pt idx="26">
                  <c:v>CA_Gasoline_Gasification_Non_CCS_Herb</c:v>
                </c:pt>
                <c:pt idx="27">
                  <c:v>CA_Gasoline_Gasification_Non_CCS_Herb</c:v>
                </c:pt>
                <c:pt idx="28">
                  <c:v>CA_Gasoline_Gasification_Non_CCS_Herb</c:v>
                </c:pt>
                <c:pt idx="29">
                  <c:v>CA_Gasoline_Gasification_Non_CCS_Herb</c:v>
                </c:pt>
                <c:pt idx="30">
                  <c:v>CA_Gasoline_Gasification_Non_CCS_Herb</c:v>
                </c:pt>
                <c:pt idx="31">
                  <c:v>CA_Gasoline_Gasification_Non_CCS_Herb</c:v>
                </c:pt>
                <c:pt idx="32">
                  <c:v>CA_Gasoline_Gasification_Non_CCS_Herb</c:v>
                </c:pt>
                <c:pt idx="33">
                  <c:v>CA_Gasoline_Gasification_Non_CCS_Herb</c:v>
                </c:pt>
                <c:pt idx="34">
                  <c:v>CA_Gasoline_Gasification_Non_CCS_Herb</c:v>
                </c:pt>
                <c:pt idx="35">
                  <c:v>CA_Gasoline_Gasification_Non_CCS_Herb</c:v>
                </c:pt>
                <c:pt idx="36">
                  <c:v>CA_Gasoline_Gasification_Non_CCS_Herb</c:v>
                </c:pt>
                <c:pt idx="37">
                  <c:v>CA_Gasoline_Gasification_Non_CCS_Herb</c:v>
                </c:pt>
                <c:pt idx="38">
                  <c:v>CA_Gasoline_Gasification_Non_CCS_Herb</c:v>
                </c:pt>
                <c:pt idx="39">
                  <c:v>CA_Gasoline_Gasification_Non_CCS_Herb</c:v>
                </c:pt>
                <c:pt idx="40">
                  <c:v>CA_Gasoline_Gasification_Non_CCS_Herb</c:v>
                </c:pt>
                <c:pt idx="41">
                  <c:v>CA_Gasoline_Gasification_Non_CCS_Herb</c:v>
                </c:pt>
                <c:pt idx="42">
                  <c:v>CA_Gasoline_Gasification_Non_CCS_Herb</c:v>
                </c:pt>
                <c:pt idx="43">
                  <c:v>CA_Gasoline_Gasification_Non_CCS_Herb</c:v>
                </c:pt>
                <c:pt idx="44">
                  <c:v>CA_Gasoline_Gasification_Non_CCS_Herb</c:v>
                </c:pt>
                <c:pt idx="45">
                  <c:v>CA_Gasoline_Gasification_Non_CCS_Herb</c:v>
                </c:pt>
                <c:pt idx="46">
                  <c:v>CA_Gasoline_Gasification_Non_CCS_Herb</c:v>
                </c:pt>
                <c:pt idx="47">
                  <c:v>CA_Gasoline_Gasification_Non_CCS_Herb</c:v>
                </c:pt>
                <c:pt idx="48">
                  <c:v>CA_Gasoline_Gasification_Non_CCS_Herb</c:v>
                </c:pt>
                <c:pt idx="49">
                  <c:v>CA_Gasoline_Gasification_Non_CCS_Herb</c:v>
                </c:pt>
                <c:pt idx="50">
                  <c:v>CA_Gasoline_Gasification_Non_CCS_Herb</c:v>
                </c:pt>
                <c:pt idx="51">
                  <c:v>CA_Gasoline_Gasification_Non_CCS_Herb</c:v>
                </c:pt>
                <c:pt idx="52">
                  <c:v>CA_Gasoline_Gasification_Non_CCS_Herb</c:v>
                </c:pt>
                <c:pt idx="53">
                  <c:v>CA_Gasoline_Gasification_Non_CCS_Herb</c:v>
                </c:pt>
                <c:pt idx="54">
                  <c:v>CA_Gasoline_Gasification_Non_CCS_Herb</c:v>
                </c:pt>
                <c:pt idx="55">
                  <c:v>CA_Gasoline_Gasification_Non_CCS_Herb</c:v>
                </c:pt>
                <c:pt idx="56">
                  <c:v>CA_Gasoline_Gasification_Non_CCS_Herb</c:v>
                </c:pt>
                <c:pt idx="57">
                  <c:v>CA_Gasoline_Gasification_Non_CCS_Herb</c:v>
                </c:pt>
                <c:pt idx="58">
                  <c:v>CA_Gasoline_Gasification_Non_CCS_Herb</c:v>
                </c:pt>
                <c:pt idx="59">
                  <c:v>CA_Gasoline_Gasification_Non_CCS_Herb</c:v>
                </c:pt>
                <c:pt idx="60">
                  <c:v>CA_Gasoline_Gasification_Non_CCS_Herb</c:v>
                </c:pt>
                <c:pt idx="61">
                  <c:v>CA_Gasoline_Gasification_Non_CCS_Herb</c:v>
                </c:pt>
                <c:pt idx="62">
                  <c:v>CA_Gasoline_Gasification_Non_CCS_Herb</c:v>
                </c:pt>
                <c:pt idx="63">
                  <c:v>CA_Gasoline_Gasification_Non_CCS_Herb</c:v>
                </c:pt>
                <c:pt idx="64">
                  <c:v>CA_Gasoline_Gasification_Non_CCS_Herb</c:v>
                </c:pt>
                <c:pt idx="65">
                  <c:v>CA_Gasoline_Gasification_Non_CCS_Herb</c:v>
                </c:pt>
                <c:pt idx="66">
                  <c:v>CA_Gasoline_Gasification_Non_CCS_Herb</c:v>
                </c:pt>
                <c:pt idx="67">
                  <c:v>CA_Gasoline_Gasification_Non_CCS_Herb</c:v>
                </c:pt>
                <c:pt idx="68">
                  <c:v>CA_Gasoline_Gasification_Non_CCS_Herb</c:v>
                </c:pt>
                <c:pt idx="69">
                  <c:v>CA_Gasoline_Gasification_Non_CCS_Herb</c:v>
                </c:pt>
                <c:pt idx="70">
                  <c:v>CA_Gasoline_Gasification_Non_CCS_Herb</c:v>
                </c:pt>
                <c:pt idx="71">
                  <c:v>CA_Gasoline_Gasification_Non_CCS_Herb</c:v>
                </c:pt>
              </c:strCache>
            </c:strRef>
          </c:cat>
          <c:val>
            <c:numRef>
              <c:f>lc_summary!$P$3:$P$74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-4.2470487513953117</c:v>
                </c:pt>
                <c:pt idx="38">
                  <c:v>-4.1235745351031508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-4.1236960660105977</c:v>
                </c:pt>
                <c:pt idx="46">
                  <c:v>-4.2472829150772933</c:v>
                </c:pt>
                <c:pt idx="47">
                  <c:v>0</c:v>
                </c:pt>
                <c:pt idx="48">
                  <c:v>0</c:v>
                </c:pt>
                <c:pt idx="49">
                  <c:v>-3.3145588377488719</c:v>
                </c:pt>
                <c:pt idx="50">
                  <c:v>-4.2464947082185818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-3.3142741931687283</c:v>
                </c:pt>
                <c:pt idx="56">
                  <c:v>-4.1248337198387555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-3.3133631799431353</c:v>
                </c:pt>
                <c:pt idx="61">
                  <c:v>-2.7324164346314324</c:v>
                </c:pt>
                <c:pt idx="62">
                  <c:v>0</c:v>
                </c:pt>
                <c:pt idx="63">
                  <c:v>0</c:v>
                </c:pt>
                <c:pt idx="64">
                  <c:v>-2.7330397246070137</c:v>
                </c:pt>
                <c:pt idx="65">
                  <c:v>0</c:v>
                </c:pt>
                <c:pt idx="66">
                  <c:v>-2.7334799882959251</c:v>
                </c:pt>
                <c:pt idx="67">
                  <c:v>0</c:v>
                </c:pt>
                <c:pt idx="68">
                  <c:v>-2.1829676197541801</c:v>
                </c:pt>
                <c:pt idx="69">
                  <c:v>0</c:v>
                </c:pt>
                <c:pt idx="70">
                  <c:v>-2.1826272589443856</c:v>
                </c:pt>
                <c:pt idx="71">
                  <c:v>-2.1835733922340474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3-A14F-96AF-FBF11932B5CA}"/>
            </c:ext>
          </c:extLst>
        </c:ser>
        <c:ser>
          <c:idx val="1"/>
          <c:order val="1"/>
          <c:tx>
            <c:strRef>
              <c:f>lc_summary!$Q$2</c:f>
              <c:strCache>
                <c:ptCount val="1"/>
                <c:pt idx="0">
                  <c:v>elec_consumption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0</c:v>
                </c:pt>
                <c:pt idx="1">
                  <c:v>CA_Gasoline_Gasification_Non_CCS_Herb</c:v>
                </c:pt>
                <c:pt idx="2">
                  <c:v>CA_Gasoline_Gasification_Non_CCS_Herb</c:v>
                </c:pt>
                <c:pt idx="3">
                  <c:v>CA_Gasoline_Gasification_Non_CCS_Herb</c:v>
                </c:pt>
                <c:pt idx="4">
                  <c:v>CA_Gasoline_Gasification_Non_CCS_Herb</c:v>
                </c:pt>
                <c:pt idx="5">
                  <c:v>CA_Gasoline_Gasification_Non_CCS_Herb</c:v>
                </c:pt>
                <c:pt idx="6">
                  <c:v>CA_Gasoline_Gasification_Non_CCS_Herb</c:v>
                </c:pt>
                <c:pt idx="7">
                  <c:v>0</c:v>
                </c:pt>
                <c:pt idx="8">
                  <c:v>0</c:v>
                </c:pt>
                <c:pt idx="9">
                  <c:v>CA_Gasoline_Gasification_Non_CCS_Herb</c:v>
                </c:pt>
                <c:pt idx="10">
                  <c:v>0</c:v>
                </c:pt>
                <c:pt idx="11">
                  <c:v>CA_Gasoline_Gasification_Non_CCS_Herb</c:v>
                </c:pt>
                <c:pt idx="12">
                  <c:v>CA_Gasoline_Gasification_Non_CCS_Herb</c:v>
                </c:pt>
                <c:pt idx="13">
                  <c:v>0</c:v>
                </c:pt>
                <c:pt idx="14">
                  <c:v>CA_Gasoline_Gasification_Non_CCS_Herb</c:v>
                </c:pt>
                <c:pt idx="15">
                  <c:v>0</c:v>
                </c:pt>
                <c:pt idx="16">
                  <c:v>0</c:v>
                </c:pt>
                <c:pt idx="17">
                  <c:v>CA_Gasoline_Gasification_Non_CCS_Herb</c:v>
                </c:pt>
                <c:pt idx="18">
                  <c:v>CA_Gasoline_Gasification_Non_CCS_Herb</c:v>
                </c:pt>
                <c:pt idx="19">
                  <c:v>CA_Gasoline_Gasification_Non_CCS_Herb</c:v>
                </c:pt>
                <c:pt idx="20">
                  <c:v>CA_Gasoline_Gasification_Non_CCS_Herb</c:v>
                </c:pt>
                <c:pt idx="21">
                  <c:v>CA_Gasoline_Gasification_Non_CCS_Herb</c:v>
                </c:pt>
                <c:pt idx="22">
                  <c:v>CA_Gasoline_Gasification_Non_CCS_Herb</c:v>
                </c:pt>
                <c:pt idx="23">
                  <c:v>CA_Gasoline_Gasification_Non_CCS_Herb</c:v>
                </c:pt>
                <c:pt idx="24">
                  <c:v>CA_Gasoline_Gasification_Non_CCS_Herb</c:v>
                </c:pt>
                <c:pt idx="25">
                  <c:v>CA_Gasoline_Gasification_Non_CCS_Herb</c:v>
                </c:pt>
                <c:pt idx="26">
                  <c:v>CA_Gasoline_Gasification_Non_CCS_Herb</c:v>
                </c:pt>
                <c:pt idx="27">
                  <c:v>CA_Gasoline_Gasification_Non_CCS_Herb</c:v>
                </c:pt>
                <c:pt idx="28">
                  <c:v>CA_Gasoline_Gasification_Non_CCS_Herb</c:v>
                </c:pt>
                <c:pt idx="29">
                  <c:v>CA_Gasoline_Gasification_Non_CCS_Herb</c:v>
                </c:pt>
                <c:pt idx="30">
                  <c:v>CA_Gasoline_Gasification_Non_CCS_Herb</c:v>
                </c:pt>
                <c:pt idx="31">
                  <c:v>CA_Gasoline_Gasification_Non_CCS_Herb</c:v>
                </c:pt>
                <c:pt idx="32">
                  <c:v>CA_Gasoline_Gasification_Non_CCS_Herb</c:v>
                </c:pt>
                <c:pt idx="33">
                  <c:v>CA_Gasoline_Gasification_Non_CCS_Herb</c:v>
                </c:pt>
                <c:pt idx="34">
                  <c:v>CA_Gasoline_Gasification_Non_CCS_Herb</c:v>
                </c:pt>
                <c:pt idx="35">
                  <c:v>CA_Gasoline_Gasification_Non_CCS_Herb</c:v>
                </c:pt>
                <c:pt idx="36">
                  <c:v>CA_Gasoline_Gasification_Non_CCS_Herb</c:v>
                </c:pt>
                <c:pt idx="37">
                  <c:v>CA_Gasoline_Gasification_Non_CCS_Herb</c:v>
                </c:pt>
                <c:pt idx="38">
                  <c:v>CA_Gasoline_Gasification_Non_CCS_Herb</c:v>
                </c:pt>
                <c:pt idx="39">
                  <c:v>CA_Gasoline_Gasification_Non_CCS_Herb</c:v>
                </c:pt>
                <c:pt idx="40">
                  <c:v>CA_Gasoline_Gasification_Non_CCS_Herb</c:v>
                </c:pt>
                <c:pt idx="41">
                  <c:v>CA_Gasoline_Gasification_Non_CCS_Herb</c:v>
                </c:pt>
                <c:pt idx="42">
                  <c:v>CA_Gasoline_Gasification_Non_CCS_Herb</c:v>
                </c:pt>
                <c:pt idx="43">
                  <c:v>CA_Gasoline_Gasification_Non_CCS_Herb</c:v>
                </c:pt>
                <c:pt idx="44">
                  <c:v>CA_Gasoline_Gasification_Non_CCS_Herb</c:v>
                </c:pt>
                <c:pt idx="45">
                  <c:v>CA_Gasoline_Gasification_Non_CCS_Herb</c:v>
                </c:pt>
                <c:pt idx="46">
                  <c:v>CA_Gasoline_Gasification_Non_CCS_Herb</c:v>
                </c:pt>
                <c:pt idx="47">
                  <c:v>CA_Gasoline_Gasification_Non_CCS_Herb</c:v>
                </c:pt>
                <c:pt idx="48">
                  <c:v>CA_Gasoline_Gasification_Non_CCS_Herb</c:v>
                </c:pt>
                <c:pt idx="49">
                  <c:v>CA_Gasoline_Gasification_Non_CCS_Herb</c:v>
                </c:pt>
                <c:pt idx="50">
                  <c:v>CA_Gasoline_Gasification_Non_CCS_Herb</c:v>
                </c:pt>
                <c:pt idx="51">
                  <c:v>CA_Gasoline_Gasification_Non_CCS_Herb</c:v>
                </c:pt>
                <c:pt idx="52">
                  <c:v>CA_Gasoline_Gasification_Non_CCS_Herb</c:v>
                </c:pt>
                <c:pt idx="53">
                  <c:v>CA_Gasoline_Gasification_Non_CCS_Herb</c:v>
                </c:pt>
                <c:pt idx="54">
                  <c:v>CA_Gasoline_Gasification_Non_CCS_Herb</c:v>
                </c:pt>
                <c:pt idx="55">
                  <c:v>CA_Gasoline_Gasification_Non_CCS_Herb</c:v>
                </c:pt>
                <c:pt idx="56">
                  <c:v>CA_Gasoline_Gasification_Non_CCS_Herb</c:v>
                </c:pt>
                <c:pt idx="57">
                  <c:v>CA_Gasoline_Gasification_Non_CCS_Herb</c:v>
                </c:pt>
                <c:pt idx="58">
                  <c:v>CA_Gasoline_Gasification_Non_CCS_Herb</c:v>
                </c:pt>
                <c:pt idx="59">
                  <c:v>CA_Gasoline_Gasification_Non_CCS_Herb</c:v>
                </c:pt>
                <c:pt idx="60">
                  <c:v>CA_Gasoline_Gasification_Non_CCS_Herb</c:v>
                </c:pt>
                <c:pt idx="61">
                  <c:v>CA_Gasoline_Gasification_Non_CCS_Herb</c:v>
                </c:pt>
                <c:pt idx="62">
                  <c:v>CA_Gasoline_Gasification_Non_CCS_Herb</c:v>
                </c:pt>
                <c:pt idx="63">
                  <c:v>CA_Gasoline_Gasification_Non_CCS_Herb</c:v>
                </c:pt>
                <c:pt idx="64">
                  <c:v>CA_Gasoline_Gasification_Non_CCS_Herb</c:v>
                </c:pt>
                <c:pt idx="65">
                  <c:v>CA_Gasoline_Gasification_Non_CCS_Herb</c:v>
                </c:pt>
                <c:pt idx="66">
                  <c:v>CA_Gasoline_Gasification_Non_CCS_Herb</c:v>
                </c:pt>
                <c:pt idx="67">
                  <c:v>CA_Gasoline_Gasification_Non_CCS_Herb</c:v>
                </c:pt>
                <c:pt idx="68">
                  <c:v>CA_Gasoline_Gasification_Non_CCS_Herb</c:v>
                </c:pt>
                <c:pt idx="69">
                  <c:v>CA_Gasoline_Gasification_Non_CCS_Herb</c:v>
                </c:pt>
                <c:pt idx="70">
                  <c:v>CA_Gasoline_Gasification_Non_CCS_Herb</c:v>
                </c:pt>
                <c:pt idx="71">
                  <c:v>CA_Gasoline_Gasification_Non_CCS_Herb</c:v>
                </c:pt>
              </c:strCache>
            </c:strRef>
          </c:cat>
          <c:val>
            <c:numRef>
              <c:f>lc_summary!$Q$3:$Q$74</c:f>
              <c:numCache>
                <c:formatCode>General</c:formatCode>
                <c:ptCount val="72"/>
                <c:pt idx="0">
                  <c:v>1.3043611278934286</c:v>
                </c:pt>
                <c:pt idx="1">
                  <c:v>0.73605181175742107</c:v>
                </c:pt>
                <c:pt idx="2">
                  <c:v>1.0048323719933401</c:v>
                </c:pt>
                <c:pt idx="3">
                  <c:v>0.76970088018920757</c:v>
                </c:pt>
                <c:pt idx="4">
                  <c:v>0.73605181175742107</c:v>
                </c:pt>
                <c:pt idx="5">
                  <c:v>1.0048323719933401</c:v>
                </c:pt>
                <c:pt idx="6">
                  <c:v>0.55615943203436513</c:v>
                </c:pt>
                <c:pt idx="7">
                  <c:v>0.76970088018920757</c:v>
                </c:pt>
                <c:pt idx="8">
                  <c:v>0.55615943203436513</c:v>
                </c:pt>
                <c:pt idx="9">
                  <c:v>0.69621158107157877</c:v>
                </c:pt>
                <c:pt idx="10">
                  <c:v>0.69621158107157877</c:v>
                </c:pt>
                <c:pt idx="11">
                  <c:v>0.8442129170953</c:v>
                </c:pt>
                <c:pt idx="12">
                  <c:v>1.0506813864995876</c:v>
                </c:pt>
                <c:pt idx="13">
                  <c:v>0.8442129170953</c:v>
                </c:pt>
                <c:pt idx="14">
                  <c:v>1.0820498722750709</c:v>
                </c:pt>
                <c:pt idx="15">
                  <c:v>1.0506813864995876</c:v>
                </c:pt>
                <c:pt idx="16">
                  <c:v>1.0820498722750709</c:v>
                </c:pt>
                <c:pt idx="17">
                  <c:v>1.3043611278934286</c:v>
                </c:pt>
                <c:pt idx="18">
                  <c:v>0.55615943203436513</c:v>
                </c:pt>
                <c:pt idx="19">
                  <c:v>0.69621158107157877</c:v>
                </c:pt>
                <c:pt idx="20">
                  <c:v>0.73605181175742107</c:v>
                </c:pt>
                <c:pt idx="21">
                  <c:v>0.76970088018920757</c:v>
                </c:pt>
                <c:pt idx="22">
                  <c:v>0.8442129170953</c:v>
                </c:pt>
                <c:pt idx="23">
                  <c:v>1.0048323719933401</c:v>
                </c:pt>
                <c:pt idx="24">
                  <c:v>1.0506813864995876</c:v>
                </c:pt>
                <c:pt idx="25">
                  <c:v>1.0820498722750709</c:v>
                </c:pt>
                <c:pt idx="26">
                  <c:v>1.3043611278934286</c:v>
                </c:pt>
                <c:pt idx="27">
                  <c:v>3.5655528289290683</c:v>
                </c:pt>
                <c:pt idx="28">
                  <c:v>3.3582448903667879</c:v>
                </c:pt>
                <c:pt idx="29">
                  <c:v>4.2911553669232809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4.0478745598237085</c:v>
                </c:pt>
                <c:pt idx="34">
                  <c:v>2.9479583248809655</c:v>
                </c:pt>
                <c:pt idx="35">
                  <c:v>0</c:v>
                </c:pt>
                <c:pt idx="36">
                  <c:v>3.2104057693863788</c:v>
                </c:pt>
                <c:pt idx="37">
                  <c:v>0</c:v>
                </c:pt>
                <c:pt idx="38">
                  <c:v>0</c:v>
                </c:pt>
                <c:pt idx="39">
                  <c:v>3.8949405491783522</c:v>
                </c:pt>
                <c:pt idx="40">
                  <c:v>0</c:v>
                </c:pt>
                <c:pt idx="41">
                  <c:v>5.3622767669918439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5.076505166389099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4.8272842821767918</c:v>
                </c:pt>
                <c:pt idx="52">
                  <c:v>0</c:v>
                </c:pt>
                <c:pt idx="53">
                  <c:v>0</c:v>
                </c:pt>
                <c:pt idx="54">
                  <c:v>5.506518381119438</c:v>
                </c:pt>
                <c:pt idx="55">
                  <c:v>0</c:v>
                </c:pt>
                <c:pt idx="56">
                  <c:v>0</c:v>
                </c:pt>
                <c:pt idx="57">
                  <c:v>2.6945004434998232</c:v>
                </c:pt>
                <c:pt idx="58">
                  <c:v>5.0052727595303663</c:v>
                </c:pt>
                <c:pt idx="59">
                  <c:v>5.1994644802248535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2.5876475319045533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3-A14F-96AF-FBF11932B5CA}"/>
            </c:ext>
          </c:extLst>
        </c:ser>
        <c:ser>
          <c:idx val="2"/>
          <c:order val="2"/>
          <c:tx>
            <c:strRef>
              <c:f>lc_summary!$R$2</c:f>
              <c:strCache>
                <c:ptCount val="1"/>
                <c:pt idx="0">
                  <c:v>biomass_consumption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0</c:v>
                </c:pt>
                <c:pt idx="1">
                  <c:v>CA_Gasoline_Gasification_Non_CCS_Herb</c:v>
                </c:pt>
                <c:pt idx="2">
                  <c:v>CA_Gasoline_Gasification_Non_CCS_Herb</c:v>
                </c:pt>
                <c:pt idx="3">
                  <c:v>CA_Gasoline_Gasification_Non_CCS_Herb</c:v>
                </c:pt>
                <c:pt idx="4">
                  <c:v>CA_Gasoline_Gasification_Non_CCS_Herb</c:v>
                </c:pt>
                <c:pt idx="5">
                  <c:v>CA_Gasoline_Gasification_Non_CCS_Herb</c:v>
                </c:pt>
                <c:pt idx="6">
                  <c:v>CA_Gasoline_Gasification_Non_CCS_Herb</c:v>
                </c:pt>
                <c:pt idx="7">
                  <c:v>0</c:v>
                </c:pt>
                <c:pt idx="8">
                  <c:v>0</c:v>
                </c:pt>
                <c:pt idx="9">
                  <c:v>CA_Gasoline_Gasification_Non_CCS_Herb</c:v>
                </c:pt>
                <c:pt idx="10">
                  <c:v>0</c:v>
                </c:pt>
                <c:pt idx="11">
                  <c:v>CA_Gasoline_Gasification_Non_CCS_Herb</c:v>
                </c:pt>
                <c:pt idx="12">
                  <c:v>CA_Gasoline_Gasification_Non_CCS_Herb</c:v>
                </c:pt>
                <c:pt idx="13">
                  <c:v>0</c:v>
                </c:pt>
                <c:pt idx="14">
                  <c:v>CA_Gasoline_Gasification_Non_CCS_Herb</c:v>
                </c:pt>
                <c:pt idx="15">
                  <c:v>0</c:v>
                </c:pt>
                <c:pt idx="16">
                  <c:v>0</c:v>
                </c:pt>
                <c:pt idx="17">
                  <c:v>CA_Gasoline_Gasification_Non_CCS_Herb</c:v>
                </c:pt>
                <c:pt idx="18">
                  <c:v>CA_Gasoline_Gasification_Non_CCS_Herb</c:v>
                </c:pt>
                <c:pt idx="19">
                  <c:v>CA_Gasoline_Gasification_Non_CCS_Herb</c:v>
                </c:pt>
                <c:pt idx="20">
                  <c:v>CA_Gasoline_Gasification_Non_CCS_Herb</c:v>
                </c:pt>
                <c:pt idx="21">
                  <c:v>CA_Gasoline_Gasification_Non_CCS_Herb</c:v>
                </c:pt>
                <c:pt idx="22">
                  <c:v>CA_Gasoline_Gasification_Non_CCS_Herb</c:v>
                </c:pt>
                <c:pt idx="23">
                  <c:v>CA_Gasoline_Gasification_Non_CCS_Herb</c:v>
                </c:pt>
                <c:pt idx="24">
                  <c:v>CA_Gasoline_Gasification_Non_CCS_Herb</c:v>
                </c:pt>
                <c:pt idx="25">
                  <c:v>CA_Gasoline_Gasification_Non_CCS_Herb</c:v>
                </c:pt>
                <c:pt idx="26">
                  <c:v>CA_Gasoline_Gasification_Non_CCS_Herb</c:v>
                </c:pt>
                <c:pt idx="27">
                  <c:v>CA_Gasoline_Gasification_Non_CCS_Herb</c:v>
                </c:pt>
                <c:pt idx="28">
                  <c:v>CA_Gasoline_Gasification_Non_CCS_Herb</c:v>
                </c:pt>
                <c:pt idx="29">
                  <c:v>CA_Gasoline_Gasification_Non_CCS_Herb</c:v>
                </c:pt>
                <c:pt idx="30">
                  <c:v>CA_Gasoline_Gasification_Non_CCS_Herb</c:v>
                </c:pt>
                <c:pt idx="31">
                  <c:v>CA_Gasoline_Gasification_Non_CCS_Herb</c:v>
                </c:pt>
                <c:pt idx="32">
                  <c:v>CA_Gasoline_Gasification_Non_CCS_Herb</c:v>
                </c:pt>
                <c:pt idx="33">
                  <c:v>CA_Gasoline_Gasification_Non_CCS_Herb</c:v>
                </c:pt>
                <c:pt idx="34">
                  <c:v>CA_Gasoline_Gasification_Non_CCS_Herb</c:v>
                </c:pt>
                <c:pt idx="35">
                  <c:v>CA_Gasoline_Gasification_Non_CCS_Herb</c:v>
                </c:pt>
                <c:pt idx="36">
                  <c:v>CA_Gasoline_Gasification_Non_CCS_Herb</c:v>
                </c:pt>
                <c:pt idx="37">
                  <c:v>CA_Gasoline_Gasification_Non_CCS_Herb</c:v>
                </c:pt>
                <c:pt idx="38">
                  <c:v>CA_Gasoline_Gasification_Non_CCS_Herb</c:v>
                </c:pt>
                <c:pt idx="39">
                  <c:v>CA_Gasoline_Gasification_Non_CCS_Herb</c:v>
                </c:pt>
                <c:pt idx="40">
                  <c:v>CA_Gasoline_Gasification_Non_CCS_Herb</c:v>
                </c:pt>
                <c:pt idx="41">
                  <c:v>CA_Gasoline_Gasification_Non_CCS_Herb</c:v>
                </c:pt>
                <c:pt idx="42">
                  <c:v>CA_Gasoline_Gasification_Non_CCS_Herb</c:v>
                </c:pt>
                <c:pt idx="43">
                  <c:v>CA_Gasoline_Gasification_Non_CCS_Herb</c:v>
                </c:pt>
                <c:pt idx="44">
                  <c:v>CA_Gasoline_Gasification_Non_CCS_Herb</c:v>
                </c:pt>
                <c:pt idx="45">
                  <c:v>CA_Gasoline_Gasification_Non_CCS_Herb</c:v>
                </c:pt>
                <c:pt idx="46">
                  <c:v>CA_Gasoline_Gasification_Non_CCS_Herb</c:v>
                </c:pt>
                <c:pt idx="47">
                  <c:v>CA_Gasoline_Gasification_Non_CCS_Herb</c:v>
                </c:pt>
                <c:pt idx="48">
                  <c:v>CA_Gasoline_Gasification_Non_CCS_Herb</c:v>
                </c:pt>
                <c:pt idx="49">
                  <c:v>CA_Gasoline_Gasification_Non_CCS_Herb</c:v>
                </c:pt>
                <c:pt idx="50">
                  <c:v>CA_Gasoline_Gasification_Non_CCS_Herb</c:v>
                </c:pt>
                <c:pt idx="51">
                  <c:v>CA_Gasoline_Gasification_Non_CCS_Herb</c:v>
                </c:pt>
                <c:pt idx="52">
                  <c:v>CA_Gasoline_Gasification_Non_CCS_Herb</c:v>
                </c:pt>
                <c:pt idx="53">
                  <c:v>CA_Gasoline_Gasification_Non_CCS_Herb</c:v>
                </c:pt>
                <c:pt idx="54">
                  <c:v>CA_Gasoline_Gasification_Non_CCS_Herb</c:v>
                </c:pt>
                <c:pt idx="55">
                  <c:v>CA_Gasoline_Gasification_Non_CCS_Herb</c:v>
                </c:pt>
                <c:pt idx="56">
                  <c:v>CA_Gasoline_Gasification_Non_CCS_Herb</c:v>
                </c:pt>
                <c:pt idx="57">
                  <c:v>CA_Gasoline_Gasification_Non_CCS_Herb</c:v>
                </c:pt>
                <c:pt idx="58">
                  <c:v>CA_Gasoline_Gasification_Non_CCS_Herb</c:v>
                </c:pt>
                <c:pt idx="59">
                  <c:v>CA_Gasoline_Gasification_Non_CCS_Herb</c:v>
                </c:pt>
                <c:pt idx="60">
                  <c:v>CA_Gasoline_Gasification_Non_CCS_Herb</c:v>
                </c:pt>
                <c:pt idx="61">
                  <c:v>CA_Gasoline_Gasification_Non_CCS_Herb</c:v>
                </c:pt>
                <c:pt idx="62">
                  <c:v>CA_Gasoline_Gasification_Non_CCS_Herb</c:v>
                </c:pt>
                <c:pt idx="63">
                  <c:v>CA_Gasoline_Gasification_Non_CCS_Herb</c:v>
                </c:pt>
                <c:pt idx="64">
                  <c:v>CA_Gasoline_Gasification_Non_CCS_Herb</c:v>
                </c:pt>
                <c:pt idx="65">
                  <c:v>CA_Gasoline_Gasification_Non_CCS_Herb</c:v>
                </c:pt>
                <c:pt idx="66">
                  <c:v>CA_Gasoline_Gasification_Non_CCS_Herb</c:v>
                </c:pt>
                <c:pt idx="67">
                  <c:v>CA_Gasoline_Gasification_Non_CCS_Herb</c:v>
                </c:pt>
                <c:pt idx="68">
                  <c:v>CA_Gasoline_Gasification_Non_CCS_Herb</c:v>
                </c:pt>
                <c:pt idx="69">
                  <c:v>CA_Gasoline_Gasification_Non_CCS_Herb</c:v>
                </c:pt>
                <c:pt idx="70">
                  <c:v>CA_Gasoline_Gasification_Non_CCS_Herb</c:v>
                </c:pt>
                <c:pt idx="71">
                  <c:v>CA_Gasoline_Gasification_Non_CCS_Herb</c:v>
                </c:pt>
              </c:strCache>
            </c:strRef>
          </c:cat>
          <c:val>
            <c:numRef>
              <c:f>lc_summary!$R$3:$R$74</c:f>
              <c:numCache>
                <c:formatCode>General</c:formatCode>
                <c:ptCount val="72"/>
                <c:pt idx="0">
                  <c:v>54.762078186656993</c:v>
                </c:pt>
                <c:pt idx="1">
                  <c:v>54.762078186656993</c:v>
                </c:pt>
                <c:pt idx="2">
                  <c:v>54.762078186656993</c:v>
                </c:pt>
                <c:pt idx="3">
                  <c:v>54.762078186656993</c:v>
                </c:pt>
                <c:pt idx="4">
                  <c:v>54.762078186656993</c:v>
                </c:pt>
                <c:pt idx="5">
                  <c:v>54.762078186656993</c:v>
                </c:pt>
                <c:pt idx="6">
                  <c:v>54.762078186656993</c:v>
                </c:pt>
                <c:pt idx="7">
                  <c:v>54.762078186656993</c:v>
                </c:pt>
                <c:pt idx="8">
                  <c:v>54.762078186656993</c:v>
                </c:pt>
                <c:pt idx="9">
                  <c:v>54.762078186656993</c:v>
                </c:pt>
                <c:pt idx="10">
                  <c:v>54.762078186656993</c:v>
                </c:pt>
                <c:pt idx="11">
                  <c:v>54.762078186656993</c:v>
                </c:pt>
                <c:pt idx="12">
                  <c:v>54.762078186656993</c:v>
                </c:pt>
                <c:pt idx="13">
                  <c:v>54.762078186656993</c:v>
                </c:pt>
                <c:pt idx="14">
                  <c:v>54.762078186656993</c:v>
                </c:pt>
                <c:pt idx="15">
                  <c:v>54.762078186656993</c:v>
                </c:pt>
                <c:pt idx="16">
                  <c:v>54.762078186656993</c:v>
                </c:pt>
                <c:pt idx="17">
                  <c:v>54.762078186656993</c:v>
                </c:pt>
                <c:pt idx="18">
                  <c:v>54.762078186656993</c:v>
                </c:pt>
                <c:pt idx="19">
                  <c:v>54.762078186656993</c:v>
                </c:pt>
                <c:pt idx="20">
                  <c:v>54.762078186656993</c:v>
                </c:pt>
                <c:pt idx="21">
                  <c:v>54.762078186656993</c:v>
                </c:pt>
                <c:pt idx="22">
                  <c:v>54.762078186656993</c:v>
                </c:pt>
                <c:pt idx="23">
                  <c:v>54.762078186656993</c:v>
                </c:pt>
                <c:pt idx="24">
                  <c:v>54.762078186656993</c:v>
                </c:pt>
                <c:pt idx="25">
                  <c:v>54.762078186656993</c:v>
                </c:pt>
                <c:pt idx="26">
                  <c:v>54.762078186656993</c:v>
                </c:pt>
                <c:pt idx="27">
                  <c:v>52.868555686316462</c:v>
                </c:pt>
                <c:pt idx="28">
                  <c:v>55.653727327690454</c:v>
                </c:pt>
                <c:pt idx="29">
                  <c:v>48.869114945580044</c:v>
                </c:pt>
                <c:pt idx="30">
                  <c:v>47.36676528599606</c:v>
                </c:pt>
                <c:pt idx="31">
                  <c:v>48.869114945580044</c:v>
                </c:pt>
                <c:pt idx="32">
                  <c:v>47.53338914580344</c:v>
                </c:pt>
                <c:pt idx="33">
                  <c:v>52.169771122351882</c:v>
                </c:pt>
                <c:pt idx="34">
                  <c:v>61.656984276381351</c:v>
                </c:pt>
                <c:pt idx="35">
                  <c:v>50.281525611910162</c:v>
                </c:pt>
                <c:pt idx="36">
                  <c:v>61.366317310471054</c:v>
                </c:pt>
                <c:pt idx="37">
                  <c:v>47.53338914580344</c:v>
                </c:pt>
                <c:pt idx="38">
                  <c:v>47.36676528599606</c:v>
                </c:pt>
                <c:pt idx="39">
                  <c:v>55.672685171798946</c:v>
                </c:pt>
                <c:pt idx="40">
                  <c:v>52.169771122351882</c:v>
                </c:pt>
                <c:pt idx="41">
                  <c:v>47.36676528599606</c:v>
                </c:pt>
                <c:pt idx="42">
                  <c:v>50.579072475406548</c:v>
                </c:pt>
                <c:pt idx="43">
                  <c:v>52.868555686316462</c:v>
                </c:pt>
                <c:pt idx="44">
                  <c:v>52.50426245349567</c:v>
                </c:pt>
                <c:pt idx="45">
                  <c:v>50.281525611910162</c:v>
                </c:pt>
                <c:pt idx="46">
                  <c:v>50.579072475406548</c:v>
                </c:pt>
                <c:pt idx="47">
                  <c:v>50.281525611910162</c:v>
                </c:pt>
                <c:pt idx="48">
                  <c:v>54.336796717535272</c:v>
                </c:pt>
                <c:pt idx="49">
                  <c:v>48.869114945580044</c:v>
                </c:pt>
                <c:pt idx="50">
                  <c:v>52.50426245349567</c:v>
                </c:pt>
                <c:pt idx="51">
                  <c:v>54.336796717535272</c:v>
                </c:pt>
                <c:pt idx="52">
                  <c:v>55.653727327690454</c:v>
                </c:pt>
                <c:pt idx="53">
                  <c:v>55.672685171798946</c:v>
                </c:pt>
                <c:pt idx="54">
                  <c:v>47.53338914580344</c:v>
                </c:pt>
                <c:pt idx="55">
                  <c:v>52.169771122351882</c:v>
                </c:pt>
                <c:pt idx="56">
                  <c:v>54.336796717535272</c:v>
                </c:pt>
                <c:pt idx="57">
                  <c:v>69.801451343555485</c:v>
                </c:pt>
                <c:pt idx="58">
                  <c:v>52.50426245349567</c:v>
                </c:pt>
                <c:pt idx="59">
                  <c:v>50.579072475406548</c:v>
                </c:pt>
                <c:pt idx="60">
                  <c:v>55.672685171798946</c:v>
                </c:pt>
                <c:pt idx="61">
                  <c:v>52.868555686316462</c:v>
                </c:pt>
                <c:pt idx="62">
                  <c:v>61.366317310471054</c:v>
                </c:pt>
                <c:pt idx="63">
                  <c:v>76.727098702434745</c:v>
                </c:pt>
                <c:pt idx="64">
                  <c:v>55.653727327690454</c:v>
                </c:pt>
                <c:pt idx="65">
                  <c:v>61.656984276381351</c:v>
                </c:pt>
                <c:pt idx="66">
                  <c:v>61.366317310471054</c:v>
                </c:pt>
                <c:pt idx="67">
                  <c:v>69.801451343555485</c:v>
                </c:pt>
                <c:pt idx="68">
                  <c:v>61.656984276381351</c:v>
                </c:pt>
                <c:pt idx="69">
                  <c:v>76.727098702434745</c:v>
                </c:pt>
                <c:pt idx="70">
                  <c:v>69.801451343555485</c:v>
                </c:pt>
                <c:pt idx="71">
                  <c:v>76.727098702434745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C3-A14F-96AF-FBF11932B5CA}"/>
            </c:ext>
          </c:extLst>
        </c:ser>
        <c:ser>
          <c:idx val="3"/>
          <c:order val="3"/>
          <c:tx>
            <c:strRef>
              <c:f>lc_summary!$S$2</c:f>
              <c:strCache>
                <c:ptCount val="1"/>
                <c:pt idx="0">
                  <c:v>natgas_consumption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0</c:v>
                </c:pt>
                <c:pt idx="1">
                  <c:v>CA_Gasoline_Gasification_Non_CCS_Herb</c:v>
                </c:pt>
                <c:pt idx="2">
                  <c:v>CA_Gasoline_Gasification_Non_CCS_Herb</c:v>
                </c:pt>
                <c:pt idx="3">
                  <c:v>CA_Gasoline_Gasification_Non_CCS_Herb</c:v>
                </c:pt>
                <c:pt idx="4">
                  <c:v>CA_Gasoline_Gasification_Non_CCS_Herb</c:v>
                </c:pt>
                <c:pt idx="5">
                  <c:v>CA_Gasoline_Gasification_Non_CCS_Herb</c:v>
                </c:pt>
                <c:pt idx="6">
                  <c:v>CA_Gasoline_Gasification_Non_CCS_Herb</c:v>
                </c:pt>
                <c:pt idx="7">
                  <c:v>0</c:v>
                </c:pt>
                <c:pt idx="8">
                  <c:v>0</c:v>
                </c:pt>
                <c:pt idx="9">
                  <c:v>CA_Gasoline_Gasification_Non_CCS_Herb</c:v>
                </c:pt>
                <c:pt idx="10">
                  <c:v>0</c:v>
                </c:pt>
                <c:pt idx="11">
                  <c:v>CA_Gasoline_Gasification_Non_CCS_Herb</c:v>
                </c:pt>
                <c:pt idx="12">
                  <c:v>CA_Gasoline_Gasification_Non_CCS_Herb</c:v>
                </c:pt>
                <c:pt idx="13">
                  <c:v>0</c:v>
                </c:pt>
                <c:pt idx="14">
                  <c:v>CA_Gasoline_Gasification_Non_CCS_Herb</c:v>
                </c:pt>
                <c:pt idx="15">
                  <c:v>0</c:v>
                </c:pt>
                <c:pt idx="16">
                  <c:v>0</c:v>
                </c:pt>
                <c:pt idx="17">
                  <c:v>CA_Gasoline_Gasification_Non_CCS_Herb</c:v>
                </c:pt>
                <c:pt idx="18">
                  <c:v>CA_Gasoline_Gasification_Non_CCS_Herb</c:v>
                </c:pt>
                <c:pt idx="19">
                  <c:v>CA_Gasoline_Gasification_Non_CCS_Herb</c:v>
                </c:pt>
                <c:pt idx="20">
                  <c:v>CA_Gasoline_Gasification_Non_CCS_Herb</c:v>
                </c:pt>
                <c:pt idx="21">
                  <c:v>CA_Gasoline_Gasification_Non_CCS_Herb</c:v>
                </c:pt>
                <c:pt idx="22">
                  <c:v>CA_Gasoline_Gasification_Non_CCS_Herb</c:v>
                </c:pt>
                <c:pt idx="23">
                  <c:v>CA_Gasoline_Gasification_Non_CCS_Herb</c:v>
                </c:pt>
                <c:pt idx="24">
                  <c:v>CA_Gasoline_Gasification_Non_CCS_Herb</c:v>
                </c:pt>
                <c:pt idx="25">
                  <c:v>CA_Gasoline_Gasification_Non_CCS_Herb</c:v>
                </c:pt>
                <c:pt idx="26">
                  <c:v>CA_Gasoline_Gasification_Non_CCS_Herb</c:v>
                </c:pt>
                <c:pt idx="27">
                  <c:v>CA_Gasoline_Gasification_Non_CCS_Herb</c:v>
                </c:pt>
                <c:pt idx="28">
                  <c:v>CA_Gasoline_Gasification_Non_CCS_Herb</c:v>
                </c:pt>
                <c:pt idx="29">
                  <c:v>CA_Gasoline_Gasification_Non_CCS_Herb</c:v>
                </c:pt>
                <c:pt idx="30">
                  <c:v>CA_Gasoline_Gasification_Non_CCS_Herb</c:v>
                </c:pt>
                <c:pt idx="31">
                  <c:v>CA_Gasoline_Gasification_Non_CCS_Herb</c:v>
                </c:pt>
                <c:pt idx="32">
                  <c:v>CA_Gasoline_Gasification_Non_CCS_Herb</c:v>
                </c:pt>
                <c:pt idx="33">
                  <c:v>CA_Gasoline_Gasification_Non_CCS_Herb</c:v>
                </c:pt>
                <c:pt idx="34">
                  <c:v>CA_Gasoline_Gasification_Non_CCS_Herb</c:v>
                </c:pt>
                <c:pt idx="35">
                  <c:v>CA_Gasoline_Gasification_Non_CCS_Herb</c:v>
                </c:pt>
                <c:pt idx="36">
                  <c:v>CA_Gasoline_Gasification_Non_CCS_Herb</c:v>
                </c:pt>
                <c:pt idx="37">
                  <c:v>CA_Gasoline_Gasification_Non_CCS_Herb</c:v>
                </c:pt>
                <c:pt idx="38">
                  <c:v>CA_Gasoline_Gasification_Non_CCS_Herb</c:v>
                </c:pt>
                <c:pt idx="39">
                  <c:v>CA_Gasoline_Gasification_Non_CCS_Herb</c:v>
                </c:pt>
                <c:pt idx="40">
                  <c:v>CA_Gasoline_Gasification_Non_CCS_Herb</c:v>
                </c:pt>
                <c:pt idx="41">
                  <c:v>CA_Gasoline_Gasification_Non_CCS_Herb</c:v>
                </c:pt>
                <c:pt idx="42">
                  <c:v>CA_Gasoline_Gasification_Non_CCS_Herb</c:v>
                </c:pt>
                <c:pt idx="43">
                  <c:v>CA_Gasoline_Gasification_Non_CCS_Herb</c:v>
                </c:pt>
                <c:pt idx="44">
                  <c:v>CA_Gasoline_Gasification_Non_CCS_Herb</c:v>
                </c:pt>
                <c:pt idx="45">
                  <c:v>CA_Gasoline_Gasification_Non_CCS_Herb</c:v>
                </c:pt>
                <c:pt idx="46">
                  <c:v>CA_Gasoline_Gasification_Non_CCS_Herb</c:v>
                </c:pt>
                <c:pt idx="47">
                  <c:v>CA_Gasoline_Gasification_Non_CCS_Herb</c:v>
                </c:pt>
                <c:pt idx="48">
                  <c:v>CA_Gasoline_Gasification_Non_CCS_Herb</c:v>
                </c:pt>
                <c:pt idx="49">
                  <c:v>CA_Gasoline_Gasification_Non_CCS_Herb</c:v>
                </c:pt>
                <c:pt idx="50">
                  <c:v>CA_Gasoline_Gasification_Non_CCS_Herb</c:v>
                </c:pt>
                <c:pt idx="51">
                  <c:v>CA_Gasoline_Gasification_Non_CCS_Herb</c:v>
                </c:pt>
                <c:pt idx="52">
                  <c:v>CA_Gasoline_Gasification_Non_CCS_Herb</c:v>
                </c:pt>
                <c:pt idx="53">
                  <c:v>CA_Gasoline_Gasification_Non_CCS_Herb</c:v>
                </c:pt>
                <c:pt idx="54">
                  <c:v>CA_Gasoline_Gasification_Non_CCS_Herb</c:v>
                </c:pt>
                <c:pt idx="55">
                  <c:v>CA_Gasoline_Gasification_Non_CCS_Herb</c:v>
                </c:pt>
                <c:pt idx="56">
                  <c:v>CA_Gasoline_Gasification_Non_CCS_Herb</c:v>
                </c:pt>
                <c:pt idx="57">
                  <c:v>CA_Gasoline_Gasification_Non_CCS_Herb</c:v>
                </c:pt>
                <c:pt idx="58">
                  <c:v>CA_Gasoline_Gasification_Non_CCS_Herb</c:v>
                </c:pt>
                <c:pt idx="59">
                  <c:v>CA_Gasoline_Gasification_Non_CCS_Herb</c:v>
                </c:pt>
                <c:pt idx="60">
                  <c:v>CA_Gasoline_Gasification_Non_CCS_Herb</c:v>
                </c:pt>
                <c:pt idx="61">
                  <c:v>CA_Gasoline_Gasification_Non_CCS_Herb</c:v>
                </c:pt>
                <c:pt idx="62">
                  <c:v>CA_Gasoline_Gasification_Non_CCS_Herb</c:v>
                </c:pt>
                <c:pt idx="63">
                  <c:v>CA_Gasoline_Gasification_Non_CCS_Herb</c:v>
                </c:pt>
                <c:pt idx="64">
                  <c:v>CA_Gasoline_Gasification_Non_CCS_Herb</c:v>
                </c:pt>
                <c:pt idx="65">
                  <c:v>CA_Gasoline_Gasification_Non_CCS_Herb</c:v>
                </c:pt>
                <c:pt idx="66">
                  <c:v>CA_Gasoline_Gasification_Non_CCS_Herb</c:v>
                </c:pt>
                <c:pt idx="67">
                  <c:v>CA_Gasoline_Gasification_Non_CCS_Herb</c:v>
                </c:pt>
                <c:pt idx="68">
                  <c:v>CA_Gasoline_Gasification_Non_CCS_Herb</c:v>
                </c:pt>
                <c:pt idx="69">
                  <c:v>CA_Gasoline_Gasification_Non_CCS_Herb</c:v>
                </c:pt>
                <c:pt idx="70">
                  <c:v>CA_Gasoline_Gasification_Non_CCS_Herb</c:v>
                </c:pt>
                <c:pt idx="71">
                  <c:v>CA_Gasoline_Gasification_Non_CCS_Herb</c:v>
                </c:pt>
              </c:strCache>
            </c:strRef>
          </c:cat>
          <c:val>
            <c:numRef>
              <c:f>lc_summary!$S$3:$S$74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C3-A14F-96AF-FBF11932B5CA}"/>
            </c:ext>
          </c:extLst>
        </c:ser>
        <c:ser>
          <c:idx val="4"/>
          <c:order val="4"/>
          <c:tx>
            <c:strRef>
              <c:f>lc_summary!$T$2</c:f>
              <c:strCache>
                <c:ptCount val="1"/>
                <c:pt idx="0">
                  <c:v>investment_cost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0</c:v>
                </c:pt>
                <c:pt idx="1">
                  <c:v>CA_Gasoline_Gasification_Non_CCS_Herb</c:v>
                </c:pt>
                <c:pt idx="2">
                  <c:v>CA_Gasoline_Gasification_Non_CCS_Herb</c:v>
                </c:pt>
                <c:pt idx="3">
                  <c:v>CA_Gasoline_Gasification_Non_CCS_Herb</c:v>
                </c:pt>
                <c:pt idx="4">
                  <c:v>CA_Gasoline_Gasification_Non_CCS_Herb</c:v>
                </c:pt>
                <c:pt idx="5">
                  <c:v>CA_Gasoline_Gasification_Non_CCS_Herb</c:v>
                </c:pt>
                <c:pt idx="6">
                  <c:v>CA_Gasoline_Gasification_Non_CCS_Herb</c:v>
                </c:pt>
                <c:pt idx="7">
                  <c:v>0</c:v>
                </c:pt>
                <c:pt idx="8">
                  <c:v>0</c:v>
                </c:pt>
                <c:pt idx="9">
                  <c:v>CA_Gasoline_Gasification_Non_CCS_Herb</c:v>
                </c:pt>
                <c:pt idx="10">
                  <c:v>0</c:v>
                </c:pt>
                <c:pt idx="11">
                  <c:v>CA_Gasoline_Gasification_Non_CCS_Herb</c:v>
                </c:pt>
                <c:pt idx="12">
                  <c:v>CA_Gasoline_Gasification_Non_CCS_Herb</c:v>
                </c:pt>
                <c:pt idx="13">
                  <c:v>0</c:v>
                </c:pt>
                <c:pt idx="14">
                  <c:v>CA_Gasoline_Gasification_Non_CCS_Herb</c:v>
                </c:pt>
                <c:pt idx="15">
                  <c:v>0</c:v>
                </c:pt>
                <c:pt idx="16">
                  <c:v>0</c:v>
                </c:pt>
                <c:pt idx="17">
                  <c:v>CA_Gasoline_Gasification_Non_CCS_Herb</c:v>
                </c:pt>
                <c:pt idx="18">
                  <c:v>CA_Gasoline_Gasification_Non_CCS_Herb</c:v>
                </c:pt>
                <c:pt idx="19">
                  <c:v>CA_Gasoline_Gasification_Non_CCS_Herb</c:v>
                </c:pt>
                <c:pt idx="20">
                  <c:v>CA_Gasoline_Gasification_Non_CCS_Herb</c:v>
                </c:pt>
                <c:pt idx="21">
                  <c:v>CA_Gasoline_Gasification_Non_CCS_Herb</c:v>
                </c:pt>
                <c:pt idx="22">
                  <c:v>CA_Gasoline_Gasification_Non_CCS_Herb</c:v>
                </c:pt>
                <c:pt idx="23">
                  <c:v>CA_Gasoline_Gasification_Non_CCS_Herb</c:v>
                </c:pt>
                <c:pt idx="24">
                  <c:v>CA_Gasoline_Gasification_Non_CCS_Herb</c:v>
                </c:pt>
                <c:pt idx="25">
                  <c:v>CA_Gasoline_Gasification_Non_CCS_Herb</c:v>
                </c:pt>
                <c:pt idx="26">
                  <c:v>CA_Gasoline_Gasification_Non_CCS_Herb</c:v>
                </c:pt>
                <c:pt idx="27">
                  <c:v>CA_Gasoline_Gasification_Non_CCS_Herb</c:v>
                </c:pt>
                <c:pt idx="28">
                  <c:v>CA_Gasoline_Gasification_Non_CCS_Herb</c:v>
                </c:pt>
                <c:pt idx="29">
                  <c:v>CA_Gasoline_Gasification_Non_CCS_Herb</c:v>
                </c:pt>
                <c:pt idx="30">
                  <c:v>CA_Gasoline_Gasification_Non_CCS_Herb</c:v>
                </c:pt>
                <c:pt idx="31">
                  <c:v>CA_Gasoline_Gasification_Non_CCS_Herb</c:v>
                </c:pt>
                <c:pt idx="32">
                  <c:v>CA_Gasoline_Gasification_Non_CCS_Herb</c:v>
                </c:pt>
                <c:pt idx="33">
                  <c:v>CA_Gasoline_Gasification_Non_CCS_Herb</c:v>
                </c:pt>
                <c:pt idx="34">
                  <c:v>CA_Gasoline_Gasification_Non_CCS_Herb</c:v>
                </c:pt>
                <c:pt idx="35">
                  <c:v>CA_Gasoline_Gasification_Non_CCS_Herb</c:v>
                </c:pt>
                <c:pt idx="36">
                  <c:v>CA_Gasoline_Gasification_Non_CCS_Herb</c:v>
                </c:pt>
                <c:pt idx="37">
                  <c:v>CA_Gasoline_Gasification_Non_CCS_Herb</c:v>
                </c:pt>
                <c:pt idx="38">
                  <c:v>CA_Gasoline_Gasification_Non_CCS_Herb</c:v>
                </c:pt>
                <c:pt idx="39">
                  <c:v>CA_Gasoline_Gasification_Non_CCS_Herb</c:v>
                </c:pt>
                <c:pt idx="40">
                  <c:v>CA_Gasoline_Gasification_Non_CCS_Herb</c:v>
                </c:pt>
                <c:pt idx="41">
                  <c:v>CA_Gasoline_Gasification_Non_CCS_Herb</c:v>
                </c:pt>
                <c:pt idx="42">
                  <c:v>CA_Gasoline_Gasification_Non_CCS_Herb</c:v>
                </c:pt>
                <c:pt idx="43">
                  <c:v>CA_Gasoline_Gasification_Non_CCS_Herb</c:v>
                </c:pt>
                <c:pt idx="44">
                  <c:v>CA_Gasoline_Gasification_Non_CCS_Herb</c:v>
                </c:pt>
                <c:pt idx="45">
                  <c:v>CA_Gasoline_Gasification_Non_CCS_Herb</c:v>
                </c:pt>
                <c:pt idx="46">
                  <c:v>CA_Gasoline_Gasification_Non_CCS_Herb</c:v>
                </c:pt>
                <c:pt idx="47">
                  <c:v>CA_Gasoline_Gasification_Non_CCS_Herb</c:v>
                </c:pt>
                <c:pt idx="48">
                  <c:v>CA_Gasoline_Gasification_Non_CCS_Herb</c:v>
                </c:pt>
                <c:pt idx="49">
                  <c:v>CA_Gasoline_Gasification_Non_CCS_Herb</c:v>
                </c:pt>
                <c:pt idx="50">
                  <c:v>CA_Gasoline_Gasification_Non_CCS_Herb</c:v>
                </c:pt>
                <c:pt idx="51">
                  <c:v>CA_Gasoline_Gasification_Non_CCS_Herb</c:v>
                </c:pt>
                <c:pt idx="52">
                  <c:v>CA_Gasoline_Gasification_Non_CCS_Herb</c:v>
                </c:pt>
                <c:pt idx="53">
                  <c:v>CA_Gasoline_Gasification_Non_CCS_Herb</c:v>
                </c:pt>
                <c:pt idx="54">
                  <c:v>CA_Gasoline_Gasification_Non_CCS_Herb</c:v>
                </c:pt>
                <c:pt idx="55">
                  <c:v>CA_Gasoline_Gasification_Non_CCS_Herb</c:v>
                </c:pt>
                <c:pt idx="56">
                  <c:v>CA_Gasoline_Gasification_Non_CCS_Herb</c:v>
                </c:pt>
                <c:pt idx="57">
                  <c:v>CA_Gasoline_Gasification_Non_CCS_Herb</c:v>
                </c:pt>
                <c:pt idx="58">
                  <c:v>CA_Gasoline_Gasification_Non_CCS_Herb</c:v>
                </c:pt>
                <c:pt idx="59">
                  <c:v>CA_Gasoline_Gasification_Non_CCS_Herb</c:v>
                </c:pt>
                <c:pt idx="60">
                  <c:v>CA_Gasoline_Gasification_Non_CCS_Herb</c:v>
                </c:pt>
                <c:pt idx="61">
                  <c:v>CA_Gasoline_Gasification_Non_CCS_Herb</c:v>
                </c:pt>
                <c:pt idx="62">
                  <c:v>CA_Gasoline_Gasification_Non_CCS_Herb</c:v>
                </c:pt>
                <c:pt idx="63">
                  <c:v>CA_Gasoline_Gasification_Non_CCS_Herb</c:v>
                </c:pt>
                <c:pt idx="64">
                  <c:v>CA_Gasoline_Gasification_Non_CCS_Herb</c:v>
                </c:pt>
                <c:pt idx="65">
                  <c:v>CA_Gasoline_Gasification_Non_CCS_Herb</c:v>
                </c:pt>
                <c:pt idx="66">
                  <c:v>CA_Gasoline_Gasification_Non_CCS_Herb</c:v>
                </c:pt>
                <c:pt idx="67">
                  <c:v>CA_Gasoline_Gasification_Non_CCS_Herb</c:v>
                </c:pt>
                <c:pt idx="68">
                  <c:v>CA_Gasoline_Gasification_Non_CCS_Herb</c:v>
                </c:pt>
                <c:pt idx="69">
                  <c:v>CA_Gasoline_Gasification_Non_CCS_Herb</c:v>
                </c:pt>
                <c:pt idx="70">
                  <c:v>CA_Gasoline_Gasification_Non_CCS_Herb</c:v>
                </c:pt>
                <c:pt idx="71">
                  <c:v>CA_Gasoline_Gasification_Non_CCS_Herb</c:v>
                </c:pt>
              </c:strCache>
            </c:strRef>
          </c:cat>
          <c:val>
            <c:numRef>
              <c:f>lc_summary!$T$3:$T$74</c:f>
              <c:numCache>
                <c:formatCode>General</c:formatCode>
                <c:ptCount val="72"/>
                <c:pt idx="0">
                  <c:v>1.8459716853700829</c:v>
                </c:pt>
                <c:pt idx="1">
                  <c:v>1.1219173819252375</c:v>
                </c:pt>
                <c:pt idx="2">
                  <c:v>1.1219173819252375</c:v>
                </c:pt>
                <c:pt idx="3">
                  <c:v>1.1219173819252375</c:v>
                </c:pt>
                <c:pt idx="4">
                  <c:v>1.8459716853700829</c:v>
                </c:pt>
                <c:pt idx="5">
                  <c:v>1.8459716853700829</c:v>
                </c:pt>
                <c:pt idx="6">
                  <c:v>1.1219173819252375</c:v>
                </c:pt>
                <c:pt idx="7">
                  <c:v>1.8459716853700829</c:v>
                </c:pt>
                <c:pt idx="8">
                  <c:v>1.8459716853700829</c:v>
                </c:pt>
                <c:pt idx="9">
                  <c:v>1.1219173819252375</c:v>
                </c:pt>
                <c:pt idx="10">
                  <c:v>1.8459716853700829</c:v>
                </c:pt>
                <c:pt idx="11">
                  <c:v>1.1219173819252375</c:v>
                </c:pt>
                <c:pt idx="12">
                  <c:v>1.1219173819252375</c:v>
                </c:pt>
                <c:pt idx="13">
                  <c:v>1.8459716853700829</c:v>
                </c:pt>
                <c:pt idx="14">
                  <c:v>1.1219173819252375</c:v>
                </c:pt>
                <c:pt idx="15">
                  <c:v>1.8459716853700829</c:v>
                </c:pt>
                <c:pt idx="16">
                  <c:v>1.8459716853700829</c:v>
                </c:pt>
                <c:pt idx="17">
                  <c:v>1.1219173819252375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35.292665333437341</c:v>
                </c:pt>
                <c:pt idx="28">
                  <c:v>33.240683481624224</c:v>
                </c:pt>
                <c:pt idx="29">
                  <c:v>35.028462210951822</c:v>
                </c:pt>
                <c:pt idx="30">
                  <c:v>19.813046815154298</c:v>
                </c:pt>
                <c:pt idx="31">
                  <c:v>19.733100356011654</c:v>
                </c:pt>
                <c:pt idx="32">
                  <c:v>19.756176325172991</c:v>
                </c:pt>
                <c:pt idx="33">
                  <c:v>33.042574535146869</c:v>
                </c:pt>
                <c:pt idx="34">
                  <c:v>36.527576444650514</c:v>
                </c:pt>
                <c:pt idx="35">
                  <c:v>18.757150906155914</c:v>
                </c:pt>
                <c:pt idx="36">
                  <c:v>31.777337720030705</c:v>
                </c:pt>
                <c:pt idx="37">
                  <c:v>18.41498814617082</c:v>
                </c:pt>
                <c:pt idx="38">
                  <c:v>18.467997867365622</c:v>
                </c:pt>
                <c:pt idx="39">
                  <c:v>31.794182725809723</c:v>
                </c:pt>
                <c:pt idx="40">
                  <c:v>18.614360955851129</c:v>
                </c:pt>
                <c:pt idx="41">
                  <c:v>35.170376125767767</c:v>
                </c:pt>
                <c:pt idx="42">
                  <c:v>18.654534491341071</c:v>
                </c:pt>
                <c:pt idx="43">
                  <c:v>19.881937798517143</c:v>
                </c:pt>
                <c:pt idx="44">
                  <c:v>17.957817326447284</c:v>
                </c:pt>
                <c:pt idx="45">
                  <c:v>17.483783597976871</c:v>
                </c:pt>
                <c:pt idx="46">
                  <c:v>17.388133507022271</c:v>
                </c:pt>
                <c:pt idx="47">
                  <c:v>33.296042681972118</c:v>
                </c:pt>
                <c:pt idx="48">
                  <c:v>17.836306037310653</c:v>
                </c:pt>
                <c:pt idx="49">
                  <c:v>18.393478736071767</c:v>
                </c:pt>
                <c:pt idx="50">
                  <c:v>16.738714402759417</c:v>
                </c:pt>
                <c:pt idx="51">
                  <c:v>31.661439953127818</c:v>
                </c:pt>
                <c:pt idx="52">
                  <c:v>18.725964591166843</c:v>
                </c:pt>
                <c:pt idx="53">
                  <c:v>17.911085981662545</c:v>
                </c:pt>
                <c:pt idx="54">
                  <c:v>35.069424639519347</c:v>
                </c:pt>
                <c:pt idx="55">
                  <c:v>17.350687233631078</c:v>
                </c:pt>
                <c:pt idx="56">
                  <c:v>16.625452154425169</c:v>
                </c:pt>
                <c:pt idx="57">
                  <c:v>33.387029287145261</c:v>
                </c:pt>
                <c:pt idx="58">
                  <c:v>31.877136094278278</c:v>
                </c:pt>
                <c:pt idx="59">
                  <c:v>33.113887057984215</c:v>
                </c:pt>
                <c:pt idx="60">
                  <c:v>16.695155510284405</c:v>
                </c:pt>
                <c:pt idx="61">
                  <c:v>18.5322120463203</c:v>
                </c:pt>
                <c:pt idx="62">
                  <c:v>17.901596436060082</c:v>
                </c:pt>
                <c:pt idx="63">
                  <c:v>32.063035707016454</c:v>
                </c:pt>
                <c:pt idx="64">
                  <c:v>17.45471442935871</c:v>
                </c:pt>
                <c:pt idx="65">
                  <c:v>20.577618492164735</c:v>
                </c:pt>
                <c:pt idx="66">
                  <c:v>16.686310181770139</c:v>
                </c:pt>
                <c:pt idx="67">
                  <c:v>18.808407732679495</c:v>
                </c:pt>
                <c:pt idx="68">
                  <c:v>19.18066504229386</c:v>
                </c:pt>
                <c:pt idx="69">
                  <c:v>18.062542897676021</c:v>
                </c:pt>
                <c:pt idx="70">
                  <c:v>17.531560750666046</c:v>
                </c:pt>
                <c:pt idx="71">
                  <c:v>16.836330465758454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AC3-A14F-96AF-FBF11932B5CA}"/>
            </c:ext>
          </c:extLst>
        </c:ser>
        <c:ser>
          <c:idx val="5"/>
          <c:order val="5"/>
          <c:tx>
            <c:strRef>
              <c:f>lc_summary!$U$2</c:f>
              <c:strCache>
                <c:ptCount val="1"/>
                <c:pt idx="0">
                  <c:v>fixed_om_cost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0</c:v>
                </c:pt>
                <c:pt idx="1">
                  <c:v>CA_Gasoline_Gasification_Non_CCS_Herb</c:v>
                </c:pt>
                <c:pt idx="2">
                  <c:v>CA_Gasoline_Gasification_Non_CCS_Herb</c:v>
                </c:pt>
                <c:pt idx="3">
                  <c:v>CA_Gasoline_Gasification_Non_CCS_Herb</c:v>
                </c:pt>
                <c:pt idx="4">
                  <c:v>CA_Gasoline_Gasification_Non_CCS_Herb</c:v>
                </c:pt>
                <c:pt idx="5">
                  <c:v>CA_Gasoline_Gasification_Non_CCS_Herb</c:v>
                </c:pt>
                <c:pt idx="6">
                  <c:v>CA_Gasoline_Gasification_Non_CCS_Herb</c:v>
                </c:pt>
                <c:pt idx="7">
                  <c:v>0</c:v>
                </c:pt>
                <c:pt idx="8">
                  <c:v>0</c:v>
                </c:pt>
                <c:pt idx="9">
                  <c:v>CA_Gasoline_Gasification_Non_CCS_Herb</c:v>
                </c:pt>
                <c:pt idx="10">
                  <c:v>0</c:v>
                </c:pt>
                <c:pt idx="11">
                  <c:v>CA_Gasoline_Gasification_Non_CCS_Herb</c:v>
                </c:pt>
                <c:pt idx="12">
                  <c:v>CA_Gasoline_Gasification_Non_CCS_Herb</c:v>
                </c:pt>
                <c:pt idx="13">
                  <c:v>0</c:v>
                </c:pt>
                <c:pt idx="14">
                  <c:v>CA_Gasoline_Gasification_Non_CCS_Herb</c:v>
                </c:pt>
                <c:pt idx="15">
                  <c:v>0</c:v>
                </c:pt>
                <c:pt idx="16">
                  <c:v>0</c:v>
                </c:pt>
                <c:pt idx="17">
                  <c:v>CA_Gasoline_Gasification_Non_CCS_Herb</c:v>
                </c:pt>
                <c:pt idx="18">
                  <c:v>CA_Gasoline_Gasification_Non_CCS_Herb</c:v>
                </c:pt>
                <c:pt idx="19">
                  <c:v>CA_Gasoline_Gasification_Non_CCS_Herb</c:v>
                </c:pt>
                <c:pt idx="20">
                  <c:v>CA_Gasoline_Gasification_Non_CCS_Herb</c:v>
                </c:pt>
                <c:pt idx="21">
                  <c:v>CA_Gasoline_Gasification_Non_CCS_Herb</c:v>
                </c:pt>
                <c:pt idx="22">
                  <c:v>CA_Gasoline_Gasification_Non_CCS_Herb</c:v>
                </c:pt>
                <c:pt idx="23">
                  <c:v>CA_Gasoline_Gasification_Non_CCS_Herb</c:v>
                </c:pt>
                <c:pt idx="24">
                  <c:v>CA_Gasoline_Gasification_Non_CCS_Herb</c:v>
                </c:pt>
                <c:pt idx="25">
                  <c:v>CA_Gasoline_Gasification_Non_CCS_Herb</c:v>
                </c:pt>
                <c:pt idx="26">
                  <c:v>CA_Gasoline_Gasification_Non_CCS_Herb</c:v>
                </c:pt>
                <c:pt idx="27">
                  <c:v>CA_Gasoline_Gasification_Non_CCS_Herb</c:v>
                </c:pt>
                <c:pt idx="28">
                  <c:v>CA_Gasoline_Gasification_Non_CCS_Herb</c:v>
                </c:pt>
                <c:pt idx="29">
                  <c:v>CA_Gasoline_Gasification_Non_CCS_Herb</c:v>
                </c:pt>
                <c:pt idx="30">
                  <c:v>CA_Gasoline_Gasification_Non_CCS_Herb</c:v>
                </c:pt>
                <c:pt idx="31">
                  <c:v>CA_Gasoline_Gasification_Non_CCS_Herb</c:v>
                </c:pt>
                <c:pt idx="32">
                  <c:v>CA_Gasoline_Gasification_Non_CCS_Herb</c:v>
                </c:pt>
                <c:pt idx="33">
                  <c:v>CA_Gasoline_Gasification_Non_CCS_Herb</c:v>
                </c:pt>
                <c:pt idx="34">
                  <c:v>CA_Gasoline_Gasification_Non_CCS_Herb</c:v>
                </c:pt>
                <c:pt idx="35">
                  <c:v>CA_Gasoline_Gasification_Non_CCS_Herb</c:v>
                </c:pt>
                <c:pt idx="36">
                  <c:v>CA_Gasoline_Gasification_Non_CCS_Herb</c:v>
                </c:pt>
                <c:pt idx="37">
                  <c:v>CA_Gasoline_Gasification_Non_CCS_Herb</c:v>
                </c:pt>
                <c:pt idx="38">
                  <c:v>CA_Gasoline_Gasification_Non_CCS_Herb</c:v>
                </c:pt>
                <c:pt idx="39">
                  <c:v>CA_Gasoline_Gasification_Non_CCS_Herb</c:v>
                </c:pt>
                <c:pt idx="40">
                  <c:v>CA_Gasoline_Gasification_Non_CCS_Herb</c:v>
                </c:pt>
                <c:pt idx="41">
                  <c:v>CA_Gasoline_Gasification_Non_CCS_Herb</c:v>
                </c:pt>
                <c:pt idx="42">
                  <c:v>CA_Gasoline_Gasification_Non_CCS_Herb</c:v>
                </c:pt>
                <c:pt idx="43">
                  <c:v>CA_Gasoline_Gasification_Non_CCS_Herb</c:v>
                </c:pt>
                <c:pt idx="44">
                  <c:v>CA_Gasoline_Gasification_Non_CCS_Herb</c:v>
                </c:pt>
                <c:pt idx="45">
                  <c:v>CA_Gasoline_Gasification_Non_CCS_Herb</c:v>
                </c:pt>
                <c:pt idx="46">
                  <c:v>CA_Gasoline_Gasification_Non_CCS_Herb</c:v>
                </c:pt>
                <c:pt idx="47">
                  <c:v>CA_Gasoline_Gasification_Non_CCS_Herb</c:v>
                </c:pt>
                <c:pt idx="48">
                  <c:v>CA_Gasoline_Gasification_Non_CCS_Herb</c:v>
                </c:pt>
                <c:pt idx="49">
                  <c:v>CA_Gasoline_Gasification_Non_CCS_Herb</c:v>
                </c:pt>
                <c:pt idx="50">
                  <c:v>CA_Gasoline_Gasification_Non_CCS_Herb</c:v>
                </c:pt>
                <c:pt idx="51">
                  <c:v>CA_Gasoline_Gasification_Non_CCS_Herb</c:v>
                </c:pt>
                <c:pt idx="52">
                  <c:v>CA_Gasoline_Gasification_Non_CCS_Herb</c:v>
                </c:pt>
                <c:pt idx="53">
                  <c:v>CA_Gasoline_Gasification_Non_CCS_Herb</c:v>
                </c:pt>
                <c:pt idx="54">
                  <c:v>CA_Gasoline_Gasification_Non_CCS_Herb</c:v>
                </c:pt>
                <c:pt idx="55">
                  <c:v>CA_Gasoline_Gasification_Non_CCS_Herb</c:v>
                </c:pt>
                <c:pt idx="56">
                  <c:v>CA_Gasoline_Gasification_Non_CCS_Herb</c:v>
                </c:pt>
                <c:pt idx="57">
                  <c:v>CA_Gasoline_Gasification_Non_CCS_Herb</c:v>
                </c:pt>
                <c:pt idx="58">
                  <c:v>CA_Gasoline_Gasification_Non_CCS_Herb</c:v>
                </c:pt>
                <c:pt idx="59">
                  <c:v>CA_Gasoline_Gasification_Non_CCS_Herb</c:v>
                </c:pt>
                <c:pt idx="60">
                  <c:v>CA_Gasoline_Gasification_Non_CCS_Herb</c:v>
                </c:pt>
                <c:pt idx="61">
                  <c:v>CA_Gasoline_Gasification_Non_CCS_Herb</c:v>
                </c:pt>
                <c:pt idx="62">
                  <c:v>CA_Gasoline_Gasification_Non_CCS_Herb</c:v>
                </c:pt>
                <c:pt idx="63">
                  <c:v>CA_Gasoline_Gasification_Non_CCS_Herb</c:v>
                </c:pt>
                <c:pt idx="64">
                  <c:v>CA_Gasoline_Gasification_Non_CCS_Herb</c:v>
                </c:pt>
                <c:pt idx="65">
                  <c:v>CA_Gasoline_Gasification_Non_CCS_Herb</c:v>
                </c:pt>
                <c:pt idx="66">
                  <c:v>CA_Gasoline_Gasification_Non_CCS_Herb</c:v>
                </c:pt>
                <c:pt idx="67">
                  <c:v>CA_Gasoline_Gasification_Non_CCS_Herb</c:v>
                </c:pt>
                <c:pt idx="68">
                  <c:v>CA_Gasoline_Gasification_Non_CCS_Herb</c:v>
                </c:pt>
                <c:pt idx="69">
                  <c:v>CA_Gasoline_Gasification_Non_CCS_Herb</c:v>
                </c:pt>
                <c:pt idx="70">
                  <c:v>CA_Gasoline_Gasification_Non_CCS_Herb</c:v>
                </c:pt>
                <c:pt idx="71">
                  <c:v>CA_Gasoline_Gasification_Non_CCS_Herb</c:v>
                </c:pt>
              </c:strCache>
            </c:strRef>
          </c:cat>
          <c:val>
            <c:numRef>
              <c:f>lc_summary!$U$3:$U$74</c:f>
              <c:numCache>
                <c:formatCode>General</c:formatCode>
                <c:ptCount val="72"/>
                <c:pt idx="0">
                  <c:v>8.2322589053372308</c:v>
                </c:pt>
                <c:pt idx="1">
                  <c:v>7.8355578478551591</c:v>
                </c:pt>
                <c:pt idx="2">
                  <c:v>7.8355578478551591</c:v>
                </c:pt>
                <c:pt idx="3">
                  <c:v>7.8355578478551591</c:v>
                </c:pt>
                <c:pt idx="4">
                  <c:v>8.2322589053372308</c:v>
                </c:pt>
                <c:pt idx="5">
                  <c:v>8.2322589053372308</c:v>
                </c:pt>
                <c:pt idx="6">
                  <c:v>7.8355578478551591</c:v>
                </c:pt>
                <c:pt idx="7">
                  <c:v>8.2322589053372308</c:v>
                </c:pt>
                <c:pt idx="8">
                  <c:v>8.2322589053372308</c:v>
                </c:pt>
                <c:pt idx="9">
                  <c:v>7.8355578478551591</c:v>
                </c:pt>
                <c:pt idx="10">
                  <c:v>8.2322589053372308</c:v>
                </c:pt>
                <c:pt idx="11">
                  <c:v>7.8355578478551591</c:v>
                </c:pt>
                <c:pt idx="12">
                  <c:v>7.8355578478551591</c:v>
                </c:pt>
                <c:pt idx="13">
                  <c:v>8.2322589053372308</c:v>
                </c:pt>
                <c:pt idx="14">
                  <c:v>7.8355578478551591</c:v>
                </c:pt>
                <c:pt idx="15">
                  <c:v>8.2322589053372308</c:v>
                </c:pt>
                <c:pt idx="16">
                  <c:v>8.2322589053372308</c:v>
                </c:pt>
                <c:pt idx="17">
                  <c:v>7.8355578478551591</c:v>
                </c:pt>
                <c:pt idx="18">
                  <c:v>7.2208724377810398</c:v>
                </c:pt>
                <c:pt idx="19">
                  <c:v>7.2208724377810398</c:v>
                </c:pt>
                <c:pt idx="20">
                  <c:v>7.2208724377810398</c:v>
                </c:pt>
                <c:pt idx="21">
                  <c:v>7.2208724377810398</c:v>
                </c:pt>
                <c:pt idx="22">
                  <c:v>7.2208724377810398</c:v>
                </c:pt>
                <c:pt idx="23">
                  <c:v>7.2208724377810398</c:v>
                </c:pt>
                <c:pt idx="24">
                  <c:v>7.2208724377810398</c:v>
                </c:pt>
                <c:pt idx="25">
                  <c:v>7.2208724377810398</c:v>
                </c:pt>
                <c:pt idx="26">
                  <c:v>7.2208724377810398</c:v>
                </c:pt>
                <c:pt idx="27">
                  <c:v>18.94822877590039</c:v>
                </c:pt>
                <c:pt idx="28">
                  <c:v>17.846543164887237</c:v>
                </c:pt>
                <c:pt idx="29">
                  <c:v>18.806381138130178</c:v>
                </c:pt>
                <c:pt idx="30">
                  <c:v>10.476988295744883</c:v>
                </c:pt>
                <c:pt idx="31">
                  <c:v>10.434713216876997</c:v>
                </c:pt>
                <c:pt idx="32">
                  <c:v>10.446915613664926</c:v>
                </c:pt>
                <c:pt idx="33">
                  <c:v>17.740180735046923</c:v>
                </c:pt>
                <c:pt idx="34">
                  <c:v>19.611238441849292</c:v>
                </c:pt>
                <c:pt idx="35">
                  <c:v>9.9186385788482578</c:v>
                </c:pt>
                <c:pt idx="36">
                  <c:v>17.06088954516337</c:v>
                </c:pt>
                <c:pt idx="37">
                  <c:v>9.7128382273309022</c:v>
                </c:pt>
                <c:pt idx="38">
                  <c:v>9.7407977808399302</c:v>
                </c:pt>
                <c:pt idx="39">
                  <c:v>17.069933436300992</c:v>
                </c:pt>
                <c:pt idx="40">
                  <c:v>9.8431323403554991</c:v>
                </c:pt>
                <c:pt idx="41">
                  <c:v>18.88257309753622</c:v>
                </c:pt>
                <c:pt idx="42">
                  <c:v>9.8643758000340416</c:v>
                </c:pt>
                <c:pt idx="43">
                  <c:v>10.513417323198794</c:v>
                </c:pt>
                <c:pt idx="44">
                  <c:v>9.4959570681682486</c:v>
                </c:pt>
                <c:pt idx="45">
                  <c:v>9.2216818355173462</c:v>
                </c:pt>
                <c:pt idx="46">
                  <c:v>9.1712319599867627</c:v>
                </c:pt>
                <c:pt idx="47">
                  <c:v>17.876264887039209</c:v>
                </c:pt>
                <c:pt idx="48">
                  <c:v>9.4317028236816505</c:v>
                </c:pt>
                <c:pt idx="49">
                  <c:v>9.7014932609915725</c:v>
                </c:pt>
                <c:pt idx="50">
                  <c:v>8.8287010470491492</c:v>
                </c:pt>
                <c:pt idx="51">
                  <c:v>16.998665358320466</c:v>
                </c:pt>
                <c:pt idx="52">
                  <c:v>9.9021474929402586</c:v>
                </c:pt>
                <c:pt idx="53">
                  <c:v>9.4712458888669584</c:v>
                </c:pt>
                <c:pt idx="54">
                  <c:v>18.828373398005734</c:v>
                </c:pt>
                <c:pt idx="55">
                  <c:v>9.1514812225560309</c:v>
                </c:pt>
                <c:pt idx="56">
                  <c:v>8.7689617799585484</c:v>
                </c:pt>
                <c:pt idx="57">
                  <c:v>17.925114555775615</c:v>
                </c:pt>
                <c:pt idx="58">
                  <c:v>17.114470152035651</c:v>
                </c:pt>
                <c:pt idx="59">
                  <c:v>17.778467613766406</c:v>
                </c:pt>
                <c:pt idx="60">
                  <c:v>8.8057262575671658</c:v>
                </c:pt>
                <c:pt idx="61">
                  <c:v>9.7746670359888874</c:v>
                </c:pt>
                <c:pt idx="62">
                  <c:v>9.4662278894074863</c:v>
                </c:pt>
                <c:pt idx="63">
                  <c:v>17.214277530090971</c:v>
                </c:pt>
                <c:pt idx="64">
                  <c:v>9.2063495350048488</c:v>
                </c:pt>
                <c:pt idx="65">
                  <c:v>10.881287976961479</c:v>
                </c:pt>
                <c:pt idx="66">
                  <c:v>8.8010608597811508</c:v>
                </c:pt>
                <c:pt idx="67">
                  <c:v>9.945742798435214</c:v>
                </c:pt>
                <c:pt idx="68">
                  <c:v>10.11668838283558</c:v>
                </c:pt>
                <c:pt idx="69">
                  <c:v>9.551335152834632</c:v>
                </c:pt>
                <c:pt idx="70">
                  <c:v>9.2468815126145572</c:v>
                </c:pt>
                <c:pt idx="71">
                  <c:v>8.8801878588120839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AC3-A14F-96AF-FBF11932B5CA}"/>
            </c:ext>
          </c:extLst>
        </c:ser>
        <c:ser>
          <c:idx val="6"/>
          <c:order val="6"/>
          <c:tx>
            <c:strRef>
              <c:f>lc_summary!$V$2</c:f>
              <c:strCache>
                <c:ptCount val="1"/>
                <c:pt idx="0">
                  <c:v>variable_om_cost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0</c:v>
                </c:pt>
                <c:pt idx="1">
                  <c:v>CA_Gasoline_Gasification_Non_CCS_Herb</c:v>
                </c:pt>
                <c:pt idx="2">
                  <c:v>CA_Gasoline_Gasification_Non_CCS_Herb</c:v>
                </c:pt>
                <c:pt idx="3">
                  <c:v>CA_Gasoline_Gasification_Non_CCS_Herb</c:v>
                </c:pt>
                <c:pt idx="4">
                  <c:v>CA_Gasoline_Gasification_Non_CCS_Herb</c:v>
                </c:pt>
                <c:pt idx="5">
                  <c:v>CA_Gasoline_Gasification_Non_CCS_Herb</c:v>
                </c:pt>
                <c:pt idx="6">
                  <c:v>CA_Gasoline_Gasification_Non_CCS_Herb</c:v>
                </c:pt>
                <c:pt idx="7">
                  <c:v>0</c:v>
                </c:pt>
                <c:pt idx="8">
                  <c:v>0</c:v>
                </c:pt>
                <c:pt idx="9">
                  <c:v>CA_Gasoline_Gasification_Non_CCS_Herb</c:v>
                </c:pt>
                <c:pt idx="10">
                  <c:v>0</c:v>
                </c:pt>
                <c:pt idx="11">
                  <c:v>CA_Gasoline_Gasification_Non_CCS_Herb</c:v>
                </c:pt>
                <c:pt idx="12">
                  <c:v>CA_Gasoline_Gasification_Non_CCS_Herb</c:v>
                </c:pt>
                <c:pt idx="13">
                  <c:v>0</c:v>
                </c:pt>
                <c:pt idx="14">
                  <c:v>CA_Gasoline_Gasification_Non_CCS_Herb</c:v>
                </c:pt>
                <c:pt idx="15">
                  <c:v>0</c:v>
                </c:pt>
                <c:pt idx="16">
                  <c:v>0</c:v>
                </c:pt>
                <c:pt idx="17">
                  <c:v>CA_Gasoline_Gasification_Non_CCS_Herb</c:v>
                </c:pt>
                <c:pt idx="18">
                  <c:v>CA_Gasoline_Gasification_Non_CCS_Herb</c:v>
                </c:pt>
                <c:pt idx="19">
                  <c:v>CA_Gasoline_Gasification_Non_CCS_Herb</c:v>
                </c:pt>
                <c:pt idx="20">
                  <c:v>CA_Gasoline_Gasification_Non_CCS_Herb</c:v>
                </c:pt>
                <c:pt idx="21">
                  <c:v>CA_Gasoline_Gasification_Non_CCS_Herb</c:v>
                </c:pt>
                <c:pt idx="22">
                  <c:v>CA_Gasoline_Gasification_Non_CCS_Herb</c:v>
                </c:pt>
                <c:pt idx="23">
                  <c:v>CA_Gasoline_Gasification_Non_CCS_Herb</c:v>
                </c:pt>
                <c:pt idx="24">
                  <c:v>CA_Gasoline_Gasification_Non_CCS_Herb</c:v>
                </c:pt>
                <c:pt idx="25">
                  <c:v>CA_Gasoline_Gasification_Non_CCS_Herb</c:v>
                </c:pt>
                <c:pt idx="26">
                  <c:v>CA_Gasoline_Gasification_Non_CCS_Herb</c:v>
                </c:pt>
                <c:pt idx="27">
                  <c:v>CA_Gasoline_Gasification_Non_CCS_Herb</c:v>
                </c:pt>
                <c:pt idx="28">
                  <c:v>CA_Gasoline_Gasification_Non_CCS_Herb</c:v>
                </c:pt>
                <c:pt idx="29">
                  <c:v>CA_Gasoline_Gasification_Non_CCS_Herb</c:v>
                </c:pt>
                <c:pt idx="30">
                  <c:v>CA_Gasoline_Gasification_Non_CCS_Herb</c:v>
                </c:pt>
                <c:pt idx="31">
                  <c:v>CA_Gasoline_Gasification_Non_CCS_Herb</c:v>
                </c:pt>
                <c:pt idx="32">
                  <c:v>CA_Gasoline_Gasification_Non_CCS_Herb</c:v>
                </c:pt>
                <c:pt idx="33">
                  <c:v>CA_Gasoline_Gasification_Non_CCS_Herb</c:v>
                </c:pt>
                <c:pt idx="34">
                  <c:v>CA_Gasoline_Gasification_Non_CCS_Herb</c:v>
                </c:pt>
                <c:pt idx="35">
                  <c:v>CA_Gasoline_Gasification_Non_CCS_Herb</c:v>
                </c:pt>
                <c:pt idx="36">
                  <c:v>CA_Gasoline_Gasification_Non_CCS_Herb</c:v>
                </c:pt>
                <c:pt idx="37">
                  <c:v>CA_Gasoline_Gasification_Non_CCS_Herb</c:v>
                </c:pt>
                <c:pt idx="38">
                  <c:v>CA_Gasoline_Gasification_Non_CCS_Herb</c:v>
                </c:pt>
                <c:pt idx="39">
                  <c:v>CA_Gasoline_Gasification_Non_CCS_Herb</c:v>
                </c:pt>
                <c:pt idx="40">
                  <c:v>CA_Gasoline_Gasification_Non_CCS_Herb</c:v>
                </c:pt>
                <c:pt idx="41">
                  <c:v>CA_Gasoline_Gasification_Non_CCS_Herb</c:v>
                </c:pt>
                <c:pt idx="42">
                  <c:v>CA_Gasoline_Gasification_Non_CCS_Herb</c:v>
                </c:pt>
                <c:pt idx="43">
                  <c:v>CA_Gasoline_Gasification_Non_CCS_Herb</c:v>
                </c:pt>
                <c:pt idx="44">
                  <c:v>CA_Gasoline_Gasification_Non_CCS_Herb</c:v>
                </c:pt>
                <c:pt idx="45">
                  <c:v>CA_Gasoline_Gasification_Non_CCS_Herb</c:v>
                </c:pt>
                <c:pt idx="46">
                  <c:v>CA_Gasoline_Gasification_Non_CCS_Herb</c:v>
                </c:pt>
                <c:pt idx="47">
                  <c:v>CA_Gasoline_Gasification_Non_CCS_Herb</c:v>
                </c:pt>
                <c:pt idx="48">
                  <c:v>CA_Gasoline_Gasification_Non_CCS_Herb</c:v>
                </c:pt>
                <c:pt idx="49">
                  <c:v>CA_Gasoline_Gasification_Non_CCS_Herb</c:v>
                </c:pt>
                <c:pt idx="50">
                  <c:v>CA_Gasoline_Gasification_Non_CCS_Herb</c:v>
                </c:pt>
                <c:pt idx="51">
                  <c:v>CA_Gasoline_Gasification_Non_CCS_Herb</c:v>
                </c:pt>
                <c:pt idx="52">
                  <c:v>CA_Gasoline_Gasification_Non_CCS_Herb</c:v>
                </c:pt>
                <c:pt idx="53">
                  <c:v>CA_Gasoline_Gasification_Non_CCS_Herb</c:v>
                </c:pt>
                <c:pt idx="54">
                  <c:v>CA_Gasoline_Gasification_Non_CCS_Herb</c:v>
                </c:pt>
                <c:pt idx="55">
                  <c:v>CA_Gasoline_Gasification_Non_CCS_Herb</c:v>
                </c:pt>
                <c:pt idx="56">
                  <c:v>CA_Gasoline_Gasification_Non_CCS_Herb</c:v>
                </c:pt>
                <c:pt idx="57">
                  <c:v>CA_Gasoline_Gasification_Non_CCS_Herb</c:v>
                </c:pt>
                <c:pt idx="58">
                  <c:v>CA_Gasoline_Gasification_Non_CCS_Herb</c:v>
                </c:pt>
                <c:pt idx="59">
                  <c:v>CA_Gasoline_Gasification_Non_CCS_Herb</c:v>
                </c:pt>
                <c:pt idx="60">
                  <c:v>CA_Gasoline_Gasification_Non_CCS_Herb</c:v>
                </c:pt>
                <c:pt idx="61">
                  <c:v>CA_Gasoline_Gasification_Non_CCS_Herb</c:v>
                </c:pt>
                <c:pt idx="62">
                  <c:v>CA_Gasoline_Gasification_Non_CCS_Herb</c:v>
                </c:pt>
                <c:pt idx="63">
                  <c:v>CA_Gasoline_Gasification_Non_CCS_Herb</c:v>
                </c:pt>
                <c:pt idx="64">
                  <c:v>CA_Gasoline_Gasification_Non_CCS_Herb</c:v>
                </c:pt>
                <c:pt idx="65">
                  <c:v>CA_Gasoline_Gasification_Non_CCS_Herb</c:v>
                </c:pt>
                <c:pt idx="66">
                  <c:v>CA_Gasoline_Gasification_Non_CCS_Herb</c:v>
                </c:pt>
                <c:pt idx="67">
                  <c:v>CA_Gasoline_Gasification_Non_CCS_Herb</c:v>
                </c:pt>
                <c:pt idx="68">
                  <c:v>CA_Gasoline_Gasification_Non_CCS_Herb</c:v>
                </c:pt>
                <c:pt idx="69">
                  <c:v>CA_Gasoline_Gasification_Non_CCS_Herb</c:v>
                </c:pt>
                <c:pt idx="70">
                  <c:v>CA_Gasoline_Gasification_Non_CCS_Herb</c:v>
                </c:pt>
                <c:pt idx="71">
                  <c:v>CA_Gasoline_Gasification_Non_CCS_Herb</c:v>
                </c:pt>
              </c:strCache>
            </c:strRef>
          </c:cat>
          <c:val>
            <c:numRef>
              <c:f>lc_summary!$V$3:$V$74</c:f>
              <c:numCache>
                <c:formatCode>General</c:formatCode>
                <c:ptCount val="72"/>
                <c:pt idx="0">
                  <c:v>-8.1434431562275815</c:v>
                </c:pt>
                <c:pt idx="1">
                  <c:v>-8.1724348446793407</c:v>
                </c:pt>
                <c:pt idx="2">
                  <c:v>-8.1724348446793407</c:v>
                </c:pt>
                <c:pt idx="3">
                  <c:v>-8.1724348446793407</c:v>
                </c:pt>
                <c:pt idx="4">
                  <c:v>-8.1434431562275815</c:v>
                </c:pt>
                <c:pt idx="5">
                  <c:v>-8.1434431562275815</c:v>
                </c:pt>
                <c:pt idx="6">
                  <c:v>-8.1724348446793407</c:v>
                </c:pt>
                <c:pt idx="7">
                  <c:v>-8.1434431562275815</c:v>
                </c:pt>
                <c:pt idx="8">
                  <c:v>-8.1434431562275815</c:v>
                </c:pt>
                <c:pt idx="9">
                  <c:v>-8.1724348446793407</c:v>
                </c:pt>
                <c:pt idx="10">
                  <c:v>-8.1434431562275815</c:v>
                </c:pt>
                <c:pt idx="11">
                  <c:v>-8.1724348446793407</c:v>
                </c:pt>
                <c:pt idx="12">
                  <c:v>-8.1724348446793407</c:v>
                </c:pt>
                <c:pt idx="13">
                  <c:v>-8.1434431562275815</c:v>
                </c:pt>
                <c:pt idx="14">
                  <c:v>-8.1724348446793407</c:v>
                </c:pt>
                <c:pt idx="15">
                  <c:v>-8.1434431562275815</c:v>
                </c:pt>
                <c:pt idx="16">
                  <c:v>-8.1434431562275815</c:v>
                </c:pt>
                <c:pt idx="17">
                  <c:v>-8.1724348446793407</c:v>
                </c:pt>
                <c:pt idx="18">
                  <c:v>-8.1853200395467898</c:v>
                </c:pt>
                <c:pt idx="19">
                  <c:v>-8.1853200395467898</c:v>
                </c:pt>
                <c:pt idx="20">
                  <c:v>-8.1853200395467898</c:v>
                </c:pt>
                <c:pt idx="21">
                  <c:v>-8.1853200395467898</c:v>
                </c:pt>
                <c:pt idx="22">
                  <c:v>-8.1853200395467898</c:v>
                </c:pt>
                <c:pt idx="23">
                  <c:v>-8.1853200395467898</c:v>
                </c:pt>
                <c:pt idx="24">
                  <c:v>-8.1853200395467898</c:v>
                </c:pt>
                <c:pt idx="25">
                  <c:v>-8.1853200395467898</c:v>
                </c:pt>
                <c:pt idx="26">
                  <c:v>-8.1853200395467898</c:v>
                </c:pt>
                <c:pt idx="27">
                  <c:v>0.89333475981598376</c:v>
                </c:pt>
                <c:pt idx="28">
                  <c:v>0.8413945989520355</c:v>
                </c:pt>
                <c:pt idx="29">
                  <c:v>0.88664719936288827</c:v>
                </c:pt>
                <c:pt idx="30">
                  <c:v>0.25587717895410206</c:v>
                </c:pt>
                <c:pt idx="31">
                  <c:v>0.25484470400849479</c:v>
                </c:pt>
                <c:pt idx="32">
                  <c:v>0.2551427204592569</c:v>
                </c:pt>
                <c:pt idx="33">
                  <c:v>0.83638002704462366</c:v>
                </c:pt>
                <c:pt idx="34">
                  <c:v>0.92459306832023025</c:v>
                </c:pt>
                <c:pt idx="35">
                  <c:v>0.24224072672218017</c:v>
                </c:pt>
                <c:pt idx="36">
                  <c:v>0.8043541084673923</c:v>
                </c:pt>
                <c:pt idx="37">
                  <c:v>0.23919630043055334</c:v>
                </c:pt>
                <c:pt idx="38">
                  <c:v>0.23988485526947068</c:v>
                </c:pt>
                <c:pt idx="39">
                  <c:v>0.80478049250638517</c:v>
                </c:pt>
                <c:pt idx="40">
                  <c:v>0.24039665447989184</c:v>
                </c:pt>
                <c:pt idx="41">
                  <c:v>0.89023935177781333</c:v>
                </c:pt>
                <c:pt idx="42">
                  <c:v>0.24091547881951414</c:v>
                </c:pt>
                <c:pt idx="43">
                  <c:v>0.25676687707285761</c:v>
                </c:pt>
                <c:pt idx="44">
                  <c:v>0.23191766922742424</c:v>
                </c:pt>
                <c:pt idx="45">
                  <c:v>0.22710068130204392</c:v>
                </c:pt>
                <c:pt idx="46">
                  <c:v>0.22585826139329454</c:v>
                </c:pt>
                <c:pt idx="47">
                  <c:v>0.84279586172091847</c:v>
                </c:pt>
                <c:pt idx="48">
                  <c:v>0.23034840195796139</c:v>
                </c:pt>
                <c:pt idx="49">
                  <c:v>0.23891691000796392</c:v>
                </c:pt>
                <c:pt idx="50">
                  <c:v>0.21742281490071025</c:v>
                </c:pt>
                <c:pt idx="51">
                  <c:v>0.80142048181207404</c:v>
                </c:pt>
                <c:pt idx="52">
                  <c:v>0.2418379685610641</c:v>
                </c:pt>
                <c:pt idx="53">
                  <c:v>0.23131415353476942</c:v>
                </c:pt>
                <c:pt idx="54">
                  <c:v>0.88768404826449798</c:v>
                </c:pt>
                <c:pt idx="55">
                  <c:v>0.22537186357489861</c:v>
                </c:pt>
                <c:pt idx="56">
                  <c:v>0.21595162683558883</c:v>
                </c:pt>
                <c:pt idx="57">
                  <c:v>0.84509893224027122</c:v>
                </c:pt>
                <c:pt idx="58">
                  <c:v>0.80688022418708016</c:v>
                </c:pt>
                <c:pt idx="59">
                  <c:v>0.83818510339289298</c:v>
                </c:pt>
                <c:pt idx="60">
                  <c:v>0.21685701893884632</c:v>
                </c:pt>
                <c:pt idx="61">
                  <c:v>0.24071894725580401</c:v>
                </c:pt>
                <c:pt idx="62">
                  <c:v>0.23119160003853192</c:v>
                </c:pt>
                <c:pt idx="63">
                  <c:v>0.81158575108130426</c:v>
                </c:pt>
                <c:pt idx="64">
                  <c:v>0.22672309552599759</c:v>
                </c:pt>
                <c:pt idx="65">
                  <c:v>0.26575130107407818</c:v>
                </c:pt>
                <c:pt idx="66">
                  <c:v>0.2167421250361237</c:v>
                </c:pt>
                <c:pt idx="67">
                  <c:v>0.24290268711097615</c:v>
                </c:pt>
                <c:pt idx="68">
                  <c:v>0.24914184475694828</c:v>
                </c:pt>
                <c:pt idx="69">
                  <c:v>0.23327015599941681</c:v>
                </c:pt>
                <c:pt idx="70">
                  <c:v>0.22772126916654017</c:v>
                </c:pt>
                <c:pt idx="71">
                  <c:v>0.21869077124945327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AC3-A14F-96AF-FBF11932B5CA}"/>
            </c:ext>
          </c:extLst>
        </c:ser>
        <c:ser>
          <c:idx val="7"/>
          <c:order val="7"/>
          <c:tx>
            <c:strRef>
              <c:f>lc_summary!$W$2</c:f>
              <c:strCache>
                <c:ptCount val="1"/>
                <c:pt idx="0">
                  <c:v>modified capture cost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0</c:v>
                </c:pt>
                <c:pt idx="1">
                  <c:v>CA_Gasoline_Gasification_Non_CCS_Herb</c:v>
                </c:pt>
                <c:pt idx="2">
                  <c:v>CA_Gasoline_Gasification_Non_CCS_Herb</c:v>
                </c:pt>
                <c:pt idx="3">
                  <c:v>CA_Gasoline_Gasification_Non_CCS_Herb</c:v>
                </c:pt>
                <c:pt idx="4">
                  <c:v>CA_Gasoline_Gasification_Non_CCS_Herb</c:v>
                </c:pt>
                <c:pt idx="5">
                  <c:v>CA_Gasoline_Gasification_Non_CCS_Herb</c:v>
                </c:pt>
                <c:pt idx="6">
                  <c:v>CA_Gasoline_Gasification_Non_CCS_Herb</c:v>
                </c:pt>
                <c:pt idx="7">
                  <c:v>0</c:v>
                </c:pt>
                <c:pt idx="8">
                  <c:v>0</c:v>
                </c:pt>
                <c:pt idx="9">
                  <c:v>CA_Gasoline_Gasification_Non_CCS_Herb</c:v>
                </c:pt>
                <c:pt idx="10">
                  <c:v>0</c:v>
                </c:pt>
                <c:pt idx="11">
                  <c:v>CA_Gasoline_Gasification_Non_CCS_Herb</c:v>
                </c:pt>
                <c:pt idx="12">
                  <c:v>CA_Gasoline_Gasification_Non_CCS_Herb</c:v>
                </c:pt>
                <c:pt idx="13">
                  <c:v>0</c:v>
                </c:pt>
                <c:pt idx="14">
                  <c:v>CA_Gasoline_Gasification_Non_CCS_Herb</c:v>
                </c:pt>
                <c:pt idx="15">
                  <c:v>0</c:v>
                </c:pt>
                <c:pt idx="16">
                  <c:v>0</c:v>
                </c:pt>
                <c:pt idx="17">
                  <c:v>CA_Gasoline_Gasification_Non_CCS_Herb</c:v>
                </c:pt>
                <c:pt idx="18">
                  <c:v>CA_Gasoline_Gasification_Non_CCS_Herb</c:v>
                </c:pt>
                <c:pt idx="19">
                  <c:v>CA_Gasoline_Gasification_Non_CCS_Herb</c:v>
                </c:pt>
                <c:pt idx="20">
                  <c:v>CA_Gasoline_Gasification_Non_CCS_Herb</c:v>
                </c:pt>
                <c:pt idx="21">
                  <c:v>CA_Gasoline_Gasification_Non_CCS_Herb</c:v>
                </c:pt>
                <c:pt idx="22">
                  <c:v>CA_Gasoline_Gasification_Non_CCS_Herb</c:v>
                </c:pt>
                <c:pt idx="23">
                  <c:v>CA_Gasoline_Gasification_Non_CCS_Herb</c:v>
                </c:pt>
                <c:pt idx="24">
                  <c:v>CA_Gasoline_Gasification_Non_CCS_Herb</c:v>
                </c:pt>
                <c:pt idx="25">
                  <c:v>CA_Gasoline_Gasification_Non_CCS_Herb</c:v>
                </c:pt>
                <c:pt idx="26">
                  <c:v>CA_Gasoline_Gasification_Non_CCS_Herb</c:v>
                </c:pt>
                <c:pt idx="27">
                  <c:v>CA_Gasoline_Gasification_Non_CCS_Herb</c:v>
                </c:pt>
                <c:pt idx="28">
                  <c:v>CA_Gasoline_Gasification_Non_CCS_Herb</c:v>
                </c:pt>
                <c:pt idx="29">
                  <c:v>CA_Gasoline_Gasification_Non_CCS_Herb</c:v>
                </c:pt>
                <c:pt idx="30">
                  <c:v>CA_Gasoline_Gasification_Non_CCS_Herb</c:v>
                </c:pt>
                <c:pt idx="31">
                  <c:v>CA_Gasoline_Gasification_Non_CCS_Herb</c:v>
                </c:pt>
                <c:pt idx="32">
                  <c:v>CA_Gasoline_Gasification_Non_CCS_Herb</c:v>
                </c:pt>
                <c:pt idx="33">
                  <c:v>CA_Gasoline_Gasification_Non_CCS_Herb</c:v>
                </c:pt>
                <c:pt idx="34">
                  <c:v>CA_Gasoline_Gasification_Non_CCS_Herb</c:v>
                </c:pt>
                <c:pt idx="35">
                  <c:v>CA_Gasoline_Gasification_Non_CCS_Herb</c:v>
                </c:pt>
                <c:pt idx="36">
                  <c:v>CA_Gasoline_Gasification_Non_CCS_Herb</c:v>
                </c:pt>
                <c:pt idx="37">
                  <c:v>CA_Gasoline_Gasification_Non_CCS_Herb</c:v>
                </c:pt>
                <c:pt idx="38">
                  <c:v>CA_Gasoline_Gasification_Non_CCS_Herb</c:v>
                </c:pt>
                <c:pt idx="39">
                  <c:v>CA_Gasoline_Gasification_Non_CCS_Herb</c:v>
                </c:pt>
                <c:pt idx="40">
                  <c:v>CA_Gasoline_Gasification_Non_CCS_Herb</c:v>
                </c:pt>
                <c:pt idx="41">
                  <c:v>CA_Gasoline_Gasification_Non_CCS_Herb</c:v>
                </c:pt>
                <c:pt idx="42">
                  <c:v>CA_Gasoline_Gasification_Non_CCS_Herb</c:v>
                </c:pt>
                <c:pt idx="43">
                  <c:v>CA_Gasoline_Gasification_Non_CCS_Herb</c:v>
                </c:pt>
                <c:pt idx="44">
                  <c:v>CA_Gasoline_Gasification_Non_CCS_Herb</c:v>
                </c:pt>
                <c:pt idx="45">
                  <c:v>CA_Gasoline_Gasification_Non_CCS_Herb</c:v>
                </c:pt>
                <c:pt idx="46">
                  <c:v>CA_Gasoline_Gasification_Non_CCS_Herb</c:v>
                </c:pt>
                <c:pt idx="47">
                  <c:v>CA_Gasoline_Gasification_Non_CCS_Herb</c:v>
                </c:pt>
                <c:pt idx="48">
                  <c:v>CA_Gasoline_Gasification_Non_CCS_Herb</c:v>
                </c:pt>
                <c:pt idx="49">
                  <c:v>CA_Gasoline_Gasification_Non_CCS_Herb</c:v>
                </c:pt>
                <c:pt idx="50">
                  <c:v>CA_Gasoline_Gasification_Non_CCS_Herb</c:v>
                </c:pt>
                <c:pt idx="51">
                  <c:v>CA_Gasoline_Gasification_Non_CCS_Herb</c:v>
                </c:pt>
                <c:pt idx="52">
                  <c:v>CA_Gasoline_Gasification_Non_CCS_Herb</c:v>
                </c:pt>
                <c:pt idx="53">
                  <c:v>CA_Gasoline_Gasification_Non_CCS_Herb</c:v>
                </c:pt>
                <c:pt idx="54">
                  <c:v>CA_Gasoline_Gasification_Non_CCS_Herb</c:v>
                </c:pt>
                <c:pt idx="55">
                  <c:v>CA_Gasoline_Gasification_Non_CCS_Herb</c:v>
                </c:pt>
                <c:pt idx="56">
                  <c:v>CA_Gasoline_Gasification_Non_CCS_Herb</c:v>
                </c:pt>
                <c:pt idx="57">
                  <c:v>CA_Gasoline_Gasification_Non_CCS_Herb</c:v>
                </c:pt>
                <c:pt idx="58">
                  <c:v>CA_Gasoline_Gasification_Non_CCS_Herb</c:v>
                </c:pt>
                <c:pt idx="59">
                  <c:v>CA_Gasoline_Gasification_Non_CCS_Herb</c:v>
                </c:pt>
                <c:pt idx="60">
                  <c:v>CA_Gasoline_Gasification_Non_CCS_Herb</c:v>
                </c:pt>
                <c:pt idx="61">
                  <c:v>CA_Gasoline_Gasification_Non_CCS_Herb</c:v>
                </c:pt>
                <c:pt idx="62">
                  <c:v>CA_Gasoline_Gasification_Non_CCS_Herb</c:v>
                </c:pt>
                <c:pt idx="63">
                  <c:v>CA_Gasoline_Gasification_Non_CCS_Herb</c:v>
                </c:pt>
                <c:pt idx="64">
                  <c:v>CA_Gasoline_Gasification_Non_CCS_Herb</c:v>
                </c:pt>
                <c:pt idx="65">
                  <c:v>CA_Gasoline_Gasification_Non_CCS_Herb</c:v>
                </c:pt>
                <c:pt idx="66">
                  <c:v>CA_Gasoline_Gasification_Non_CCS_Herb</c:v>
                </c:pt>
                <c:pt idx="67">
                  <c:v>CA_Gasoline_Gasification_Non_CCS_Herb</c:v>
                </c:pt>
                <c:pt idx="68">
                  <c:v>CA_Gasoline_Gasification_Non_CCS_Herb</c:v>
                </c:pt>
                <c:pt idx="69">
                  <c:v>CA_Gasoline_Gasification_Non_CCS_Herb</c:v>
                </c:pt>
                <c:pt idx="70">
                  <c:v>CA_Gasoline_Gasification_Non_CCS_Herb</c:v>
                </c:pt>
                <c:pt idx="71">
                  <c:v>CA_Gasoline_Gasification_Non_CCS_Herb</c:v>
                </c:pt>
              </c:strCache>
            </c:strRef>
          </c:cat>
          <c:val>
            <c:numRef>
              <c:f>lc_summary!$W$3:$W$74</c:f>
              <c:numCache>
                <c:formatCode>General</c:formatCode>
                <c:ptCount val="72"/>
                <c:pt idx="0">
                  <c:v>-5.3988405088643852</c:v>
                </c:pt>
                <c:pt idx="1">
                  <c:v>-11.767032817772119</c:v>
                </c:pt>
                <c:pt idx="2">
                  <c:v>-11.865994819847124</c:v>
                </c:pt>
                <c:pt idx="3">
                  <c:v>-10.701943039186755</c:v>
                </c:pt>
                <c:pt idx="4">
                  <c:v>-11.767032817772119</c:v>
                </c:pt>
                <c:pt idx="5">
                  <c:v>-11.865994819847124</c:v>
                </c:pt>
                <c:pt idx="6">
                  <c:v>-10.13642665887811</c:v>
                </c:pt>
                <c:pt idx="7">
                  <c:v>-10.701943039186755</c:v>
                </c:pt>
                <c:pt idx="8">
                  <c:v>-10.13642665887811</c:v>
                </c:pt>
                <c:pt idx="9">
                  <c:v>-8.9615358403787848</c:v>
                </c:pt>
                <c:pt idx="10">
                  <c:v>-8.9615358403787848</c:v>
                </c:pt>
                <c:pt idx="11">
                  <c:v>-7.8077413422656381</c:v>
                </c:pt>
                <c:pt idx="12">
                  <c:v>-7.1182795140210633</c:v>
                </c:pt>
                <c:pt idx="13">
                  <c:v>-7.8077413422656381</c:v>
                </c:pt>
                <c:pt idx="14">
                  <c:v>-6.379184937517909</c:v>
                </c:pt>
                <c:pt idx="15">
                  <c:v>-7.1182795140210633</c:v>
                </c:pt>
                <c:pt idx="16">
                  <c:v>-6.379184937517909</c:v>
                </c:pt>
                <c:pt idx="17">
                  <c:v>-5.3988405088643852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-45.533764379187978</c:v>
                </c:pt>
                <c:pt idx="28">
                  <c:v>-42.765167507068689</c:v>
                </c:pt>
                <c:pt idx="29">
                  <c:v>-39.583377897556339</c:v>
                </c:pt>
                <c:pt idx="30">
                  <c:v>-8.4736654520709855</c:v>
                </c:pt>
                <c:pt idx="31">
                  <c:v>-9.3986419893153954</c:v>
                </c:pt>
                <c:pt idx="32">
                  <c:v>-7.6789565147141294</c:v>
                </c:pt>
                <c:pt idx="33">
                  <c:v>-37.453812048331194</c:v>
                </c:pt>
                <c:pt idx="34">
                  <c:v>-51.102826470212008</c:v>
                </c:pt>
                <c:pt idx="35">
                  <c:v>-8.0455080014009788</c:v>
                </c:pt>
                <c:pt idx="36">
                  <c:v>-42.753640760414562</c:v>
                </c:pt>
                <c:pt idx="37">
                  <c:v>0</c:v>
                </c:pt>
                <c:pt idx="38">
                  <c:v>0</c:v>
                </c:pt>
                <c:pt idx="39">
                  <c:v>-37.275932371144641</c:v>
                </c:pt>
                <c:pt idx="40">
                  <c:v>-8.892999770974674</c:v>
                </c:pt>
                <c:pt idx="41">
                  <c:v>-35.687741074519352</c:v>
                </c:pt>
                <c:pt idx="42">
                  <c:v>-7.264510933472347</c:v>
                </c:pt>
                <c:pt idx="43">
                  <c:v>-10.811496455239345</c:v>
                </c:pt>
                <c:pt idx="44">
                  <c:v>-7.2790092167589471</c:v>
                </c:pt>
                <c:pt idx="45">
                  <c:v>0</c:v>
                </c:pt>
                <c:pt idx="46">
                  <c:v>0</c:v>
                </c:pt>
                <c:pt idx="47">
                  <c:v>-33.884510545173519</c:v>
                </c:pt>
                <c:pt idx="48">
                  <c:v>-8.1386486701517278</c:v>
                </c:pt>
                <c:pt idx="49">
                  <c:v>0</c:v>
                </c:pt>
                <c:pt idx="50">
                  <c:v>0</c:v>
                </c:pt>
                <c:pt idx="51">
                  <c:v>-34.276782353481927</c:v>
                </c:pt>
                <c:pt idx="52">
                  <c:v>-10.154123280036075</c:v>
                </c:pt>
                <c:pt idx="53">
                  <c:v>-8.8507641788688645</c:v>
                </c:pt>
                <c:pt idx="54">
                  <c:v>-32.340740069297212</c:v>
                </c:pt>
                <c:pt idx="55">
                  <c:v>0</c:v>
                </c:pt>
                <c:pt idx="56">
                  <c:v>0</c:v>
                </c:pt>
                <c:pt idx="57">
                  <c:v>-48.316366796170506</c:v>
                </c:pt>
                <c:pt idx="58">
                  <c:v>-30.656319591097915</c:v>
                </c:pt>
                <c:pt idx="59">
                  <c:v>-30.595258532824619</c:v>
                </c:pt>
                <c:pt idx="60">
                  <c:v>0</c:v>
                </c:pt>
                <c:pt idx="61">
                  <c:v>0</c:v>
                </c:pt>
                <c:pt idx="62">
                  <c:v>-10.151386379577907</c:v>
                </c:pt>
                <c:pt idx="63">
                  <c:v>-49.651126037125074</c:v>
                </c:pt>
                <c:pt idx="64">
                  <c:v>0</c:v>
                </c:pt>
                <c:pt idx="65">
                  <c:v>-12.133809597520065</c:v>
                </c:pt>
                <c:pt idx="66">
                  <c:v>0</c:v>
                </c:pt>
                <c:pt idx="67">
                  <c:v>-11.472195094539575</c:v>
                </c:pt>
                <c:pt idx="68">
                  <c:v>0</c:v>
                </c:pt>
                <c:pt idx="69">
                  <c:v>-11.789119139782237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AC3-A14F-96AF-FBF11932B5CA}"/>
            </c:ext>
          </c:extLst>
        </c:ser>
        <c:ser>
          <c:idx val="8"/>
          <c:order val="8"/>
          <c:tx>
            <c:strRef>
              <c:f>lc_summary!$X$2</c:f>
              <c:strCache>
                <c:ptCount val="1"/>
                <c:pt idx="0">
                  <c:v>modified emissions cost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0</c:v>
                </c:pt>
                <c:pt idx="1">
                  <c:v>CA_Gasoline_Gasification_Non_CCS_Herb</c:v>
                </c:pt>
                <c:pt idx="2">
                  <c:v>CA_Gasoline_Gasification_Non_CCS_Herb</c:v>
                </c:pt>
                <c:pt idx="3">
                  <c:v>CA_Gasoline_Gasification_Non_CCS_Herb</c:v>
                </c:pt>
                <c:pt idx="4">
                  <c:v>CA_Gasoline_Gasification_Non_CCS_Herb</c:v>
                </c:pt>
                <c:pt idx="5">
                  <c:v>CA_Gasoline_Gasification_Non_CCS_Herb</c:v>
                </c:pt>
                <c:pt idx="6">
                  <c:v>CA_Gasoline_Gasification_Non_CCS_Herb</c:v>
                </c:pt>
                <c:pt idx="7">
                  <c:v>0</c:v>
                </c:pt>
                <c:pt idx="8">
                  <c:v>0</c:v>
                </c:pt>
                <c:pt idx="9">
                  <c:v>CA_Gasoline_Gasification_Non_CCS_Herb</c:v>
                </c:pt>
                <c:pt idx="10">
                  <c:v>0</c:v>
                </c:pt>
                <c:pt idx="11">
                  <c:v>CA_Gasoline_Gasification_Non_CCS_Herb</c:v>
                </c:pt>
                <c:pt idx="12">
                  <c:v>CA_Gasoline_Gasification_Non_CCS_Herb</c:v>
                </c:pt>
                <c:pt idx="13">
                  <c:v>0</c:v>
                </c:pt>
                <c:pt idx="14">
                  <c:v>CA_Gasoline_Gasification_Non_CCS_Herb</c:v>
                </c:pt>
                <c:pt idx="15">
                  <c:v>0</c:v>
                </c:pt>
                <c:pt idx="16">
                  <c:v>0</c:v>
                </c:pt>
                <c:pt idx="17">
                  <c:v>CA_Gasoline_Gasification_Non_CCS_Herb</c:v>
                </c:pt>
                <c:pt idx="18">
                  <c:v>CA_Gasoline_Gasification_Non_CCS_Herb</c:v>
                </c:pt>
                <c:pt idx="19">
                  <c:v>CA_Gasoline_Gasification_Non_CCS_Herb</c:v>
                </c:pt>
                <c:pt idx="20">
                  <c:v>CA_Gasoline_Gasification_Non_CCS_Herb</c:v>
                </c:pt>
                <c:pt idx="21">
                  <c:v>CA_Gasoline_Gasification_Non_CCS_Herb</c:v>
                </c:pt>
                <c:pt idx="22">
                  <c:v>CA_Gasoline_Gasification_Non_CCS_Herb</c:v>
                </c:pt>
                <c:pt idx="23">
                  <c:v>CA_Gasoline_Gasification_Non_CCS_Herb</c:v>
                </c:pt>
                <c:pt idx="24">
                  <c:v>CA_Gasoline_Gasification_Non_CCS_Herb</c:v>
                </c:pt>
                <c:pt idx="25">
                  <c:v>CA_Gasoline_Gasification_Non_CCS_Herb</c:v>
                </c:pt>
                <c:pt idx="26">
                  <c:v>CA_Gasoline_Gasification_Non_CCS_Herb</c:v>
                </c:pt>
                <c:pt idx="27">
                  <c:v>CA_Gasoline_Gasification_Non_CCS_Herb</c:v>
                </c:pt>
                <c:pt idx="28">
                  <c:v>CA_Gasoline_Gasification_Non_CCS_Herb</c:v>
                </c:pt>
                <c:pt idx="29">
                  <c:v>CA_Gasoline_Gasification_Non_CCS_Herb</c:v>
                </c:pt>
                <c:pt idx="30">
                  <c:v>CA_Gasoline_Gasification_Non_CCS_Herb</c:v>
                </c:pt>
                <c:pt idx="31">
                  <c:v>CA_Gasoline_Gasification_Non_CCS_Herb</c:v>
                </c:pt>
                <c:pt idx="32">
                  <c:v>CA_Gasoline_Gasification_Non_CCS_Herb</c:v>
                </c:pt>
                <c:pt idx="33">
                  <c:v>CA_Gasoline_Gasification_Non_CCS_Herb</c:v>
                </c:pt>
                <c:pt idx="34">
                  <c:v>CA_Gasoline_Gasification_Non_CCS_Herb</c:v>
                </c:pt>
                <c:pt idx="35">
                  <c:v>CA_Gasoline_Gasification_Non_CCS_Herb</c:v>
                </c:pt>
                <c:pt idx="36">
                  <c:v>CA_Gasoline_Gasification_Non_CCS_Herb</c:v>
                </c:pt>
                <c:pt idx="37">
                  <c:v>CA_Gasoline_Gasification_Non_CCS_Herb</c:v>
                </c:pt>
                <c:pt idx="38">
                  <c:v>CA_Gasoline_Gasification_Non_CCS_Herb</c:v>
                </c:pt>
                <c:pt idx="39">
                  <c:v>CA_Gasoline_Gasification_Non_CCS_Herb</c:v>
                </c:pt>
                <c:pt idx="40">
                  <c:v>CA_Gasoline_Gasification_Non_CCS_Herb</c:v>
                </c:pt>
                <c:pt idx="41">
                  <c:v>CA_Gasoline_Gasification_Non_CCS_Herb</c:v>
                </c:pt>
                <c:pt idx="42">
                  <c:v>CA_Gasoline_Gasification_Non_CCS_Herb</c:v>
                </c:pt>
                <c:pt idx="43">
                  <c:v>CA_Gasoline_Gasification_Non_CCS_Herb</c:v>
                </c:pt>
                <c:pt idx="44">
                  <c:v>CA_Gasoline_Gasification_Non_CCS_Herb</c:v>
                </c:pt>
                <c:pt idx="45">
                  <c:v>CA_Gasoline_Gasification_Non_CCS_Herb</c:v>
                </c:pt>
                <c:pt idx="46">
                  <c:v>CA_Gasoline_Gasification_Non_CCS_Herb</c:v>
                </c:pt>
                <c:pt idx="47">
                  <c:v>CA_Gasoline_Gasification_Non_CCS_Herb</c:v>
                </c:pt>
                <c:pt idx="48">
                  <c:v>CA_Gasoline_Gasification_Non_CCS_Herb</c:v>
                </c:pt>
                <c:pt idx="49">
                  <c:v>CA_Gasoline_Gasification_Non_CCS_Herb</c:v>
                </c:pt>
                <c:pt idx="50">
                  <c:v>CA_Gasoline_Gasification_Non_CCS_Herb</c:v>
                </c:pt>
                <c:pt idx="51">
                  <c:v>CA_Gasoline_Gasification_Non_CCS_Herb</c:v>
                </c:pt>
                <c:pt idx="52">
                  <c:v>CA_Gasoline_Gasification_Non_CCS_Herb</c:v>
                </c:pt>
                <c:pt idx="53">
                  <c:v>CA_Gasoline_Gasification_Non_CCS_Herb</c:v>
                </c:pt>
                <c:pt idx="54">
                  <c:v>CA_Gasoline_Gasification_Non_CCS_Herb</c:v>
                </c:pt>
                <c:pt idx="55">
                  <c:v>CA_Gasoline_Gasification_Non_CCS_Herb</c:v>
                </c:pt>
                <c:pt idx="56">
                  <c:v>CA_Gasoline_Gasification_Non_CCS_Herb</c:v>
                </c:pt>
                <c:pt idx="57">
                  <c:v>CA_Gasoline_Gasification_Non_CCS_Herb</c:v>
                </c:pt>
                <c:pt idx="58">
                  <c:v>CA_Gasoline_Gasification_Non_CCS_Herb</c:v>
                </c:pt>
                <c:pt idx="59">
                  <c:v>CA_Gasoline_Gasification_Non_CCS_Herb</c:v>
                </c:pt>
                <c:pt idx="60">
                  <c:v>CA_Gasoline_Gasification_Non_CCS_Herb</c:v>
                </c:pt>
                <c:pt idx="61">
                  <c:v>CA_Gasoline_Gasification_Non_CCS_Herb</c:v>
                </c:pt>
                <c:pt idx="62">
                  <c:v>CA_Gasoline_Gasification_Non_CCS_Herb</c:v>
                </c:pt>
                <c:pt idx="63">
                  <c:v>CA_Gasoline_Gasification_Non_CCS_Herb</c:v>
                </c:pt>
                <c:pt idx="64">
                  <c:v>CA_Gasoline_Gasification_Non_CCS_Herb</c:v>
                </c:pt>
                <c:pt idx="65">
                  <c:v>CA_Gasoline_Gasification_Non_CCS_Herb</c:v>
                </c:pt>
                <c:pt idx="66">
                  <c:v>CA_Gasoline_Gasification_Non_CCS_Herb</c:v>
                </c:pt>
                <c:pt idx="67">
                  <c:v>CA_Gasoline_Gasification_Non_CCS_Herb</c:v>
                </c:pt>
                <c:pt idx="68">
                  <c:v>CA_Gasoline_Gasification_Non_CCS_Herb</c:v>
                </c:pt>
                <c:pt idx="69">
                  <c:v>CA_Gasoline_Gasification_Non_CCS_Herb</c:v>
                </c:pt>
                <c:pt idx="70">
                  <c:v>CA_Gasoline_Gasification_Non_CCS_Herb</c:v>
                </c:pt>
                <c:pt idx="71">
                  <c:v>CA_Gasoline_Gasification_Non_CCS_Herb</c:v>
                </c:pt>
              </c:strCache>
            </c:strRef>
          </c:cat>
          <c:val>
            <c:numRef>
              <c:f>lc_summary!$X$3:$X$74</c:f>
              <c:numCache>
                <c:formatCode>General</c:formatCode>
                <c:ptCount val="72"/>
                <c:pt idx="0">
                  <c:v>-25.221398124218638</c:v>
                </c:pt>
                <c:pt idx="1">
                  <c:v>2.0858858143606906</c:v>
                </c:pt>
                <c:pt idx="2">
                  <c:v>2.0858858143606906</c:v>
                </c:pt>
                <c:pt idx="3">
                  <c:v>2.0858858143606906</c:v>
                </c:pt>
                <c:pt idx="4">
                  <c:v>2.0858858143606906</c:v>
                </c:pt>
                <c:pt idx="5">
                  <c:v>2.0858858143606906</c:v>
                </c:pt>
                <c:pt idx="6">
                  <c:v>2.0858858143606906</c:v>
                </c:pt>
                <c:pt idx="7">
                  <c:v>2.0858858143606906</c:v>
                </c:pt>
                <c:pt idx="8">
                  <c:v>2.0858858143606906</c:v>
                </c:pt>
                <c:pt idx="9">
                  <c:v>2.0858858143606906</c:v>
                </c:pt>
                <c:pt idx="10">
                  <c:v>2.0858858143606906</c:v>
                </c:pt>
                <c:pt idx="11">
                  <c:v>2.0858858143606906</c:v>
                </c:pt>
                <c:pt idx="12">
                  <c:v>2.0858858143606906</c:v>
                </c:pt>
                <c:pt idx="13">
                  <c:v>2.0858858143606906</c:v>
                </c:pt>
                <c:pt idx="14">
                  <c:v>2.0858858143606906</c:v>
                </c:pt>
                <c:pt idx="15">
                  <c:v>2.0858858143606906</c:v>
                </c:pt>
                <c:pt idx="16">
                  <c:v>2.0858858143606906</c:v>
                </c:pt>
                <c:pt idx="17">
                  <c:v>2.0858858143606906</c:v>
                </c:pt>
                <c:pt idx="18">
                  <c:v>2.0858858143606906</c:v>
                </c:pt>
                <c:pt idx="19">
                  <c:v>2.0858858143606906</c:v>
                </c:pt>
                <c:pt idx="20">
                  <c:v>2.0858858143606906</c:v>
                </c:pt>
                <c:pt idx="21">
                  <c:v>2.0858858143606906</c:v>
                </c:pt>
                <c:pt idx="22">
                  <c:v>2.0858858143606906</c:v>
                </c:pt>
                <c:pt idx="23">
                  <c:v>2.0858858143606906</c:v>
                </c:pt>
                <c:pt idx="24">
                  <c:v>2.0858858143606906</c:v>
                </c:pt>
                <c:pt idx="25">
                  <c:v>2.0858858143606906</c:v>
                </c:pt>
                <c:pt idx="26">
                  <c:v>2.0858858143606906</c:v>
                </c:pt>
                <c:pt idx="27">
                  <c:v>2.0864530802119652</c:v>
                </c:pt>
                <c:pt idx="28">
                  <c:v>2.0863450301055204</c:v>
                </c:pt>
                <c:pt idx="29">
                  <c:v>2.0857316983762755</c:v>
                </c:pt>
                <c:pt idx="30">
                  <c:v>2.0860153654243563</c:v>
                </c:pt>
                <c:pt idx="31">
                  <c:v>2.0857316983763274</c:v>
                </c:pt>
                <c:pt idx="32">
                  <c:v>2.0854294720725233</c:v>
                </c:pt>
                <c:pt idx="33">
                  <c:v>2.0853812257300803</c:v>
                </c:pt>
                <c:pt idx="34">
                  <c:v>2.0857276625740924</c:v>
                </c:pt>
                <c:pt idx="35">
                  <c:v>2.0859156364526106</c:v>
                </c:pt>
                <c:pt idx="36">
                  <c:v>2.0856720119677368</c:v>
                </c:pt>
                <c:pt idx="37">
                  <c:v>2.0854294881561621</c:v>
                </c:pt>
                <c:pt idx="38">
                  <c:v>2.0860153815076425</c:v>
                </c:pt>
                <c:pt idx="39">
                  <c:v>2.0855349801005021</c:v>
                </c:pt>
                <c:pt idx="40">
                  <c:v>2.0853812257300803</c:v>
                </c:pt>
                <c:pt idx="41">
                  <c:v>2.0860153654243301</c:v>
                </c:pt>
                <c:pt idx="42">
                  <c:v>2.086075610141338</c:v>
                </c:pt>
                <c:pt idx="43">
                  <c:v>2.0864530802119519</c:v>
                </c:pt>
                <c:pt idx="44">
                  <c:v>2.0860662875760316</c:v>
                </c:pt>
                <c:pt idx="45">
                  <c:v>2.0859156525360096</c:v>
                </c:pt>
                <c:pt idx="46">
                  <c:v>2.0860756262246327</c:v>
                </c:pt>
                <c:pt idx="47">
                  <c:v>2.0859156364526226</c:v>
                </c:pt>
                <c:pt idx="48">
                  <c:v>2.0854168639694692</c:v>
                </c:pt>
                <c:pt idx="49">
                  <c:v>2.0857317144597785</c:v>
                </c:pt>
                <c:pt idx="50">
                  <c:v>2.0860663036593108</c:v>
                </c:pt>
                <c:pt idx="51">
                  <c:v>2.0854168639695043</c:v>
                </c:pt>
                <c:pt idx="52">
                  <c:v>2.0863450301054955</c:v>
                </c:pt>
                <c:pt idx="53">
                  <c:v>2.0855349801005141</c:v>
                </c:pt>
                <c:pt idx="54">
                  <c:v>2.0854294720725233</c:v>
                </c:pt>
                <c:pt idx="55">
                  <c:v>2.0853812418137778</c:v>
                </c:pt>
                <c:pt idx="56">
                  <c:v>2.0854168800531729</c:v>
                </c:pt>
                <c:pt idx="57">
                  <c:v>2.0864731500533784</c:v>
                </c:pt>
                <c:pt idx="58">
                  <c:v>2.0860662875760552</c:v>
                </c:pt>
                <c:pt idx="59">
                  <c:v>2.0860756101413624</c:v>
                </c:pt>
                <c:pt idx="60">
                  <c:v>2.0855349961841134</c:v>
                </c:pt>
                <c:pt idx="61">
                  <c:v>2.086453096294997</c:v>
                </c:pt>
                <c:pt idx="62">
                  <c:v>2.0856720119677838</c:v>
                </c:pt>
                <c:pt idx="63">
                  <c:v>2.0857742087478601</c:v>
                </c:pt>
                <c:pt idx="64">
                  <c:v>2.0863450461886095</c:v>
                </c:pt>
                <c:pt idx="65">
                  <c:v>2.085727662574079</c:v>
                </c:pt>
                <c:pt idx="66">
                  <c:v>2.0856720280512451</c:v>
                </c:pt>
                <c:pt idx="67">
                  <c:v>2.086473150053354</c:v>
                </c:pt>
                <c:pt idx="68">
                  <c:v>2.0857276786575407</c:v>
                </c:pt>
                <c:pt idx="69">
                  <c:v>2.0857742087478477</c:v>
                </c:pt>
                <c:pt idx="70">
                  <c:v>2.0864731661363436</c:v>
                </c:pt>
                <c:pt idx="71">
                  <c:v>2.085774224831308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AC3-A14F-96AF-FBF11932B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2013943488"/>
        <c:axId val="2013934048"/>
      </c:barChart>
      <c:catAx>
        <c:axId val="2013943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934048"/>
        <c:crosses val="autoZero"/>
        <c:auto val="1"/>
        <c:lblAlgn val="ctr"/>
        <c:lblOffset val="100"/>
        <c:noMultiLvlLbl val="0"/>
      </c:catAx>
      <c:valAx>
        <c:axId val="2013934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94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1155925027786968"/>
          <c:y val="0.64383176745676285"/>
          <c:w val="0.11643628533802335"/>
          <c:h val="0.1521464371044234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lc_summary!$O$3:$O$74</c:f>
              <c:strCache>
                <c:ptCount val="72"/>
                <c:pt idx="0">
                  <c:v>0</c:v>
                </c:pt>
                <c:pt idx="1">
                  <c:v>CA_Gasoline_Gasification_Non_CCS_Herb</c:v>
                </c:pt>
                <c:pt idx="2">
                  <c:v>CA_Gasoline_Gasification_Non_CCS_Herb</c:v>
                </c:pt>
                <c:pt idx="3">
                  <c:v>CA_Gasoline_Gasification_Non_CCS_Herb</c:v>
                </c:pt>
                <c:pt idx="4">
                  <c:v>CA_Gasoline_Gasification_Non_CCS_Herb</c:v>
                </c:pt>
                <c:pt idx="5">
                  <c:v>CA_Gasoline_Gasification_Non_CCS_Herb</c:v>
                </c:pt>
                <c:pt idx="6">
                  <c:v>CA_Gasoline_Gasification_Non_CCS_Herb</c:v>
                </c:pt>
                <c:pt idx="7">
                  <c:v>0</c:v>
                </c:pt>
                <c:pt idx="8">
                  <c:v>0</c:v>
                </c:pt>
                <c:pt idx="9">
                  <c:v>CA_Gasoline_Gasification_Non_CCS_Herb</c:v>
                </c:pt>
                <c:pt idx="10">
                  <c:v>0</c:v>
                </c:pt>
                <c:pt idx="11">
                  <c:v>CA_Gasoline_Gasification_Non_CCS_Herb</c:v>
                </c:pt>
                <c:pt idx="12">
                  <c:v>CA_Gasoline_Gasification_Non_CCS_Herb</c:v>
                </c:pt>
                <c:pt idx="13">
                  <c:v>0</c:v>
                </c:pt>
                <c:pt idx="14">
                  <c:v>CA_Gasoline_Gasification_Non_CCS_Herb</c:v>
                </c:pt>
                <c:pt idx="15">
                  <c:v>0</c:v>
                </c:pt>
                <c:pt idx="16">
                  <c:v>0</c:v>
                </c:pt>
                <c:pt idx="17">
                  <c:v>CA_Gasoline_Gasification_Non_CCS_Herb</c:v>
                </c:pt>
                <c:pt idx="18">
                  <c:v>CA_Gasoline_Gasification_Non_CCS_Herb</c:v>
                </c:pt>
                <c:pt idx="19">
                  <c:v>CA_Gasoline_Gasification_Non_CCS_Herb</c:v>
                </c:pt>
                <c:pt idx="20">
                  <c:v>CA_Gasoline_Gasification_Non_CCS_Herb</c:v>
                </c:pt>
                <c:pt idx="21">
                  <c:v>CA_Gasoline_Gasification_Non_CCS_Herb</c:v>
                </c:pt>
                <c:pt idx="22">
                  <c:v>CA_Gasoline_Gasification_Non_CCS_Herb</c:v>
                </c:pt>
                <c:pt idx="23">
                  <c:v>CA_Gasoline_Gasification_Non_CCS_Herb</c:v>
                </c:pt>
                <c:pt idx="24">
                  <c:v>CA_Gasoline_Gasification_Non_CCS_Herb</c:v>
                </c:pt>
                <c:pt idx="25">
                  <c:v>CA_Gasoline_Gasification_Non_CCS_Herb</c:v>
                </c:pt>
                <c:pt idx="26">
                  <c:v>CA_Gasoline_Gasification_Non_CCS_Herb</c:v>
                </c:pt>
                <c:pt idx="27">
                  <c:v>CA_Gasoline_Gasification_Non_CCS_Herb</c:v>
                </c:pt>
                <c:pt idx="28">
                  <c:v>CA_Gasoline_Gasification_Non_CCS_Herb</c:v>
                </c:pt>
                <c:pt idx="29">
                  <c:v>CA_Gasoline_Gasification_Non_CCS_Herb</c:v>
                </c:pt>
                <c:pt idx="30">
                  <c:v>CA_Gasoline_Gasification_Non_CCS_Herb</c:v>
                </c:pt>
                <c:pt idx="31">
                  <c:v>CA_Gasoline_Gasification_Non_CCS_Herb</c:v>
                </c:pt>
                <c:pt idx="32">
                  <c:v>CA_Gasoline_Gasification_Non_CCS_Herb</c:v>
                </c:pt>
                <c:pt idx="33">
                  <c:v>CA_Gasoline_Gasification_Non_CCS_Herb</c:v>
                </c:pt>
                <c:pt idx="34">
                  <c:v>CA_Gasoline_Gasification_Non_CCS_Herb</c:v>
                </c:pt>
                <c:pt idx="35">
                  <c:v>CA_Gasoline_Gasification_Non_CCS_Herb</c:v>
                </c:pt>
                <c:pt idx="36">
                  <c:v>CA_Gasoline_Gasification_Non_CCS_Herb</c:v>
                </c:pt>
                <c:pt idx="37">
                  <c:v>CA_Gasoline_Gasification_Non_CCS_Herb</c:v>
                </c:pt>
                <c:pt idx="38">
                  <c:v>CA_Gasoline_Gasification_Non_CCS_Herb</c:v>
                </c:pt>
                <c:pt idx="39">
                  <c:v>CA_Gasoline_Gasification_Non_CCS_Herb</c:v>
                </c:pt>
                <c:pt idx="40">
                  <c:v>CA_Gasoline_Gasification_Non_CCS_Herb</c:v>
                </c:pt>
                <c:pt idx="41">
                  <c:v>CA_Gasoline_Gasification_Non_CCS_Herb</c:v>
                </c:pt>
                <c:pt idx="42">
                  <c:v>CA_Gasoline_Gasification_Non_CCS_Herb</c:v>
                </c:pt>
                <c:pt idx="43">
                  <c:v>CA_Gasoline_Gasification_Non_CCS_Herb</c:v>
                </c:pt>
                <c:pt idx="44">
                  <c:v>CA_Gasoline_Gasification_Non_CCS_Herb</c:v>
                </c:pt>
                <c:pt idx="45">
                  <c:v>CA_Gasoline_Gasification_Non_CCS_Herb</c:v>
                </c:pt>
                <c:pt idx="46">
                  <c:v>CA_Gasoline_Gasification_Non_CCS_Herb</c:v>
                </c:pt>
                <c:pt idx="47">
                  <c:v>CA_Gasoline_Gasification_Non_CCS_Herb</c:v>
                </c:pt>
                <c:pt idx="48">
                  <c:v>CA_Gasoline_Gasification_Non_CCS_Herb</c:v>
                </c:pt>
                <c:pt idx="49">
                  <c:v>CA_Gasoline_Gasification_Non_CCS_Herb</c:v>
                </c:pt>
                <c:pt idx="50">
                  <c:v>CA_Gasoline_Gasification_Non_CCS_Herb</c:v>
                </c:pt>
                <c:pt idx="51">
                  <c:v>CA_Gasoline_Gasification_Non_CCS_Herb</c:v>
                </c:pt>
                <c:pt idx="52">
                  <c:v>CA_Gasoline_Gasification_Non_CCS_Herb</c:v>
                </c:pt>
                <c:pt idx="53">
                  <c:v>CA_Gasoline_Gasification_Non_CCS_Herb</c:v>
                </c:pt>
                <c:pt idx="54">
                  <c:v>CA_Gasoline_Gasification_Non_CCS_Herb</c:v>
                </c:pt>
                <c:pt idx="55">
                  <c:v>CA_Gasoline_Gasification_Non_CCS_Herb</c:v>
                </c:pt>
                <c:pt idx="56">
                  <c:v>CA_Gasoline_Gasification_Non_CCS_Herb</c:v>
                </c:pt>
                <c:pt idx="57">
                  <c:v>CA_Gasoline_Gasification_Non_CCS_Herb</c:v>
                </c:pt>
                <c:pt idx="58">
                  <c:v>CA_Gasoline_Gasification_Non_CCS_Herb</c:v>
                </c:pt>
                <c:pt idx="59">
                  <c:v>CA_Gasoline_Gasification_Non_CCS_Herb</c:v>
                </c:pt>
                <c:pt idx="60">
                  <c:v>CA_Gasoline_Gasification_Non_CCS_Herb</c:v>
                </c:pt>
                <c:pt idx="61">
                  <c:v>CA_Gasoline_Gasification_Non_CCS_Herb</c:v>
                </c:pt>
                <c:pt idx="62">
                  <c:v>CA_Gasoline_Gasification_Non_CCS_Herb</c:v>
                </c:pt>
                <c:pt idx="63">
                  <c:v>CA_Gasoline_Gasification_Non_CCS_Herb</c:v>
                </c:pt>
                <c:pt idx="64">
                  <c:v>CA_Gasoline_Gasification_Non_CCS_Herb</c:v>
                </c:pt>
                <c:pt idx="65">
                  <c:v>CA_Gasoline_Gasification_Non_CCS_Herb</c:v>
                </c:pt>
                <c:pt idx="66">
                  <c:v>CA_Gasoline_Gasification_Non_CCS_Herb</c:v>
                </c:pt>
                <c:pt idx="67">
                  <c:v>CA_Gasoline_Gasification_Non_CCS_Herb</c:v>
                </c:pt>
                <c:pt idx="68">
                  <c:v>CA_Gasoline_Gasification_Non_CCS_Herb</c:v>
                </c:pt>
                <c:pt idx="69">
                  <c:v>CA_Gasoline_Gasification_Non_CCS_Herb</c:v>
                </c:pt>
                <c:pt idx="70">
                  <c:v>CA_Gasoline_Gasification_Non_CCS_Herb</c:v>
                </c:pt>
                <c:pt idx="71">
                  <c:v>CA_Gasoline_Gasification_Non_CCS_Herb</c:v>
                </c:pt>
              </c:strCache>
            </c:strRef>
          </c:cat>
          <c:val>
            <c:numRef>
              <c:f>lc_summary!$Y$3:$Y$74</c:f>
              <c:numCache>
                <c:formatCode>General</c:formatCode>
                <c:ptCount val="72"/>
                <c:pt idx="0">
                  <c:v>27.380988115947119</c:v>
                </c:pt>
                <c:pt idx="1">
                  <c:v>46.602023380104036</c:v>
                </c:pt>
                <c:pt idx="2">
                  <c:v>46.771841938264949</c:v>
                </c:pt>
                <c:pt idx="3">
                  <c:v>47.700762227121189</c:v>
                </c:pt>
                <c:pt idx="4">
                  <c:v>47.751770429482704</c:v>
                </c:pt>
                <c:pt idx="5">
                  <c:v>47.921588987643631</c:v>
                </c:pt>
                <c:pt idx="6">
                  <c:v>48.052737159274997</c:v>
                </c:pt>
                <c:pt idx="7">
                  <c:v>48.850509276499857</c:v>
                </c:pt>
                <c:pt idx="8">
                  <c:v>49.202484208653658</c:v>
                </c:pt>
                <c:pt idx="9">
                  <c:v>49.367680126811536</c:v>
                </c:pt>
                <c:pt idx="10">
                  <c:v>50.517427176190203</c:v>
                </c:pt>
                <c:pt idx="11">
                  <c:v>50.66947596094839</c:v>
                </c:pt>
                <c:pt idx="12">
                  <c:v>51.565406258597264</c:v>
                </c:pt>
                <c:pt idx="13">
                  <c:v>51.819223010327072</c:v>
                </c:pt>
                <c:pt idx="14">
                  <c:v>52.335869320875894</c:v>
                </c:pt>
                <c:pt idx="15">
                  <c:v>52.715153307975932</c:v>
                </c:pt>
                <c:pt idx="16">
                  <c:v>53.485616370254576</c:v>
                </c:pt>
                <c:pt idx="17">
                  <c:v>53.538525005147775</c:v>
                </c:pt>
                <c:pt idx="18">
                  <c:v>56.439675831286301</c:v>
                </c:pt>
                <c:pt idx="19">
                  <c:v>56.579727980323518</c:v>
                </c:pt>
                <c:pt idx="20">
                  <c:v>56.619568211009359</c:v>
                </c:pt>
                <c:pt idx="21">
                  <c:v>56.653217279441144</c:v>
                </c:pt>
                <c:pt idx="22">
                  <c:v>56.727729316347236</c:v>
                </c:pt>
                <c:pt idx="23">
                  <c:v>56.888348771245276</c:v>
                </c:pt>
                <c:pt idx="24">
                  <c:v>56.934197785751529</c:v>
                </c:pt>
                <c:pt idx="25">
                  <c:v>56.96556627152701</c:v>
                </c:pt>
                <c:pt idx="26">
                  <c:v>57.187877527145368</c:v>
                </c:pt>
                <c:pt idx="27">
                  <c:v>68.121026085423253</c:v>
                </c:pt>
                <c:pt idx="28">
                  <c:v>70.261770986557565</c:v>
                </c:pt>
                <c:pt idx="29">
                  <c:v>70.384114661768123</c:v>
                </c:pt>
                <c:pt idx="30">
                  <c:v>71.525027489202728</c:v>
                </c:pt>
                <c:pt idx="31">
                  <c:v>71.978862931538117</c:v>
                </c:pt>
                <c:pt idx="32">
                  <c:v>72.398096762459019</c:v>
                </c:pt>
                <c:pt idx="33">
                  <c:v>72.468350156812903</c:v>
                </c:pt>
                <c:pt idx="34">
                  <c:v>72.651251748444423</c:v>
                </c:pt>
                <c:pt idx="35">
                  <c:v>73.239963458688152</c:v>
                </c:pt>
                <c:pt idx="36">
                  <c:v>73.551335705072063</c:v>
                </c:pt>
                <c:pt idx="37">
                  <c:v>73.738792556496563</c:v>
                </c:pt>
                <c:pt idx="38">
                  <c:v>73.777886635875561</c:v>
                </c:pt>
                <c:pt idx="39">
                  <c:v>74.046124984550261</c:v>
                </c:pt>
                <c:pt idx="40">
                  <c:v>74.060042527793811</c:v>
                </c:pt>
                <c:pt idx="41">
                  <c:v>74.070504918974677</c:v>
                </c:pt>
                <c:pt idx="42">
                  <c:v>74.16046292227017</c:v>
                </c:pt>
                <c:pt idx="43">
                  <c:v>74.795634310077887</c:v>
                </c:pt>
                <c:pt idx="44">
                  <c:v>74.997011588155715</c:v>
                </c:pt>
                <c:pt idx="45">
                  <c:v>75.176311313231849</c:v>
                </c:pt>
                <c:pt idx="46">
                  <c:v>75.203088914956226</c:v>
                </c:pt>
                <c:pt idx="47">
                  <c:v>75.574539300310619</c:v>
                </c:pt>
                <c:pt idx="48">
                  <c:v>75.78192217430329</c:v>
                </c:pt>
                <c:pt idx="49">
                  <c:v>75.974176729362256</c:v>
                </c:pt>
                <c:pt idx="50">
                  <c:v>76.12867231364568</c:v>
                </c:pt>
                <c:pt idx="51">
                  <c:v>76.434241303459999</c:v>
                </c:pt>
                <c:pt idx="52">
                  <c:v>76.455899130428037</c:v>
                </c:pt>
                <c:pt idx="53">
                  <c:v>76.521101997094874</c:v>
                </c:pt>
                <c:pt idx="54">
                  <c:v>77.570079015487778</c:v>
                </c:pt>
                <c:pt idx="55">
                  <c:v>77.668418490758924</c:v>
                </c:pt>
                <c:pt idx="56">
                  <c:v>77.907745438968988</c:v>
                </c:pt>
                <c:pt idx="57">
                  <c:v>78.423300916099308</c:v>
                </c:pt>
                <c:pt idx="58">
                  <c:v>78.737768380005207</c:v>
                </c:pt>
                <c:pt idx="59">
                  <c:v>78.999893808091656</c:v>
                </c:pt>
                <c:pt idx="60">
                  <c:v>80.162595774830351</c:v>
                </c:pt>
                <c:pt idx="61">
                  <c:v>80.770190377545021</c:v>
                </c:pt>
                <c:pt idx="62">
                  <c:v>80.899618868367028</c:v>
                </c:pt>
                <c:pt idx="63">
                  <c:v>81.838293394150838</c:v>
                </c:pt>
                <c:pt idx="64">
                  <c:v>81.894819709161609</c:v>
                </c:pt>
                <c:pt idx="65">
                  <c:v>83.333560111635649</c:v>
                </c:pt>
                <c:pt idx="66">
                  <c:v>86.422622516813774</c:v>
                </c:pt>
                <c:pt idx="67">
                  <c:v>89.412782617294951</c:v>
                </c:pt>
                <c:pt idx="68">
                  <c:v>91.106239605171083</c:v>
                </c:pt>
                <c:pt idx="69">
                  <c:v>94.870901977910435</c:v>
                </c:pt>
                <c:pt idx="70">
                  <c:v>96.711460783194582</c:v>
                </c:pt>
                <c:pt idx="71">
                  <c:v>102.56450863085199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A-8248-A0F8-B97389D02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04004336"/>
        <c:axId val="2014014032"/>
      </c:barChart>
      <c:catAx>
        <c:axId val="16040043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4032"/>
        <c:crosses val="autoZero"/>
        <c:auto val="1"/>
        <c:lblAlgn val="ctr"/>
        <c:lblOffset val="100"/>
        <c:noMultiLvlLbl val="0"/>
      </c:catAx>
      <c:valAx>
        <c:axId val="201401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04336"/>
        <c:crosses val="autoZero"/>
        <c:crossBetween val="between"/>
        <c:majorUnit val="10"/>
        <c:minorUnit val="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290079</xdr:colOff>
      <xdr:row>0</xdr:row>
      <xdr:rowOff>129887</xdr:rowOff>
    </xdr:from>
    <xdr:to>
      <xdr:col>46</xdr:col>
      <xdr:colOff>745067</xdr:colOff>
      <xdr:row>85</xdr:row>
      <xdr:rowOff>72158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325580-17FA-24F1-29ED-98E547F5F9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139700</xdr:colOff>
      <xdr:row>0</xdr:row>
      <xdr:rowOff>88900</xdr:rowOff>
    </xdr:from>
    <xdr:to>
      <xdr:col>54</xdr:col>
      <xdr:colOff>787400</xdr:colOff>
      <xdr:row>85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938422-2DBF-B82E-A841-A83096AFC8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E107"/>
  <sheetViews>
    <sheetView tabSelected="1" topLeftCell="Y1" zoomScale="86" zoomScaleNormal="157" workbookViewId="0">
      <selection activeCell="AF21" sqref="AF21"/>
    </sheetView>
  </sheetViews>
  <sheetFormatPr baseColWidth="10" defaultRowHeight="16" x14ac:dyDescent="0.2"/>
  <cols>
    <col min="1" max="1" width="2.6640625" style="1" customWidth="1"/>
    <col min="2" max="2" width="43.5" style="1" bestFit="1" customWidth="1"/>
    <col min="3" max="3" width="13.33203125" style="1" bestFit="1" customWidth="1"/>
    <col min="4" max="4" width="23.83203125" style="1" bestFit="1" customWidth="1"/>
    <col min="5" max="5" width="25.33203125" style="1" bestFit="1" customWidth="1"/>
    <col min="6" max="6" width="34" style="1" bestFit="1" customWidth="1"/>
    <col min="7" max="7" width="31.1640625" style="1" bestFit="1" customWidth="1"/>
    <col min="8" max="8" width="30.1640625" style="1" bestFit="1" customWidth="1"/>
    <col min="9" max="9" width="30.1640625" style="1" customWidth="1"/>
    <col min="10" max="10" width="28.33203125" style="1" bestFit="1" customWidth="1"/>
    <col min="11" max="11" width="27.83203125" style="1" bestFit="1" customWidth="1"/>
    <col min="12" max="12" width="21" style="1" customWidth="1"/>
    <col min="13" max="13" width="27.83203125" style="1" bestFit="1" customWidth="1"/>
    <col min="14" max="14" width="26.1640625" style="1" bestFit="1" customWidth="1"/>
    <col min="15" max="15" width="14" style="1" customWidth="1"/>
    <col min="16" max="16" width="3" style="1" customWidth="1"/>
    <col min="17" max="17" width="12" style="1" bestFit="1" customWidth="1"/>
    <col min="18" max="18" width="15.6640625" style="1" bestFit="1" customWidth="1"/>
    <col min="19" max="20" width="17.1640625" style="1" bestFit="1" customWidth="1"/>
    <col min="21" max="21" width="18" style="1" bestFit="1" customWidth="1"/>
    <col min="22" max="22" width="16.1640625" style="1" bestFit="1" customWidth="1"/>
    <col min="23" max="23" width="18.83203125" style="1" bestFit="1" customWidth="1"/>
    <col min="24" max="24" width="3.33203125" customWidth="1"/>
    <col min="25" max="25" width="37.83203125" style="1" bestFit="1" customWidth="1"/>
    <col min="26" max="26" width="19.83203125" style="1" customWidth="1"/>
    <col min="27" max="28" width="18.83203125" style="1" bestFit="1" customWidth="1"/>
    <col min="29" max="29" width="27.83203125" style="1" bestFit="1" customWidth="1"/>
    <col min="30" max="30" width="12.6640625" style="1" bestFit="1" customWidth="1"/>
    <col min="31" max="31" width="15.1640625" style="1" bestFit="1" customWidth="1"/>
    <col min="32" max="32" width="18.5" style="1" bestFit="1" customWidth="1"/>
    <col min="33" max="33" width="13.6640625" style="1" bestFit="1" customWidth="1"/>
    <col min="34" max="34" width="12.1640625" style="1" bestFit="1" customWidth="1"/>
    <col min="35" max="35" width="14.5" style="1" bestFit="1" customWidth="1"/>
    <col min="36" max="36" width="10.5" style="1" customWidth="1"/>
    <col min="37" max="37" width="17.83203125" style="1" bestFit="1" customWidth="1"/>
    <col min="38" max="38" width="19.6640625" style="1" bestFit="1" customWidth="1"/>
    <col min="39" max="39" width="12.1640625" style="1" customWidth="1"/>
    <col min="40" max="40" width="17.83203125" style="1" bestFit="1" customWidth="1"/>
    <col min="41" max="41" width="19.33203125" style="1" bestFit="1" customWidth="1"/>
    <col min="42" max="42" width="3.33203125" style="1" customWidth="1"/>
    <col min="43" max="43" width="27.6640625" style="1" bestFit="1" customWidth="1"/>
    <col min="44" max="44" width="26.5" style="1" bestFit="1" customWidth="1"/>
    <col min="45" max="45" width="22.33203125" style="1" bestFit="1" customWidth="1"/>
    <col min="46" max="46" width="23.83203125" style="1" bestFit="1" customWidth="1"/>
    <col min="47" max="47" width="24.1640625" style="1" bestFit="1" customWidth="1"/>
    <col min="48" max="48" width="3.6640625" style="1" customWidth="1"/>
    <col min="49" max="49" width="24.5" style="1" bestFit="1" customWidth="1"/>
    <col min="50" max="50" width="3.33203125" style="1" customWidth="1"/>
    <col min="51" max="51" width="25.83203125" style="1" bestFit="1" customWidth="1"/>
    <col min="52" max="52" width="23.83203125" style="1" bestFit="1" customWidth="1"/>
    <col min="53" max="53" width="24.5" style="1" bestFit="1" customWidth="1"/>
    <col min="54" max="54" width="33.1640625" style="1" bestFit="1" customWidth="1"/>
    <col min="55" max="55" width="32.33203125" style="1" bestFit="1" customWidth="1"/>
    <col min="56" max="56" width="10.83203125" style="1" customWidth="1"/>
    <col min="57" max="57" width="19.1640625" style="1" bestFit="1" customWidth="1"/>
    <col min="58" max="74" width="10.83203125" style="1" customWidth="1"/>
    <col min="75" max="16384" width="10.83203125" style="1"/>
  </cols>
  <sheetData>
    <row r="1" spans="2:57" ht="15" customHeight="1" x14ac:dyDescent="0.2">
      <c r="X1" s="1"/>
      <c r="AD1" s="17"/>
      <c r="AE1" s="17"/>
      <c r="AF1" s="17"/>
      <c r="AG1" s="17"/>
      <c r="AH1" s="17"/>
      <c r="AI1" s="17"/>
      <c r="AJ1" s="17"/>
    </row>
    <row r="2" spans="2:57" x14ac:dyDescent="0.2">
      <c r="B2" s="1" t="s">
        <v>0</v>
      </c>
      <c r="Q2" s="1" t="s">
        <v>1</v>
      </c>
      <c r="Y2" s="1" t="s">
        <v>2</v>
      </c>
      <c r="AA2" s="1" t="s">
        <v>3</v>
      </c>
      <c r="AB2" s="1" t="s">
        <v>4</v>
      </c>
      <c r="AJ2" s="1" t="s">
        <v>5</v>
      </c>
      <c r="AM2" s="1" t="s">
        <v>6</v>
      </c>
      <c r="AQ2" s="1" t="s">
        <v>7</v>
      </c>
      <c r="AW2" s="1" t="s">
        <v>8</v>
      </c>
      <c r="AY2" s="1" t="s">
        <v>9</v>
      </c>
      <c r="BE2" s="1" t="s">
        <v>10</v>
      </c>
    </row>
    <row r="3" spans="2:57" x14ac:dyDescent="0.2">
      <c r="B3" s="2" t="s">
        <v>11</v>
      </c>
      <c r="C3" s="2" t="s">
        <v>12</v>
      </c>
      <c r="D3" s="2" t="s">
        <v>13</v>
      </c>
      <c r="E3" s="2" t="s">
        <v>14</v>
      </c>
      <c r="F3" s="2" t="s">
        <v>52</v>
      </c>
      <c r="G3" s="2" t="s">
        <v>53</v>
      </c>
      <c r="H3" s="2" t="s">
        <v>54</v>
      </c>
      <c r="I3" s="7" t="s">
        <v>58</v>
      </c>
      <c r="J3" s="2" t="s">
        <v>15</v>
      </c>
      <c r="K3" s="2" t="s">
        <v>16</v>
      </c>
      <c r="L3" s="2" t="s">
        <v>17</v>
      </c>
      <c r="M3" s="2" t="s">
        <v>18</v>
      </c>
      <c r="N3" s="2" t="s">
        <v>19</v>
      </c>
      <c r="O3" s="2" t="s">
        <v>20</v>
      </c>
      <c r="Q3" s="14" t="s">
        <v>21</v>
      </c>
      <c r="R3" s="14" t="s">
        <v>22</v>
      </c>
      <c r="S3" s="14" t="s">
        <v>23</v>
      </c>
      <c r="T3" s="14" t="s">
        <v>24</v>
      </c>
      <c r="U3" s="14" t="s">
        <v>25</v>
      </c>
      <c r="V3" s="14" t="s">
        <v>26</v>
      </c>
      <c r="W3" s="14" t="s">
        <v>27</v>
      </c>
      <c r="Y3" s="4" t="s">
        <v>28</v>
      </c>
      <c r="Z3" s="4" t="s">
        <v>29</v>
      </c>
      <c r="AA3" s="3" t="s">
        <v>30</v>
      </c>
      <c r="AB3" s="6" t="s">
        <v>30</v>
      </c>
      <c r="AC3" s="7" t="s">
        <v>32</v>
      </c>
      <c r="AD3" s="4" t="s">
        <v>33</v>
      </c>
      <c r="AE3" s="4" t="s">
        <v>34</v>
      </c>
      <c r="AF3" s="4" t="s">
        <v>35</v>
      </c>
      <c r="AG3" s="4" t="s">
        <v>37</v>
      </c>
      <c r="AH3" s="4" t="s">
        <v>38</v>
      </c>
      <c r="AI3" s="4" t="s">
        <v>39</v>
      </c>
      <c r="AJ3" s="3" t="s">
        <v>3</v>
      </c>
      <c r="AK3" s="3" t="s">
        <v>40</v>
      </c>
      <c r="AL3" s="3" t="s">
        <v>41</v>
      </c>
      <c r="AM3" s="6" t="s">
        <v>3</v>
      </c>
      <c r="AN3" s="6" t="s">
        <v>40</v>
      </c>
      <c r="AO3" s="6" t="s">
        <v>41</v>
      </c>
      <c r="AQ3" s="7" t="s">
        <v>42</v>
      </c>
      <c r="AR3" s="7" t="s">
        <v>55</v>
      </c>
      <c r="AS3" s="7" t="s">
        <v>56</v>
      </c>
      <c r="AT3" s="7" t="s">
        <v>57</v>
      </c>
      <c r="AU3" s="7" t="s">
        <v>43</v>
      </c>
      <c r="AW3" s="7" t="s">
        <v>59</v>
      </c>
      <c r="AY3" s="7" t="s">
        <v>60</v>
      </c>
      <c r="AZ3" s="7" t="s">
        <v>61</v>
      </c>
      <c r="BA3" s="7" t="s">
        <v>62</v>
      </c>
      <c r="BB3" s="7" t="s">
        <v>63</v>
      </c>
      <c r="BC3" s="7" t="s">
        <v>64</v>
      </c>
      <c r="BE3" s="7" t="s">
        <v>44</v>
      </c>
    </row>
    <row r="4" spans="2:57" x14ac:dyDescent="0.2">
      <c r="B4" s="13" t="s">
        <v>51</v>
      </c>
      <c r="C4" s="12" t="s">
        <v>45</v>
      </c>
      <c r="D4" s="12">
        <v>0.2142</v>
      </c>
      <c r="E4" s="12">
        <v>0</v>
      </c>
      <c r="F4" s="12"/>
      <c r="G4" s="12"/>
      <c r="H4" s="12">
        <v>1.9847999999999999</v>
      </c>
      <c r="I4" s="24">
        <f>F4+G4+H4</f>
        <v>1.9847999999999999</v>
      </c>
      <c r="J4" s="12">
        <v>1.7230000000000001</v>
      </c>
      <c r="K4" s="12">
        <v>0</v>
      </c>
      <c r="L4" s="12">
        <v>1.2657602005135551</v>
      </c>
      <c r="M4" s="12">
        <v>273134.21999999997</v>
      </c>
      <c r="N4" s="12">
        <v>144062.46</v>
      </c>
      <c r="O4" s="12">
        <v>0.45</v>
      </c>
      <c r="Q4" s="15">
        <v>109.479795</v>
      </c>
      <c r="R4" s="15">
        <v>-31.70346</v>
      </c>
      <c r="S4" s="15">
        <v>170</v>
      </c>
      <c r="T4" s="15">
        <v>110.461518</v>
      </c>
      <c r="U4" s="15">
        <v>127.408748</v>
      </c>
      <c r="V4" s="15">
        <v>98.832477999999995</v>
      </c>
      <c r="W4" s="15">
        <v>25.324636999999999</v>
      </c>
      <c r="Y4" s="1" t="str">
        <f t="shared" ref="Y4:Y35" si="0">B4</f>
        <v>CA_Gasoline_Gasification_Non_CCS_Herb</v>
      </c>
      <c r="Z4" s="1" t="str">
        <f t="shared" ref="Z4:Z35" si="1">C4</f>
        <v>Biomass_Herb</v>
      </c>
      <c r="AA4" s="11">
        <f>SUM(AD4:AI4)+AK4+AL4</f>
        <v>81.894819709161609</v>
      </c>
      <c r="AB4" s="11">
        <f>SUM(AD4:AI4)+AN4+AO4</f>
        <v>81.894819709161609</v>
      </c>
      <c r="AC4" s="5">
        <f t="shared" ref="AC4:AC35" si="2">AA4-AB4</f>
        <v>0</v>
      </c>
      <c r="AD4" s="1">
        <f t="shared" ref="AD4:AD35" si="3">D4/H4*W4*-1</f>
        <v>-2.7330397246070137</v>
      </c>
      <c r="AE4" s="1">
        <f t="shared" ref="AE4:AE35" si="4">E4/H4*W4</f>
        <v>0</v>
      </c>
      <c r="AF4" s="1" cm="1">
        <f t="array" ref="AF4">_xlfn.IFS(C4="Biomass_Corn", 1/H4*S4, C4="Biomass_Agri", 1/H4*V4, C4="Biomass_Wood", 1/H4*U4, C4="Biomass_Herb", 1/H4*T4)</f>
        <v>55.653727327690454</v>
      </c>
      <c r="AG4" s="1">
        <f>M4/H4/(0.9*8760)</f>
        <v>17.45471442935871</v>
      </c>
      <c r="AH4" s="1">
        <f>N4/H4/(0.9*8760)</f>
        <v>9.2063495350048488</v>
      </c>
      <c r="AI4" s="1">
        <f>O4/H4</f>
        <v>0.22672309552599759</v>
      </c>
      <c r="AJ4" s="1">
        <f>(AY4+AZ4+BA4+BB4+BC4-AW4)/I4</f>
        <v>1.9056895806103855E-2</v>
      </c>
      <c r="AK4" s="1">
        <f>(Q4+R4)*-1*K4/I4</f>
        <v>0</v>
      </c>
      <c r="AL4" s="1">
        <f>AJ4*Q4</f>
        <v>2.0863450461886095</v>
      </c>
      <c r="AM4" s="1">
        <f>(SUM(AY4:BB4)-AW4)/I4</f>
        <v>1.9056895806103855E-2</v>
      </c>
      <c r="AN4" s="1">
        <f>K4/I4*-1*R4</f>
        <v>0</v>
      </c>
      <c r="AO4" s="1">
        <f>AM4*Q4</f>
        <v>2.0863450461886095</v>
      </c>
      <c r="AQ4" s="9">
        <f>J4</f>
        <v>1.7230000000000001</v>
      </c>
      <c r="AR4" s="9">
        <v>0.243968185</v>
      </c>
      <c r="AS4" s="9">
        <v>0.24942761299999999</v>
      </c>
      <c r="AT4" s="10">
        <v>0.24635668499999999</v>
      </c>
      <c r="AU4" s="9">
        <v>0.23037490999999999</v>
      </c>
      <c r="AW4" s="10">
        <f>AQ4</f>
        <v>1.7230000000000001</v>
      </c>
      <c r="AY4" s="10">
        <f>AR4*F4</f>
        <v>0</v>
      </c>
      <c r="AZ4" s="10">
        <f>AS4*H4</f>
        <v>0.49506392628239998</v>
      </c>
      <c r="BA4" s="10">
        <f>AT4*G4</f>
        <v>0</v>
      </c>
      <c r="BB4" s="10">
        <f>L4</f>
        <v>1.2657602005135551</v>
      </c>
      <c r="BC4" s="10">
        <f>K4</f>
        <v>0</v>
      </c>
      <c r="BE4" s="1">
        <f>AW4-SUM(AY4:BC4)</f>
        <v>-3.7824126795954927E-2</v>
      </c>
    </row>
    <row r="5" spans="2:57" x14ac:dyDescent="0.2">
      <c r="B5" s="13" t="s">
        <v>51</v>
      </c>
      <c r="C5" s="12" t="s">
        <v>45</v>
      </c>
      <c r="D5" s="12">
        <v>0.215</v>
      </c>
      <c r="E5" s="12">
        <v>0</v>
      </c>
      <c r="F5" s="12"/>
      <c r="G5" s="12"/>
      <c r="H5" s="12">
        <v>1.9923999999999999</v>
      </c>
      <c r="I5" s="24">
        <f t="shared" ref="I5:I68" si="5">F5+G5+H5</f>
        <v>1.9923999999999999</v>
      </c>
      <c r="J5" s="12">
        <v>1.736</v>
      </c>
      <c r="K5" s="12">
        <v>0</v>
      </c>
      <c r="L5" s="12">
        <v>1.2770044799450391</v>
      </c>
      <c r="M5" s="12">
        <v>273134.21999999997</v>
      </c>
      <c r="N5" s="12">
        <v>144062.46</v>
      </c>
      <c r="O5" s="12">
        <v>0.45</v>
      </c>
      <c r="Q5" s="15">
        <v>109.479795</v>
      </c>
      <c r="R5" s="15">
        <v>-54.115442999999999</v>
      </c>
      <c r="S5" s="15">
        <v>170</v>
      </c>
      <c r="T5" s="15">
        <v>100.77374399999999</v>
      </c>
      <c r="U5" s="15">
        <v>108.668072</v>
      </c>
      <c r="V5" s="15">
        <v>89.424565000000001</v>
      </c>
      <c r="W5" s="15">
        <v>39.359471999999997</v>
      </c>
      <c r="Y5" s="1" t="str">
        <f t="shared" si="0"/>
        <v>CA_Gasoline_Gasification_Non_CCS_Herb</v>
      </c>
      <c r="Z5" s="1" t="str">
        <f t="shared" si="1"/>
        <v>Biomass_Herb</v>
      </c>
      <c r="AA5" s="11">
        <f>SUM(AD5:AI5)+AK5+AL5</f>
        <v>75.203088914956226</v>
      </c>
      <c r="AB5" s="11">
        <f>SUM(AD5:AI5)+AN5+AO5</f>
        <v>75.203088914956226</v>
      </c>
      <c r="AC5" s="5">
        <f t="shared" si="2"/>
        <v>0</v>
      </c>
      <c r="AD5" s="1">
        <f t="shared" si="3"/>
        <v>-4.2472829150772933</v>
      </c>
      <c r="AE5" s="1">
        <f t="shared" si="4"/>
        <v>0</v>
      </c>
      <c r="AF5" s="1" cm="1">
        <f t="array" ref="AF5">_xlfn.IFS(C5="Biomass_Corn", 1/H5*S5, C5="Biomass_Agri", 1/H5*V5, C5="Biomass_Wood", 1/H5*U5, C5="Biomass_Herb", 1/H5*T5)</f>
        <v>50.579072475406548</v>
      </c>
      <c r="AG5" s="1">
        <f>M5/H5/(0.9*8760)</f>
        <v>17.388133507022271</v>
      </c>
      <c r="AH5" s="1">
        <f>N5/H5/(0.9*8760)</f>
        <v>9.1712319599867627</v>
      </c>
      <c r="AI5" s="1">
        <f>O5/H5</f>
        <v>0.22585826139329454</v>
      </c>
      <c r="AJ5" s="1">
        <f t="shared" ref="AJ5:AJ68" si="6">(AY5+AZ5+BA5+BB5+BC5-AW5)/I5</f>
        <v>1.9054434895723296E-2</v>
      </c>
      <c r="AK5" s="1">
        <f t="shared" ref="AK5:AK68" si="7">(Q5+R5)*-1*K5/I5</f>
        <v>0</v>
      </c>
      <c r="AL5" s="1">
        <f>AJ5*Q5</f>
        <v>2.0860756262246327</v>
      </c>
      <c r="AM5" s="1">
        <f t="shared" ref="AM5:AM68" si="8">(SUM(AY5:BB5)-AW5)/I5</f>
        <v>1.9054434895723296E-2</v>
      </c>
      <c r="AN5" s="1">
        <f t="shared" ref="AN5:AN68" si="9">K5/I5*-1*R5</f>
        <v>0</v>
      </c>
      <c r="AO5" s="1">
        <f>AM5*Q5</f>
        <v>2.0860756262246327</v>
      </c>
      <c r="AQ5" s="9">
        <f>J5</f>
        <v>1.736</v>
      </c>
      <c r="AR5" s="9">
        <v>0.243968185</v>
      </c>
      <c r="AS5" s="9">
        <v>0.24942761299999999</v>
      </c>
      <c r="AT5" s="10">
        <v>0.24635668499999999</v>
      </c>
      <c r="AU5" s="9">
        <v>0.23037490999999999</v>
      </c>
      <c r="AW5" s="10">
        <f t="shared" ref="AW5:AW68" si="10">AQ5</f>
        <v>1.736</v>
      </c>
      <c r="AY5" s="10">
        <f>AR5*F5</f>
        <v>0</v>
      </c>
      <c r="AZ5" s="10">
        <f>AS5*H5</f>
        <v>0.49695957614119995</v>
      </c>
      <c r="BA5" s="10">
        <f>AT5*G5</f>
        <v>0</v>
      </c>
      <c r="BB5" s="10">
        <f>L5</f>
        <v>1.2770044799450391</v>
      </c>
      <c r="BC5" s="10">
        <f>K5</f>
        <v>0</v>
      </c>
      <c r="BE5" s="1">
        <f t="shared" ref="BE5:BE68" si="11">AW5-SUM(AY5:BC5)</f>
        <v>-3.7964056086239095E-2</v>
      </c>
    </row>
    <row r="6" spans="2:57" x14ac:dyDescent="0.2">
      <c r="B6" s="13" t="s">
        <v>51</v>
      </c>
      <c r="C6" s="12" t="s">
        <v>45</v>
      </c>
      <c r="D6" s="12">
        <v>0.2155</v>
      </c>
      <c r="E6" s="12">
        <v>0</v>
      </c>
      <c r="F6" s="12"/>
      <c r="G6" s="12"/>
      <c r="H6" s="12">
        <v>1.9966999999999999</v>
      </c>
      <c r="I6" s="24">
        <f t="shared" si="5"/>
        <v>1.9966999999999999</v>
      </c>
      <c r="J6" s="12">
        <v>1.74</v>
      </c>
      <c r="K6" s="12">
        <v>0</v>
      </c>
      <c r="L6" s="12">
        <v>1.280001211048744</v>
      </c>
      <c r="M6" s="12">
        <v>273134.21999999997</v>
      </c>
      <c r="N6" s="12">
        <v>144062.46</v>
      </c>
      <c r="O6" s="12">
        <v>0.45</v>
      </c>
      <c r="Q6" s="15">
        <v>109.479795</v>
      </c>
      <c r="R6" s="15">
        <v>-41.717134999999999</v>
      </c>
      <c r="S6" s="15">
        <v>170</v>
      </c>
      <c r="T6" s="15">
        <v>104.167382</v>
      </c>
      <c r="U6" s="15">
        <v>115.52638899999999</v>
      </c>
      <c r="V6" s="15">
        <v>92.044978</v>
      </c>
      <c r="W6" s="15">
        <v>30.708172999999999</v>
      </c>
      <c r="Y6" s="1" t="str">
        <f t="shared" si="0"/>
        <v>CA_Gasoline_Gasification_Non_CCS_Herb</v>
      </c>
      <c r="Z6" s="1" t="str">
        <f t="shared" si="1"/>
        <v>Biomass_Herb</v>
      </c>
      <c r="AA6" s="11">
        <f>SUM(AD6:AI6)+AK6+AL6</f>
        <v>77.668418490758924</v>
      </c>
      <c r="AB6" s="11">
        <f>SUM(AD6:AI6)+AN6+AO6</f>
        <v>77.668418490758924</v>
      </c>
      <c r="AC6" s="5">
        <f t="shared" si="2"/>
        <v>0</v>
      </c>
      <c r="AD6" s="1">
        <f t="shared" si="3"/>
        <v>-3.3142741931687283</v>
      </c>
      <c r="AE6" s="1">
        <f t="shared" si="4"/>
        <v>0</v>
      </c>
      <c r="AF6" s="1" cm="1">
        <f t="array" ref="AF6">_xlfn.IFS(C6="Biomass_Corn", 1/H6*S6, C6="Biomass_Agri", 1/H6*V6, C6="Biomass_Wood", 1/H6*U6, C6="Biomass_Herb", 1/H6*T6)</f>
        <v>52.169771122351882</v>
      </c>
      <c r="AG6" s="1">
        <f>M6/H6/(0.9*8760)</f>
        <v>17.350687233631078</v>
      </c>
      <c r="AH6" s="1">
        <f>N6/H6/(0.9*8760)</f>
        <v>9.1514812225560309</v>
      </c>
      <c r="AI6" s="1">
        <f>O6/H6</f>
        <v>0.22537186357489861</v>
      </c>
      <c r="AJ6" s="1">
        <f t="shared" si="6"/>
        <v>1.9048092315242078E-2</v>
      </c>
      <c r="AK6" s="1">
        <f t="shared" si="7"/>
        <v>0</v>
      </c>
      <c r="AL6" s="1">
        <f>AJ6*Q6</f>
        <v>2.0853812418137778</v>
      </c>
      <c r="AM6" s="1">
        <f t="shared" si="8"/>
        <v>1.9048092315242078E-2</v>
      </c>
      <c r="AN6" s="1">
        <f t="shared" si="9"/>
        <v>0</v>
      </c>
      <c r="AO6" s="1">
        <f>AM6*Q6</f>
        <v>2.0853812418137778</v>
      </c>
      <c r="AQ6" s="9">
        <f>J6</f>
        <v>1.74</v>
      </c>
      <c r="AR6" s="9">
        <v>0.243968185</v>
      </c>
      <c r="AS6" s="9">
        <v>0.24942761299999999</v>
      </c>
      <c r="AT6" s="10">
        <v>0.24635668499999999</v>
      </c>
      <c r="AU6" s="9">
        <v>0.23037490999999999</v>
      </c>
      <c r="AW6" s="10">
        <f t="shared" si="10"/>
        <v>1.74</v>
      </c>
      <c r="AY6" s="10">
        <f>AR6*F6</f>
        <v>0</v>
      </c>
      <c r="AZ6" s="10">
        <f>AS6*H6</f>
        <v>0.49803211487709997</v>
      </c>
      <c r="BA6" s="10">
        <f>AT6*G6</f>
        <v>0</v>
      </c>
      <c r="BB6" s="10">
        <f>L6</f>
        <v>1.280001211048744</v>
      </c>
      <c r="BC6" s="10">
        <f>K6</f>
        <v>0</v>
      </c>
      <c r="BE6" s="1">
        <f t="shared" si="11"/>
        <v>-3.8033325925843853E-2</v>
      </c>
    </row>
    <row r="7" spans="2:57" x14ac:dyDescent="0.2">
      <c r="B7" s="13" t="s">
        <v>51</v>
      </c>
      <c r="C7" s="12" t="s">
        <v>45</v>
      </c>
      <c r="D7" s="12">
        <v>0.21379999999999999</v>
      </c>
      <c r="E7" s="12">
        <v>0</v>
      </c>
      <c r="F7" s="12"/>
      <c r="G7" s="12"/>
      <c r="H7" s="12">
        <v>1.9815</v>
      </c>
      <c r="I7" s="24">
        <f t="shared" si="5"/>
        <v>1.9815</v>
      </c>
      <c r="J7" s="12">
        <v>1.7170000000000001</v>
      </c>
      <c r="K7" s="12">
        <v>0</v>
      </c>
      <c r="L7" s="12">
        <v>1.260512652185777</v>
      </c>
      <c r="M7" s="12">
        <v>273134.21999999997</v>
      </c>
      <c r="N7" s="12">
        <v>144062.46</v>
      </c>
      <c r="O7" s="12">
        <v>0.45</v>
      </c>
      <c r="Q7" s="15">
        <v>109.479795</v>
      </c>
      <c r="R7" s="15">
        <v>-47.70091</v>
      </c>
      <c r="S7" s="15">
        <v>170</v>
      </c>
      <c r="T7" s="15">
        <v>99.632842999999994</v>
      </c>
      <c r="U7" s="15">
        <v>113.227017</v>
      </c>
      <c r="V7" s="15">
        <v>88.855315000000004</v>
      </c>
      <c r="W7" s="15">
        <v>38.218446</v>
      </c>
      <c r="Y7" s="1" t="str">
        <f t="shared" si="0"/>
        <v>CA_Gasoline_Gasification_Non_CCS_Herb</v>
      </c>
      <c r="Z7" s="1" t="str">
        <f t="shared" si="1"/>
        <v>Biomass_Herb</v>
      </c>
      <c r="AA7" s="11">
        <f>SUM(AD7:AI7)+AK7+AL7</f>
        <v>75.176311313231849</v>
      </c>
      <c r="AB7" s="11">
        <f>SUM(AD7:AI7)+AN7+AO7</f>
        <v>75.176311313231849</v>
      </c>
      <c r="AC7" s="5">
        <f t="shared" si="2"/>
        <v>0</v>
      </c>
      <c r="AD7" s="1">
        <f t="shared" si="3"/>
        <v>-4.1236960660105977</v>
      </c>
      <c r="AE7" s="1">
        <f t="shared" si="4"/>
        <v>0</v>
      </c>
      <c r="AF7" s="1" cm="1">
        <f t="array" ref="AF7">_xlfn.IFS(C7="Biomass_Corn", 1/H7*S7, C7="Biomass_Agri", 1/H7*V7, C7="Biomass_Wood", 1/H7*U7, C7="Biomass_Herb", 1/H7*T7)</f>
        <v>50.281525611910162</v>
      </c>
      <c r="AG7" s="1">
        <f>M7/H7/(0.9*8760)</f>
        <v>17.483783597976871</v>
      </c>
      <c r="AH7" s="1">
        <f>N7/H7/(0.9*8760)</f>
        <v>9.2216818355173462</v>
      </c>
      <c r="AI7" s="1">
        <f>O7/H7</f>
        <v>0.22710068130204392</v>
      </c>
      <c r="AJ7" s="1">
        <f t="shared" si="6"/>
        <v>1.9052973679170752E-2</v>
      </c>
      <c r="AK7" s="1">
        <f t="shared" si="7"/>
        <v>0</v>
      </c>
      <c r="AL7" s="1">
        <f>AJ7*Q7</f>
        <v>2.0859156525360096</v>
      </c>
      <c r="AM7" s="1">
        <f t="shared" si="8"/>
        <v>1.9052973679170752E-2</v>
      </c>
      <c r="AN7" s="1">
        <f t="shared" si="9"/>
        <v>0</v>
      </c>
      <c r="AO7" s="1">
        <f>AM7*Q7</f>
        <v>2.0859156525360096</v>
      </c>
      <c r="AQ7" s="9">
        <f>J7</f>
        <v>1.7170000000000001</v>
      </c>
      <c r="AR7" s="9">
        <v>0.243968185</v>
      </c>
      <c r="AS7" s="9">
        <v>0.24942761299999999</v>
      </c>
      <c r="AT7" s="10">
        <v>0.24635668499999999</v>
      </c>
      <c r="AU7" s="9">
        <v>0.23037490999999999</v>
      </c>
      <c r="AW7" s="10">
        <f t="shared" si="10"/>
        <v>1.7170000000000001</v>
      </c>
      <c r="AY7" s="10">
        <f>AR7*F7</f>
        <v>0</v>
      </c>
      <c r="AZ7" s="10">
        <f>AS7*H7</f>
        <v>0.49424081515949997</v>
      </c>
      <c r="BA7" s="10">
        <f>AT7*G7</f>
        <v>0</v>
      </c>
      <c r="BB7" s="10">
        <f>L7</f>
        <v>1.260512652185777</v>
      </c>
      <c r="BC7" s="10">
        <f>K7</f>
        <v>0</v>
      </c>
      <c r="BE7" s="1">
        <f t="shared" si="11"/>
        <v>-3.7753467345276848E-2</v>
      </c>
    </row>
    <row r="8" spans="2:57" x14ac:dyDescent="0.2">
      <c r="B8" s="13" t="s">
        <v>51</v>
      </c>
      <c r="C8" s="12" t="s">
        <v>45</v>
      </c>
      <c r="D8" s="12">
        <v>0.2132</v>
      </c>
      <c r="E8" s="12">
        <v>0</v>
      </c>
      <c r="F8" s="12"/>
      <c r="G8" s="12"/>
      <c r="H8" s="12">
        <v>1.9761</v>
      </c>
      <c r="I8" s="24">
        <f t="shared" si="5"/>
        <v>1.9761</v>
      </c>
      <c r="J8" s="12">
        <v>1.714</v>
      </c>
      <c r="K8" s="12">
        <v>0</v>
      </c>
      <c r="L8" s="12">
        <v>1.2587667383061449</v>
      </c>
      <c r="M8" s="12">
        <v>273134.21999999997</v>
      </c>
      <c r="N8" s="12">
        <v>144062.46</v>
      </c>
      <c r="O8" s="12">
        <v>0.45</v>
      </c>
      <c r="Q8" s="15">
        <v>109.479795</v>
      </c>
      <c r="R8" s="15">
        <v>-21.506692000000001</v>
      </c>
      <c r="S8" s="15">
        <v>170</v>
      </c>
      <c r="T8" s="15">
        <v>137.93464800000001</v>
      </c>
      <c r="U8" s="15">
        <v>157.881351</v>
      </c>
      <c r="V8" s="15">
        <v>111.364845</v>
      </c>
      <c r="W8" s="15">
        <v>20.230252</v>
      </c>
      <c r="Y8" s="1" t="str">
        <f t="shared" si="0"/>
        <v>CA_Gasoline_Gasification_Non_CCS_Herb</v>
      </c>
      <c r="Z8" s="1" t="str">
        <f t="shared" si="1"/>
        <v>Biomass_Herb</v>
      </c>
      <c r="AA8" s="11">
        <f>SUM(AD8:AI8)+AK8+AL8</f>
        <v>96.711460783194582</v>
      </c>
      <c r="AB8" s="11">
        <f>SUM(AD8:AI8)+AN8+AO8</f>
        <v>96.711460783194582</v>
      </c>
      <c r="AC8" s="5">
        <f t="shared" si="2"/>
        <v>0</v>
      </c>
      <c r="AD8" s="1">
        <f t="shared" si="3"/>
        <v>-2.1826272589443856</v>
      </c>
      <c r="AE8" s="1">
        <f t="shared" si="4"/>
        <v>0</v>
      </c>
      <c r="AF8" s="1" cm="1">
        <f t="array" ref="AF8">_xlfn.IFS(C8="Biomass_Corn", 1/H8*S8, C8="Biomass_Agri", 1/H8*V8, C8="Biomass_Wood", 1/H8*U8, C8="Biomass_Herb", 1/H8*T8)</f>
        <v>69.801451343555485</v>
      </c>
      <c r="AG8" s="1">
        <f>M8/H8/(0.9*8760)</f>
        <v>17.531560750666046</v>
      </c>
      <c r="AH8" s="1">
        <f>N8/H8/(0.9*8760)</f>
        <v>9.2468815126145572</v>
      </c>
      <c r="AI8" s="1">
        <f>O8/H8</f>
        <v>0.22772126916654017</v>
      </c>
      <c r="AJ8" s="1">
        <f t="shared" si="6"/>
        <v>1.9058066067225862E-2</v>
      </c>
      <c r="AK8" s="1">
        <f t="shared" si="7"/>
        <v>0</v>
      </c>
      <c r="AL8" s="1">
        <f>AJ8*Q8</f>
        <v>2.0864731661363436</v>
      </c>
      <c r="AM8" s="1">
        <f t="shared" si="8"/>
        <v>1.9058066067225862E-2</v>
      </c>
      <c r="AN8" s="1">
        <f t="shared" si="9"/>
        <v>0</v>
      </c>
      <c r="AO8" s="1">
        <f>AM8*Q8</f>
        <v>2.0864731661363436</v>
      </c>
      <c r="AQ8" s="9">
        <f>J8</f>
        <v>1.714</v>
      </c>
      <c r="AR8" s="9">
        <v>0.243968185</v>
      </c>
      <c r="AS8" s="9">
        <v>0.24942761299999999</v>
      </c>
      <c r="AT8" s="10">
        <v>0.24635668499999999</v>
      </c>
      <c r="AU8" s="9">
        <v>0.23037490999999999</v>
      </c>
      <c r="AW8" s="10">
        <f t="shared" si="10"/>
        <v>1.714</v>
      </c>
      <c r="AY8" s="10">
        <f>AR8*F8</f>
        <v>0</v>
      </c>
      <c r="AZ8" s="10">
        <f>AS8*H8</f>
        <v>0.4928939060493</v>
      </c>
      <c r="BA8" s="10">
        <f>AT8*G8</f>
        <v>0</v>
      </c>
      <c r="BB8" s="10">
        <f>L8</f>
        <v>1.2587667383061449</v>
      </c>
      <c r="BC8" s="10">
        <f>K8</f>
        <v>0</v>
      </c>
      <c r="BE8" s="1">
        <f t="shared" si="11"/>
        <v>-3.7660644355445028E-2</v>
      </c>
    </row>
    <row r="9" spans="2:57" ht="17" customHeight="1" x14ac:dyDescent="0.2">
      <c r="B9" s="13" t="s">
        <v>51</v>
      </c>
      <c r="C9" s="12" t="s">
        <v>46</v>
      </c>
      <c r="D9" s="12">
        <v>0.22409999999999999</v>
      </c>
      <c r="E9" s="12">
        <v>0</v>
      </c>
      <c r="F9" s="12"/>
      <c r="G9" s="12"/>
      <c r="H9" s="12">
        <v>2.0762</v>
      </c>
      <c r="I9" s="24">
        <f t="shared" si="5"/>
        <v>2.0762</v>
      </c>
      <c r="J9" s="12">
        <v>1.802</v>
      </c>
      <c r="K9" s="12">
        <v>0</v>
      </c>
      <c r="L9" s="12">
        <v>1.32369155369136</v>
      </c>
      <c r="M9" s="12">
        <v>273134.21999999997</v>
      </c>
      <c r="N9" s="12">
        <v>144062.46</v>
      </c>
      <c r="O9" s="12">
        <v>0.45</v>
      </c>
      <c r="Q9" s="15">
        <v>109.479795</v>
      </c>
      <c r="R9" s="15">
        <v>-31.70346</v>
      </c>
      <c r="S9" s="15">
        <v>170</v>
      </c>
      <c r="T9" s="15">
        <v>110.461518</v>
      </c>
      <c r="U9" s="15">
        <v>127.408748</v>
      </c>
      <c r="V9" s="15">
        <v>98.832477999999995</v>
      </c>
      <c r="W9" s="15">
        <v>25.324636999999999</v>
      </c>
      <c r="Y9" s="1" t="str">
        <f t="shared" si="0"/>
        <v>CA_Gasoline_Gasification_Non_CCS_Herb</v>
      </c>
      <c r="Z9" s="1" t="str">
        <f t="shared" si="1"/>
        <v>Biomass_Wood</v>
      </c>
      <c r="AA9" s="11">
        <f>SUM(AD9:AI9)+AK9+AL9</f>
        <v>86.422622516813774</v>
      </c>
      <c r="AB9" s="11">
        <f>SUM(AD9:AI9)+AN9+AO9</f>
        <v>86.422622516813774</v>
      </c>
      <c r="AC9" s="5">
        <f t="shared" si="2"/>
        <v>0</v>
      </c>
      <c r="AD9" s="1">
        <f t="shared" si="3"/>
        <v>-2.7334799882959251</v>
      </c>
      <c r="AE9" s="1">
        <f t="shared" si="4"/>
        <v>0</v>
      </c>
      <c r="AF9" s="1" cm="1">
        <f t="array" ref="AF9">_xlfn.IFS(C9="Biomass_Corn", 1/H9*S9, C9="Biomass_Agri", 1/H9*V9, C9="Biomass_Wood", 1/H9*U9, C9="Biomass_Herb", 1/H9*T9)</f>
        <v>61.366317310471054</v>
      </c>
      <c r="AG9" s="1">
        <f>M9/H9/(0.9*8760)</f>
        <v>16.686310181770139</v>
      </c>
      <c r="AH9" s="1">
        <f>N9/H9/(0.9*8760)</f>
        <v>8.8010608597811508</v>
      </c>
      <c r="AI9" s="1">
        <f>O9/H9</f>
        <v>0.2167421250361237</v>
      </c>
      <c r="AJ9" s="1">
        <f t="shared" si="6"/>
        <v>1.9050748387419297E-2</v>
      </c>
      <c r="AK9" s="1">
        <f t="shared" si="7"/>
        <v>0</v>
      </c>
      <c r="AL9" s="1">
        <f>AJ9*Q9</f>
        <v>2.0856720280512451</v>
      </c>
      <c r="AM9" s="1">
        <f t="shared" si="8"/>
        <v>1.9050748387419297E-2</v>
      </c>
      <c r="AN9" s="1">
        <f t="shared" si="9"/>
        <v>0</v>
      </c>
      <c r="AO9" s="1">
        <f>AM9*Q9</f>
        <v>2.0856720280512451</v>
      </c>
      <c r="AQ9" s="9">
        <f>J9</f>
        <v>1.802</v>
      </c>
      <c r="AR9" s="9">
        <v>0.243968185</v>
      </c>
      <c r="AS9" s="9">
        <v>0.24942761299999999</v>
      </c>
      <c r="AT9" s="10">
        <v>0.24635668499999999</v>
      </c>
      <c r="AU9" s="9">
        <v>0.23037490999999999</v>
      </c>
      <c r="AW9" s="10">
        <f t="shared" si="10"/>
        <v>1.802</v>
      </c>
      <c r="AY9" s="10">
        <f>AR9*F9</f>
        <v>0</v>
      </c>
      <c r="AZ9" s="10">
        <f>AS9*H9</f>
        <v>0.51786161011059995</v>
      </c>
      <c r="BA9" s="10">
        <f>AT9*G9</f>
        <v>0</v>
      </c>
      <c r="BB9" s="10">
        <f>L9</f>
        <v>1.32369155369136</v>
      </c>
      <c r="BC9" s="10">
        <f>K9</f>
        <v>0</v>
      </c>
      <c r="BE9" s="1">
        <f t="shared" si="11"/>
        <v>-3.9553163801959945E-2</v>
      </c>
    </row>
    <row r="10" spans="2:57" x14ac:dyDescent="0.2">
      <c r="B10" s="13" t="s">
        <v>51</v>
      </c>
      <c r="C10" s="12" t="s">
        <v>46</v>
      </c>
      <c r="D10" s="12">
        <v>0.2233</v>
      </c>
      <c r="E10" s="12">
        <v>0</v>
      </c>
      <c r="F10" s="12"/>
      <c r="G10" s="12"/>
      <c r="H10" s="12">
        <v>2.0697000000000001</v>
      </c>
      <c r="I10" s="24">
        <f t="shared" si="5"/>
        <v>2.0697000000000001</v>
      </c>
      <c r="J10" s="12">
        <v>1.806</v>
      </c>
      <c r="K10" s="12">
        <v>0</v>
      </c>
      <c r="L10" s="12">
        <v>1.329196457035803</v>
      </c>
      <c r="M10" s="12">
        <v>273134.21999999997</v>
      </c>
      <c r="N10" s="12">
        <v>144062.46</v>
      </c>
      <c r="O10" s="12">
        <v>0.45</v>
      </c>
      <c r="Q10" s="15">
        <v>109.479795</v>
      </c>
      <c r="R10" s="15">
        <v>-54.115442999999999</v>
      </c>
      <c r="S10" s="15">
        <v>170</v>
      </c>
      <c r="T10" s="15">
        <v>100.77374399999999</v>
      </c>
      <c r="U10" s="15">
        <v>108.668072</v>
      </c>
      <c r="V10" s="15">
        <v>89.424565000000001</v>
      </c>
      <c r="W10" s="15">
        <v>39.359471999999997</v>
      </c>
      <c r="Y10" s="1" t="str">
        <f t="shared" si="0"/>
        <v>CA_Gasoline_Gasification_Non_CCS_Herb</v>
      </c>
      <c r="Z10" s="1" t="str">
        <f t="shared" si="1"/>
        <v>Biomass_Wood</v>
      </c>
      <c r="AA10" s="11">
        <f>SUM(AD10:AI10)+AK10+AL10</f>
        <v>76.12867231364568</v>
      </c>
      <c r="AB10" s="11">
        <f>SUM(AD10:AI10)+AN10+AO10</f>
        <v>76.12867231364568</v>
      </c>
      <c r="AC10" s="5">
        <f t="shared" si="2"/>
        <v>0</v>
      </c>
      <c r="AD10" s="1">
        <f t="shared" si="3"/>
        <v>-4.2464947082185818</v>
      </c>
      <c r="AE10" s="1">
        <f t="shared" si="4"/>
        <v>0</v>
      </c>
      <c r="AF10" s="1" cm="1">
        <f t="array" ref="AF10">_xlfn.IFS(C10="Biomass_Corn", 1/H10*S10, C10="Biomass_Agri", 1/H10*V10, C10="Biomass_Wood", 1/H10*U10, C10="Biomass_Herb", 1/H10*T10)</f>
        <v>52.50426245349567</v>
      </c>
      <c r="AG10" s="1">
        <f>M10/H10/(0.9*8760)</f>
        <v>16.738714402759417</v>
      </c>
      <c r="AH10" s="1">
        <f>N10/H10/(0.9*8760)</f>
        <v>8.8287010470491492</v>
      </c>
      <c r="AI10" s="1">
        <f>O10/H10</f>
        <v>0.21742281490071025</v>
      </c>
      <c r="AJ10" s="1">
        <f t="shared" si="6"/>
        <v>1.9054349742427916E-2</v>
      </c>
      <c r="AK10" s="1">
        <f t="shared" si="7"/>
        <v>0</v>
      </c>
      <c r="AL10" s="1">
        <f>AJ10*Q10</f>
        <v>2.0860663036593108</v>
      </c>
      <c r="AM10" s="1">
        <f t="shared" si="8"/>
        <v>1.9054349742427916E-2</v>
      </c>
      <c r="AN10" s="1">
        <f t="shared" si="9"/>
        <v>0</v>
      </c>
      <c r="AO10" s="1">
        <f>AM10*Q10</f>
        <v>2.0860663036593108</v>
      </c>
      <c r="AQ10" s="9">
        <f>J10</f>
        <v>1.806</v>
      </c>
      <c r="AR10" s="9">
        <v>0.243968185</v>
      </c>
      <c r="AS10" s="9">
        <v>0.24942761299999999</v>
      </c>
      <c r="AT10" s="10">
        <v>0.24635668499999999</v>
      </c>
      <c r="AU10" s="9">
        <v>0.23037490999999999</v>
      </c>
      <c r="AW10" s="10">
        <f t="shared" si="10"/>
        <v>1.806</v>
      </c>
      <c r="AY10" s="10">
        <f>AR10*F10</f>
        <v>0</v>
      </c>
      <c r="AZ10" s="10">
        <f>AS10*H10</f>
        <v>0.51624033062609997</v>
      </c>
      <c r="BA10" s="10">
        <f>AT10*G10</f>
        <v>0</v>
      </c>
      <c r="BB10" s="10">
        <f>L10</f>
        <v>1.329196457035803</v>
      </c>
      <c r="BC10" s="10">
        <f>K10</f>
        <v>0</v>
      </c>
      <c r="BE10" s="1">
        <f t="shared" si="11"/>
        <v>-3.9436787661903061E-2</v>
      </c>
    </row>
    <row r="11" spans="2:57" x14ac:dyDescent="0.2">
      <c r="B11" s="13" t="s">
        <v>51</v>
      </c>
      <c r="C11" s="12" t="s">
        <v>46</v>
      </c>
      <c r="D11" s="12">
        <v>0.22389999999999999</v>
      </c>
      <c r="E11" s="12">
        <v>0</v>
      </c>
      <c r="F11" s="12"/>
      <c r="G11" s="12"/>
      <c r="H11" s="12">
        <v>2.0750999999999999</v>
      </c>
      <c r="I11" s="24">
        <f t="shared" si="5"/>
        <v>2.0750999999999999</v>
      </c>
      <c r="J11" s="12">
        <v>1.802</v>
      </c>
      <c r="K11" s="12">
        <v>0</v>
      </c>
      <c r="L11" s="12">
        <v>1.3239423709154341</v>
      </c>
      <c r="M11" s="12">
        <v>273134.21999999997</v>
      </c>
      <c r="N11" s="12">
        <v>144062.46</v>
      </c>
      <c r="O11" s="12">
        <v>0.45</v>
      </c>
      <c r="Q11" s="15">
        <v>109.479795</v>
      </c>
      <c r="R11" s="15">
        <v>-41.717134999999999</v>
      </c>
      <c r="S11" s="15">
        <v>170</v>
      </c>
      <c r="T11" s="15">
        <v>104.167382</v>
      </c>
      <c r="U11" s="15">
        <v>115.52638899999999</v>
      </c>
      <c r="V11" s="15">
        <v>92.044978</v>
      </c>
      <c r="W11" s="15">
        <v>30.708172999999999</v>
      </c>
      <c r="Y11" s="1" t="str">
        <f t="shared" si="0"/>
        <v>CA_Gasoline_Gasification_Non_CCS_Herb</v>
      </c>
      <c r="Z11" s="1" t="str">
        <f t="shared" si="1"/>
        <v>Biomass_Wood</v>
      </c>
      <c r="AA11" s="11">
        <f>SUM(AD11:AI11)+AK11+AL11</f>
        <v>80.162595774830351</v>
      </c>
      <c r="AB11" s="11">
        <f>SUM(AD11:AI11)+AN11+AO11</f>
        <v>80.162595774830351</v>
      </c>
      <c r="AC11" s="5">
        <f t="shared" si="2"/>
        <v>0</v>
      </c>
      <c r="AD11" s="1">
        <f t="shared" si="3"/>
        <v>-3.3133631799431353</v>
      </c>
      <c r="AE11" s="1">
        <f t="shared" si="4"/>
        <v>0</v>
      </c>
      <c r="AF11" s="1" cm="1">
        <f t="array" ref="AF11">_xlfn.IFS(C11="Biomass_Corn", 1/H11*S11, C11="Biomass_Agri", 1/H11*V11, C11="Biomass_Wood", 1/H11*U11, C11="Biomass_Herb", 1/H11*T11)</f>
        <v>55.672685171798946</v>
      </c>
      <c r="AG11" s="1">
        <f>M11/H11/(0.9*8760)</f>
        <v>16.695155510284405</v>
      </c>
      <c r="AH11" s="1">
        <f>N11/H11/(0.9*8760)</f>
        <v>8.8057262575671658</v>
      </c>
      <c r="AI11" s="1">
        <f>O11/H11</f>
        <v>0.21685701893884632</v>
      </c>
      <c r="AJ11" s="1">
        <f t="shared" si="6"/>
        <v>1.9049496723885111E-2</v>
      </c>
      <c r="AK11" s="1">
        <f t="shared" si="7"/>
        <v>0</v>
      </c>
      <c r="AL11" s="1">
        <f>AJ11*Q11</f>
        <v>2.0855349961841134</v>
      </c>
      <c r="AM11" s="1">
        <f t="shared" si="8"/>
        <v>1.9049496723885111E-2</v>
      </c>
      <c r="AN11" s="1">
        <f t="shared" si="9"/>
        <v>0</v>
      </c>
      <c r="AO11" s="1">
        <f>AM11*Q11</f>
        <v>2.0855349961841134</v>
      </c>
      <c r="AQ11" s="9">
        <f>J11</f>
        <v>1.802</v>
      </c>
      <c r="AR11" s="9">
        <v>0.243968185</v>
      </c>
      <c r="AS11" s="9">
        <v>0.24942761299999999</v>
      </c>
      <c r="AT11" s="10">
        <v>0.24635668499999999</v>
      </c>
      <c r="AU11" s="9">
        <v>0.23037490999999999</v>
      </c>
      <c r="AW11" s="10">
        <f t="shared" si="10"/>
        <v>1.802</v>
      </c>
      <c r="AY11" s="10">
        <f>AR11*F11</f>
        <v>0</v>
      </c>
      <c r="AZ11" s="10">
        <f>AS11*H11</f>
        <v>0.51758723973629994</v>
      </c>
      <c r="BA11" s="10">
        <f>AT11*G11</f>
        <v>0</v>
      </c>
      <c r="BB11" s="10">
        <f>L11</f>
        <v>1.3239423709154341</v>
      </c>
      <c r="BC11" s="10">
        <f>K11</f>
        <v>0</v>
      </c>
      <c r="BE11" s="1">
        <f t="shared" si="11"/>
        <v>-3.9529610651733993E-2</v>
      </c>
    </row>
    <row r="12" spans="2:57" x14ac:dyDescent="0.2">
      <c r="B12" s="13" t="s">
        <v>51</v>
      </c>
      <c r="C12" s="12" t="s">
        <v>46</v>
      </c>
      <c r="D12" s="12">
        <v>0.22489999999999999</v>
      </c>
      <c r="E12" s="12">
        <v>0</v>
      </c>
      <c r="F12" s="12"/>
      <c r="G12" s="12"/>
      <c r="H12" s="12">
        <v>2.0838000000000001</v>
      </c>
      <c r="I12" s="24">
        <f t="shared" si="5"/>
        <v>2.0838000000000001</v>
      </c>
      <c r="J12" s="12">
        <v>1.821</v>
      </c>
      <c r="K12" s="12">
        <v>0</v>
      </c>
      <c r="L12" s="12">
        <v>1.340935833122844</v>
      </c>
      <c r="M12" s="12">
        <v>273134.21999999997</v>
      </c>
      <c r="N12" s="12">
        <v>144062.46</v>
      </c>
      <c r="O12" s="12">
        <v>0.45</v>
      </c>
      <c r="Q12" s="15">
        <v>109.479795</v>
      </c>
      <c r="R12" s="15">
        <v>-47.70091</v>
      </c>
      <c r="S12" s="15">
        <v>170</v>
      </c>
      <c r="T12" s="15">
        <v>99.632842999999994</v>
      </c>
      <c r="U12" s="15">
        <v>113.227017</v>
      </c>
      <c r="V12" s="15">
        <v>88.855315000000004</v>
      </c>
      <c r="W12" s="15">
        <v>38.218446</v>
      </c>
      <c r="Y12" s="1" t="str">
        <f t="shared" si="0"/>
        <v>CA_Gasoline_Gasification_Non_CCS_Herb</v>
      </c>
      <c r="Z12" s="1" t="str">
        <f t="shared" si="1"/>
        <v>Biomass_Wood</v>
      </c>
      <c r="AA12" s="11">
        <f>SUM(AD12:AI12)+AK12+AL12</f>
        <v>77.907745438968988</v>
      </c>
      <c r="AB12" s="11">
        <f>SUM(AD12:AI12)+AN12+AO12</f>
        <v>77.907745438968988</v>
      </c>
      <c r="AC12" s="5">
        <f t="shared" si="2"/>
        <v>0</v>
      </c>
      <c r="AD12" s="1">
        <f t="shared" si="3"/>
        <v>-4.1248337198387555</v>
      </c>
      <c r="AE12" s="1">
        <f t="shared" si="4"/>
        <v>0</v>
      </c>
      <c r="AF12" s="1" cm="1">
        <f t="array" ref="AF12">_xlfn.IFS(C12="Biomass_Corn", 1/H12*S12, C12="Biomass_Agri", 1/H12*V12, C12="Biomass_Wood", 1/H12*U12, C12="Biomass_Herb", 1/H12*T12)</f>
        <v>54.336796717535272</v>
      </c>
      <c r="AG12" s="1">
        <f>M12/H12/(0.9*8760)</f>
        <v>16.625452154425169</v>
      </c>
      <c r="AH12" s="1">
        <f>N12/H12/(0.9*8760)</f>
        <v>8.7689617799585484</v>
      </c>
      <c r="AI12" s="1">
        <f>O12/H12</f>
        <v>0.21595162683558883</v>
      </c>
      <c r="AJ12" s="1">
        <f t="shared" si="6"/>
        <v>1.904841783868131E-2</v>
      </c>
      <c r="AK12" s="1">
        <f t="shared" si="7"/>
        <v>0</v>
      </c>
      <c r="AL12" s="1">
        <f>AJ12*Q12</f>
        <v>2.0854168800531729</v>
      </c>
      <c r="AM12" s="1">
        <f t="shared" si="8"/>
        <v>1.904841783868131E-2</v>
      </c>
      <c r="AN12" s="1">
        <f t="shared" si="9"/>
        <v>0</v>
      </c>
      <c r="AO12" s="1">
        <f>AM12*Q12</f>
        <v>2.0854168800531729</v>
      </c>
      <c r="AQ12" s="9">
        <f>J12</f>
        <v>1.821</v>
      </c>
      <c r="AR12" s="9">
        <v>0.243968185</v>
      </c>
      <c r="AS12" s="9">
        <v>0.24942761299999999</v>
      </c>
      <c r="AT12" s="10">
        <v>0.24635668499999999</v>
      </c>
      <c r="AU12" s="9">
        <v>0.23037490999999999</v>
      </c>
      <c r="AW12" s="10">
        <f t="shared" si="10"/>
        <v>1.821</v>
      </c>
      <c r="AY12" s="10">
        <f>AR12*F12</f>
        <v>0</v>
      </c>
      <c r="AZ12" s="10">
        <f>AS12*H12</f>
        <v>0.51975725996940003</v>
      </c>
      <c r="BA12" s="10">
        <f>AT12*G12</f>
        <v>0</v>
      </c>
      <c r="BB12" s="10">
        <f>L12</f>
        <v>1.340935833122844</v>
      </c>
      <c r="BC12" s="10">
        <f>K12</f>
        <v>0</v>
      </c>
      <c r="BE12" s="1">
        <f t="shared" si="11"/>
        <v>-3.9693093092244114E-2</v>
      </c>
    </row>
    <row r="13" spans="2:57" x14ac:dyDescent="0.2">
      <c r="B13" s="13" t="s">
        <v>51</v>
      </c>
      <c r="C13" s="12" t="s">
        <v>46</v>
      </c>
      <c r="D13" s="12">
        <v>0.22209999999999999</v>
      </c>
      <c r="E13" s="12">
        <v>0</v>
      </c>
      <c r="F13" s="12"/>
      <c r="G13" s="12"/>
      <c r="H13" s="12">
        <v>2.0577000000000001</v>
      </c>
      <c r="I13" s="24">
        <f t="shared" si="5"/>
        <v>2.0577000000000001</v>
      </c>
      <c r="J13" s="12">
        <v>1.821</v>
      </c>
      <c r="K13" s="12">
        <v>0</v>
      </c>
      <c r="L13" s="12">
        <v>1.3469554465006139</v>
      </c>
      <c r="M13" s="12">
        <v>273134.21999999997</v>
      </c>
      <c r="N13" s="12">
        <v>144062.46</v>
      </c>
      <c r="O13" s="12">
        <v>0.45</v>
      </c>
      <c r="Q13" s="15">
        <v>109.479795</v>
      </c>
      <c r="R13" s="15">
        <v>-21.506692000000001</v>
      </c>
      <c r="S13" s="15">
        <v>170</v>
      </c>
      <c r="T13" s="15">
        <v>137.93464800000001</v>
      </c>
      <c r="U13" s="15">
        <v>157.881351</v>
      </c>
      <c r="V13" s="15">
        <v>111.364845</v>
      </c>
      <c r="W13" s="15">
        <v>20.230252</v>
      </c>
      <c r="Y13" s="1" t="str">
        <f t="shared" si="0"/>
        <v>CA_Gasoline_Gasification_Non_CCS_Herb</v>
      </c>
      <c r="Z13" s="1" t="str">
        <f t="shared" si="1"/>
        <v>Biomass_Wood</v>
      </c>
      <c r="AA13" s="11">
        <f>SUM(AD13:AI13)+AK13+AL13</f>
        <v>102.56450863085199</v>
      </c>
      <c r="AB13" s="11">
        <f>SUM(AD13:AI13)+AN13+AO13</f>
        <v>102.56450863085199</v>
      </c>
      <c r="AC13" s="5">
        <f t="shared" si="2"/>
        <v>0</v>
      </c>
      <c r="AD13" s="1">
        <f t="shared" si="3"/>
        <v>-2.1835733922340474</v>
      </c>
      <c r="AE13" s="1">
        <f t="shared" si="4"/>
        <v>0</v>
      </c>
      <c r="AF13" s="1" cm="1">
        <f t="array" ref="AF13">_xlfn.IFS(C13="Biomass_Corn", 1/H13*S13, C13="Biomass_Agri", 1/H13*V13, C13="Biomass_Wood", 1/H13*U13, C13="Biomass_Herb", 1/H13*T13)</f>
        <v>76.727098702434745</v>
      </c>
      <c r="AG13" s="1">
        <f>M13/H13/(0.9*8760)</f>
        <v>16.836330465758454</v>
      </c>
      <c r="AH13" s="1">
        <f>N13/H13/(0.9*8760)</f>
        <v>8.8801878588120839</v>
      </c>
      <c r="AI13" s="1">
        <f>O13/H13</f>
        <v>0.21869077124945327</v>
      </c>
      <c r="AJ13" s="1">
        <f t="shared" si="6"/>
        <v>1.9051681863592348E-2</v>
      </c>
      <c r="AK13" s="1">
        <f t="shared" si="7"/>
        <v>0</v>
      </c>
      <c r="AL13" s="1">
        <f>AJ13*Q13</f>
        <v>2.085774224831308</v>
      </c>
      <c r="AM13" s="1">
        <f t="shared" si="8"/>
        <v>1.9051681863592348E-2</v>
      </c>
      <c r="AN13" s="1">
        <f t="shared" si="9"/>
        <v>0</v>
      </c>
      <c r="AO13" s="1">
        <f>AM13*Q13</f>
        <v>2.085774224831308</v>
      </c>
      <c r="AQ13" s="9">
        <f>J13</f>
        <v>1.821</v>
      </c>
      <c r="AR13" s="9">
        <v>0.243968185</v>
      </c>
      <c r="AS13" s="9">
        <v>0.24942761299999999</v>
      </c>
      <c r="AT13" s="10">
        <v>0.24635668499999999</v>
      </c>
      <c r="AU13" s="9">
        <v>0.23037490999999999</v>
      </c>
      <c r="AW13" s="10">
        <f t="shared" si="10"/>
        <v>1.821</v>
      </c>
      <c r="AY13" s="10">
        <f>AR13*F13</f>
        <v>0</v>
      </c>
      <c r="AZ13" s="10">
        <f>AS13*H13</f>
        <v>0.51324719927009999</v>
      </c>
      <c r="BA13" s="10">
        <f>AT13*G13</f>
        <v>0</v>
      </c>
      <c r="BB13" s="10">
        <f>L13</f>
        <v>1.3469554465006139</v>
      </c>
      <c r="BC13" s="10">
        <f>K13</f>
        <v>0</v>
      </c>
      <c r="BE13" s="1">
        <f t="shared" si="11"/>
        <v>-3.9202645770713973E-2</v>
      </c>
    </row>
    <row r="14" spans="2:57" x14ac:dyDescent="0.2">
      <c r="B14" s="13" t="s">
        <v>51</v>
      </c>
      <c r="C14" s="12" t="s">
        <v>47</v>
      </c>
      <c r="D14" s="12">
        <v>0.20169999999999999</v>
      </c>
      <c r="E14" s="12">
        <v>0</v>
      </c>
      <c r="F14" s="12"/>
      <c r="G14" s="12"/>
      <c r="H14" s="12">
        <v>1.8694</v>
      </c>
      <c r="I14" s="24">
        <f t="shared" si="5"/>
        <v>1.8694</v>
      </c>
      <c r="J14" s="12">
        <v>1.7</v>
      </c>
      <c r="K14" s="12">
        <v>0</v>
      </c>
      <c r="L14" s="12">
        <v>1.2693468262653731</v>
      </c>
      <c r="M14" s="12">
        <v>273134.21999999997</v>
      </c>
      <c r="N14" s="12">
        <v>144062.46</v>
      </c>
      <c r="O14" s="12">
        <v>0.45</v>
      </c>
      <c r="Q14" s="15">
        <v>109.479795</v>
      </c>
      <c r="R14" s="15">
        <v>-31.70346</v>
      </c>
      <c r="S14" s="15">
        <v>170</v>
      </c>
      <c r="T14" s="15">
        <v>110.461518</v>
      </c>
      <c r="U14" s="15">
        <v>127.408748</v>
      </c>
      <c r="V14" s="15">
        <v>98.832477999999995</v>
      </c>
      <c r="W14" s="15">
        <v>25.324636999999999</v>
      </c>
      <c r="Y14" s="1" t="str">
        <f t="shared" si="0"/>
        <v>CA_Gasoline_Gasification_Non_CCS_Herb</v>
      </c>
      <c r="Z14" s="1" t="str">
        <f t="shared" si="1"/>
        <v>Biomass_Agri</v>
      </c>
      <c r="AA14" s="11">
        <f>SUM(AD14:AI14)+AK14+AL14</f>
        <v>80.770190377545021</v>
      </c>
      <c r="AB14" s="11">
        <f>SUM(AD14:AI14)+AN14+AO14</f>
        <v>80.770190377545021</v>
      </c>
      <c r="AC14" s="5">
        <f t="shared" si="2"/>
        <v>0</v>
      </c>
      <c r="AD14" s="1">
        <f t="shared" si="3"/>
        <v>-2.7324164346314324</v>
      </c>
      <c r="AE14" s="1">
        <f t="shared" si="4"/>
        <v>0</v>
      </c>
      <c r="AF14" s="1" cm="1">
        <f t="array" ref="AF14">_xlfn.IFS(C14="Biomass_Corn", 1/H14*S14, C14="Biomass_Agri", 1/H14*V14, C14="Biomass_Wood", 1/H14*U14, C14="Biomass_Herb", 1/H14*T14)</f>
        <v>52.868555686316462</v>
      </c>
      <c r="AG14" s="1">
        <f>M14/H14/(0.9*8760)</f>
        <v>18.5322120463203</v>
      </c>
      <c r="AH14" s="1">
        <f>N14/H14/(0.9*8760)</f>
        <v>9.7746670359888874</v>
      </c>
      <c r="AI14" s="1">
        <f>O14/H14</f>
        <v>0.24071894725580401</v>
      </c>
      <c r="AJ14" s="1">
        <f t="shared" si="6"/>
        <v>1.9057882747177204E-2</v>
      </c>
      <c r="AK14" s="1">
        <f t="shared" si="7"/>
        <v>0</v>
      </c>
      <c r="AL14" s="1">
        <f>AJ14*Q14</f>
        <v>2.086453096294997</v>
      </c>
      <c r="AM14" s="1">
        <f t="shared" si="8"/>
        <v>1.9057882747177204E-2</v>
      </c>
      <c r="AN14" s="1">
        <f t="shared" si="9"/>
        <v>0</v>
      </c>
      <c r="AO14" s="1">
        <f>AM14*Q14</f>
        <v>2.086453096294997</v>
      </c>
      <c r="AQ14" s="9">
        <f>J14</f>
        <v>1.7</v>
      </c>
      <c r="AR14" s="9">
        <v>0.243968185</v>
      </c>
      <c r="AS14" s="9">
        <v>0.24942761299999999</v>
      </c>
      <c r="AT14" s="10">
        <v>0.24635668499999999</v>
      </c>
      <c r="AU14" s="9">
        <v>0.23037490999999999</v>
      </c>
      <c r="AW14" s="10">
        <f t="shared" si="10"/>
        <v>1.7</v>
      </c>
      <c r="AY14" s="10">
        <f>AR14*F14</f>
        <v>0</v>
      </c>
      <c r="AZ14" s="10">
        <f>AS14*H14</f>
        <v>0.46627997974219998</v>
      </c>
      <c r="BA14" s="10">
        <f>AT14*G14</f>
        <v>0</v>
      </c>
      <c r="BB14" s="10">
        <f>L14</f>
        <v>1.2693468262653731</v>
      </c>
      <c r="BC14" s="10">
        <f>K14</f>
        <v>0</v>
      </c>
      <c r="BE14" s="1">
        <f t="shared" si="11"/>
        <v>-3.5626806007573064E-2</v>
      </c>
    </row>
    <row r="15" spans="2:57" x14ac:dyDescent="0.2">
      <c r="B15" s="13" t="s">
        <v>51</v>
      </c>
      <c r="C15" s="12" t="s">
        <v>47</v>
      </c>
      <c r="D15" s="12">
        <v>0.20300000000000001</v>
      </c>
      <c r="E15" s="12">
        <v>0</v>
      </c>
      <c r="F15" s="12"/>
      <c r="G15" s="12"/>
      <c r="H15" s="12">
        <v>1.8813</v>
      </c>
      <c r="I15" s="24">
        <f t="shared" si="5"/>
        <v>1.8813</v>
      </c>
      <c r="J15" s="12">
        <v>1.708</v>
      </c>
      <c r="K15" s="12">
        <v>0</v>
      </c>
      <c r="L15" s="12">
        <v>1.274587836800561</v>
      </c>
      <c r="M15" s="12">
        <v>273134.21999999997</v>
      </c>
      <c r="N15" s="12">
        <v>144062.46</v>
      </c>
      <c r="O15" s="12">
        <v>0.45</v>
      </c>
      <c r="Q15" s="15">
        <v>109.479795</v>
      </c>
      <c r="R15" s="15">
        <v>-54.115442999999999</v>
      </c>
      <c r="S15" s="15">
        <v>170</v>
      </c>
      <c r="T15" s="15">
        <v>100.77374399999999</v>
      </c>
      <c r="U15" s="15">
        <v>108.668072</v>
      </c>
      <c r="V15" s="15">
        <v>89.424565000000001</v>
      </c>
      <c r="W15" s="15">
        <v>39.359471999999997</v>
      </c>
      <c r="Y15" s="1" t="str">
        <f t="shared" si="0"/>
        <v>CA_Gasoline_Gasification_Non_CCS_Herb</v>
      </c>
      <c r="Z15" s="1" t="str">
        <f t="shared" si="1"/>
        <v>Biomass_Agri</v>
      </c>
      <c r="AA15" s="11">
        <f>SUM(AD15:AI15)+AK15+AL15</f>
        <v>73.738792556496563</v>
      </c>
      <c r="AB15" s="11">
        <f>SUM(AD15:AI15)+AN15+AO15</f>
        <v>73.738792556496563</v>
      </c>
      <c r="AC15" s="5">
        <f t="shared" si="2"/>
        <v>0</v>
      </c>
      <c r="AD15" s="1">
        <f t="shared" si="3"/>
        <v>-4.2470487513953117</v>
      </c>
      <c r="AE15" s="1">
        <f t="shared" si="4"/>
        <v>0</v>
      </c>
      <c r="AF15" s="1" cm="1">
        <f t="array" ref="AF15">_xlfn.IFS(C15="Biomass_Corn", 1/H15*S15, C15="Biomass_Agri", 1/H15*V15, C15="Biomass_Wood", 1/H15*U15, C15="Biomass_Herb", 1/H15*T15)</f>
        <v>47.53338914580344</v>
      </c>
      <c r="AG15" s="1">
        <f>M15/H15/(0.9*8760)</f>
        <v>18.41498814617082</v>
      </c>
      <c r="AH15" s="1">
        <f>N15/H15/(0.9*8760)</f>
        <v>9.7128382273309022</v>
      </c>
      <c r="AI15" s="1">
        <f>O15/H15</f>
        <v>0.23919630043055334</v>
      </c>
      <c r="AJ15" s="1">
        <f t="shared" si="6"/>
        <v>1.9048533002424442E-2</v>
      </c>
      <c r="AK15" s="1">
        <f t="shared" si="7"/>
        <v>0</v>
      </c>
      <c r="AL15" s="1">
        <f>AJ15*Q15</f>
        <v>2.0854294881561621</v>
      </c>
      <c r="AM15" s="1">
        <f t="shared" si="8"/>
        <v>1.9048533002424442E-2</v>
      </c>
      <c r="AN15" s="1">
        <f t="shared" si="9"/>
        <v>0</v>
      </c>
      <c r="AO15" s="1">
        <f>AM15*Q15</f>
        <v>2.0854294881561621</v>
      </c>
      <c r="AQ15" s="9">
        <f>J15</f>
        <v>1.708</v>
      </c>
      <c r="AR15" s="9">
        <v>0.243968185</v>
      </c>
      <c r="AS15" s="9">
        <v>0.24942761299999999</v>
      </c>
      <c r="AT15" s="10">
        <v>0.24635668499999999</v>
      </c>
      <c r="AU15" s="9">
        <v>0.23037490999999999</v>
      </c>
      <c r="AW15" s="10">
        <f t="shared" si="10"/>
        <v>1.708</v>
      </c>
      <c r="AY15" s="10">
        <f>AR15*F15</f>
        <v>0</v>
      </c>
      <c r="AZ15" s="10">
        <f>AS15*H15</f>
        <v>0.46924816833689997</v>
      </c>
      <c r="BA15" s="10">
        <f>AT15*G15</f>
        <v>0</v>
      </c>
      <c r="BB15" s="10">
        <f>L15</f>
        <v>1.274587836800561</v>
      </c>
      <c r="BC15" s="10">
        <f>K15</f>
        <v>0</v>
      </c>
      <c r="BE15" s="1">
        <f t="shared" si="11"/>
        <v>-3.5836005137461102E-2</v>
      </c>
    </row>
    <row r="16" spans="2:57" x14ac:dyDescent="0.2">
      <c r="B16" s="13" t="s">
        <v>51</v>
      </c>
      <c r="C16" s="12" t="s">
        <v>47</v>
      </c>
      <c r="D16" s="12">
        <v>0.20330000000000001</v>
      </c>
      <c r="E16" s="12">
        <v>0</v>
      </c>
      <c r="F16" s="12"/>
      <c r="G16" s="12"/>
      <c r="H16" s="12">
        <v>1.8835</v>
      </c>
      <c r="I16" s="24">
        <f t="shared" si="5"/>
        <v>1.8835</v>
      </c>
      <c r="J16" s="12">
        <v>1.71</v>
      </c>
      <c r="K16" s="12">
        <v>0</v>
      </c>
      <c r="L16" s="12">
        <v>1.276086202352414</v>
      </c>
      <c r="M16" s="12">
        <v>273134.21999999997</v>
      </c>
      <c r="N16" s="12">
        <v>144062.46</v>
      </c>
      <c r="O16" s="12">
        <v>0.45</v>
      </c>
      <c r="Q16" s="15">
        <v>109.479795</v>
      </c>
      <c r="R16" s="15">
        <v>-41.717134999999999</v>
      </c>
      <c r="S16" s="15">
        <v>170</v>
      </c>
      <c r="T16" s="15">
        <v>104.167382</v>
      </c>
      <c r="U16" s="15">
        <v>115.52638899999999</v>
      </c>
      <c r="V16" s="15">
        <v>92.044978</v>
      </c>
      <c r="W16" s="15">
        <v>30.708172999999999</v>
      </c>
      <c r="Y16" s="1" t="str">
        <f t="shared" si="0"/>
        <v>CA_Gasoline_Gasification_Non_CCS_Herb</v>
      </c>
      <c r="Z16" s="1" t="str">
        <f t="shared" si="1"/>
        <v>Biomass_Agri</v>
      </c>
      <c r="AA16" s="11">
        <f>SUM(AD16:AI16)+AK16+AL16</f>
        <v>75.974176729362256</v>
      </c>
      <c r="AB16" s="11">
        <f>SUM(AD16:AI16)+AN16+AO16</f>
        <v>75.974176729362256</v>
      </c>
      <c r="AC16" s="5">
        <f t="shared" si="2"/>
        <v>0</v>
      </c>
      <c r="AD16" s="1">
        <f t="shared" si="3"/>
        <v>-3.3145588377488719</v>
      </c>
      <c r="AE16" s="1">
        <f t="shared" si="4"/>
        <v>0</v>
      </c>
      <c r="AF16" s="1" cm="1">
        <f t="array" ref="AF16">_xlfn.IFS(C16="Biomass_Corn", 1/H16*S16, C16="Biomass_Agri", 1/H16*V16, C16="Biomass_Wood", 1/H16*U16, C16="Biomass_Herb", 1/H16*T16)</f>
        <v>48.869114945580044</v>
      </c>
      <c r="AG16" s="1">
        <f>M16/H16/(0.9*8760)</f>
        <v>18.393478736071767</v>
      </c>
      <c r="AH16" s="1">
        <f>N16/H16/(0.9*8760)</f>
        <v>9.7014932609915725</v>
      </c>
      <c r="AI16" s="1">
        <f>O16/H16</f>
        <v>0.23891691000796392</v>
      </c>
      <c r="AJ16" s="1">
        <f t="shared" si="6"/>
        <v>1.9051293569373039E-2</v>
      </c>
      <c r="AK16" s="1">
        <f t="shared" si="7"/>
        <v>0</v>
      </c>
      <c r="AL16" s="1">
        <f>AJ16*Q16</f>
        <v>2.0857317144597785</v>
      </c>
      <c r="AM16" s="1">
        <f t="shared" si="8"/>
        <v>1.9051293569373039E-2</v>
      </c>
      <c r="AN16" s="1">
        <f t="shared" si="9"/>
        <v>0</v>
      </c>
      <c r="AO16" s="1">
        <f>AM16*Q16</f>
        <v>2.0857317144597785</v>
      </c>
      <c r="AQ16" s="9">
        <f>J16</f>
        <v>1.71</v>
      </c>
      <c r="AR16" s="9">
        <v>0.243968185</v>
      </c>
      <c r="AS16" s="9">
        <v>0.24942761299999999</v>
      </c>
      <c r="AT16" s="10">
        <v>0.24635668499999999</v>
      </c>
      <c r="AU16" s="9">
        <v>0.23037490999999999</v>
      </c>
      <c r="AW16" s="10">
        <f t="shared" si="10"/>
        <v>1.71</v>
      </c>
      <c r="AY16" s="10">
        <f>AR16*F16</f>
        <v>0</v>
      </c>
      <c r="AZ16" s="10">
        <f>AS16*H16</f>
        <v>0.46979690908549998</v>
      </c>
      <c r="BA16" s="10">
        <f>AT16*G16</f>
        <v>0</v>
      </c>
      <c r="BB16" s="10">
        <f>L16</f>
        <v>1.276086202352414</v>
      </c>
      <c r="BC16" s="10">
        <f>K16</f>
        <v>0</v>
      </c>
      <c r="BE16" s="1">
        <f t="shared" si="11"/>
        <v>-3.5883111437914117E-2</v>
      </c>
    </row>
    <row r="17" spans="2:57" x14ac:dyDescent="0.2">
      <c r="B17" s="13" t="s">
        <v>51</v>
      </c>
      <c r="C17" s="12" t="s">
        <v>47</v>
      </c>
      <c r="D17" s="12">
        <v>0.2024</v>
      </c>
      <c r="E17" s="12">
        <v>0</v>
      </c>
      <c r="F17" s="12"/>
      <c r="G17" s="12"/>
      <c r="H17" s="12">
        <v>1.8758999999999999</v>
      </c>
      <c r="I17" s="24">
        <f t="shared" si="5"/>
        <v>1.8758999999999999</v>
      </c>
      <c r="J17" s="12">
        <v>1.6890000000000001</v>
      </c>
      <c r="K17" s="12">
        <v>0</v>
      </c>
      <c r="L17" s="12">
        <v>1.25684192292093</v>
      </c>
      <c r="M17" s="12">
        <v>273134.21999999997</v>
      </c>
      <c r="N17" s="12">
        <v>144062.46</v>
      </c>
      <c r="O17" s="12">
        <v>0.45</v>
      </c>
      <c r="Q17" s="15">
        <v>109.479795</v>
      </c>
      <c r="R17" s="15">
        <v>-47.70091</v>
      </c>
      <c r="S17" s="15">
        <v>170</v>
      </c>
      <c r="T17" s="15">
        <v>99.632842999999994</v>
      </c>
      <c r="U17" s="15">
        <v>113.227017</v>
      </c>
      <c r="V17" s="15">
        <v>88.855315000000004</v>
      </c>
      <c r="W17" s="15">
        <v>38.218446</v>
      </c>
      <c r="Y17" s="1" t="str">
        <f t="shared" si="0"/>
        <v>CA_Gasoline_Gasification_Non_CCS_Herb</v>
      </c>
      <c r="Z17" s="1" t="str">
        <f t="shared" si="1"/>
        <v>Biomass_Agri</v>
      </c>
      <c r="AA17" s="11">
        <f>SUM(AD17:AI17)+AK17+AL17</f>
        <v>73.777886635875561</v>
      </c>
      <c r="AB17" s="11">
        <f>SUM(AD17:AI17)+AN17+AO17</f>
        <v>73.777886635875561</v>
      </c>
      <c r="AC17" s="5">
        <f t="shared" si="2"/>
        <v>0</v>
      </c>
      <c r="AD17" s="1">
        <f t="shared" si="3"/>
        <v>-4.1235745351031508</v>
      </c>
      <c r="AE17" s="1">
        <f t="shared" si="4"/>
        <v>0</v>
      </c>
      <c r="AF17" s="1" cm="1">
        <f t="array" ref="AF17">_xlfn.IFS(C17="Biomass_Corn", 1/H17*S17, C17="Biomass_Agri", 1/H17*V17, C17="Biomass_Wood", 1/H17*U17, C17="Biomass_Herb", 1/H17*T17)</f>
        <v>47.36676528599606</v>
      </c>
      <c r="AG17" s="1">
        <f>M17/H17/(0.9*8760)</f>
        <v>18.467997867365622</v>
      </c>
      <c r="AH17" s="1">
        <f>N17/H17/(0.9*8760)</f>
        <v>9.7407977808399302</v>
      </c>
      <c r="AI17" s="1">
        <f>O17/H17</f>
        <v>0.23988485526947068</v>
      </c>
      <c r="AJ17" s="1">
        <f t="shared" si="6"/>
        <v>1.9053884614121195E-2</v>
      </c>
      <c r="AK17" s="1">
        <f t="shared" si="7"/>
        <v>0</v>
      </c>
      <c r="AL17" s="1">
        <f>AJ17*Q17</f>
        <v>2.0860153815076425</v>
      </c>
      <c r="AM17" s="1">
        <f t="shared" si="8"/>
        <v>1.9053884614121195E-2</v>
      </c>
      <c r="AN17" s="1">
        <f t="shared" si="9"/>
        <v>0</v>
      </c>
      <c r="AO17" s="1">
        <f>AM17*Q17</f>
        <v>2.0860153815076425</v>
      </c>
      <c r="AQ17" s="9">
        <f>J17</f>
        <v>1.6890000000000001</v>
      </c>
      <c r="AR17" s="9">
        <v>0.243968185</v>
      </c>
      <c r="AS17" s="9">
        <v>0.24942761299999999</v>
      </c>
      <c r="AT17" s="10">
        <v>0.24635668499999999</v>
      </c>
      <c r="AU17" s="9">
        <v>0.23037490999999999</v>
      </c>
      <c r="AW17" s="10">
        <f t="shared" si="10"/>
        <v>1.6890000000000001</v>
      </c>
      <c r="AY17" s="10">
        <f>AR17*F17</f>
        <v>0</v>
      </c>
      <c r="AZ17" s="10">
        <f>AS17*H17</f>
        <v>0.46790125922669995</v>
      </c>
      <c r="BA17" s="10">
        <f>AT17*G17</f>
        <v>0</v>
      </c>
      <c r="BB17" s="10">
        <f>L17</f>
        <v>1.25684192292093</v>
      </c>
      <c r="BC17" s="10">
        <f>K17</f>
        <v>0</v>
      </c>
      <c r="BE17" s="1">
        <f t="shared" si="11"/>
        <v>-3.5743182147629948E-2</v>
      </c>
    </row>
    <row r="18" spans="2:57" x14ac:dyDescent="0.2">
      <c r="B18" s="13" t="s">
        <v>51</v>
      </c>
      <c r="C18" s="12" t="s">
        <v>47</v>
      </c>
      <c r="D18" s="12">
        <v>0.19489999999999999</v>
      </c>
      <c r="E18" s="12">
        <v>0</v>
      </c>
      <c r="F18" s="12"/>
      <c r="G18" s="12"/>
      <c r="H18" s="12">
        <v>1.8062</v>
      </c>
      <c r="I18" s="24">
        <f t="shared" si="5"/>
        <v>1.8062</v>
      </c>
      <c r="J18" s="12">
        <v>1.633</v>
      </c>
      <c r="K18" s="12">
        <v>0</v>
      </c>
      <c r="L18" s="12">
        <v>1.2168942252616499</v>
      </c>
      <c r="M18" s="12">
        <v>273134.21999999997</v>
      </c>
      <c r="N18" s="12">
        <v>144062.46</v>
      </c>
      <c r="O18" s="12">
        <v>0.45</v>
      </c>
      <c r="Q18" s="15">
        <v>109.479795</v>
      </c>
      <c r="R18" s="15">
        <v>-21.506692000000001</v>
      </c>
      <c r="S18" s="15">
        <v>170</v>
      </c>
      <c r="T18" s="15">
        <v>137.93464800000001</v>
      </c>
      <c r="U18" s="15">
        <v>157.881351</v>
      </c>
      <c r="V18" s="15">
        <v>111.364845</v>
      </c>
      <c r="W18" s="15">
        <v>20.230252</v>
      </c>
      <c r="Y18" s="1" t="str">
        <f t="shared" si="0"/>
        <v>CA_Gasoline_Gasification_Non_CCS_Herb</v>
      </c>
      <c r="Z18" s="1" t="str">
        <f t="shared" si="1"/>
        <v>Biomass_Agri</v>
      </c>
      <c r="AA18" s="11">
        <f>SUM(AD18:AI18)+AK18+AL18</f>
        <v>91.106239605171083</v>
      </c>
      <c r="AB18" s="11">
        <f>SUM(AD18:AI18)+AN18+AO18</f>
        <v>91.106239605171083</v>
      </c>
      <c r="AC18" s="5">
        <f t="shared" si="2"/>
        <v>0</v>
      </c>
      <c r="AD18" s="1">
        <f t="shared" si="3"/>
        <v>-2.1829676197541801</v>
      </c>
      <c r="AE18" s="1">
        <f t="shared" si="4"/>
        <v>0</v>
      </c>
      <c r="AF18" s="1" cm="1">
        <f t="array" ref="AF18">_xlfn.IFS(C18="Biomass_Corn", 1/H18*S18, C18="Biomass_Agri", 1/H18*V18, C18="Biomass_Wood", 1/H18*U18, C18="Biomass_Herb", 1/H18*T18)</f>
        <v>61.656984276381351</v>
      </c>
      <c r="AG18" s="1">
        <f>M18/H18/(0.9*8760)</f>
        <v>19.18066504229386</v>
      </c>
      <c r="AH18" s="1">
        <f>N18/H18/(0.9*8760)</f>
        <v>10.11668838283558</v>
      </c>
      <c r="AI18" s="1">
        <f>O18/H18</f>
        <v>0.24914184475694828</v>
      </c>
      <c r="AJ18" s="1">
        <f t="shared" si="6"/>
        <v>1.9051256705929536E-2</v>
      </c>
      <c r="AK18" s="1">
        <f t="shared" si="7"/>
        <v>0</v>
      </c>
      <c r="AL18" s="1">
        <f>AJ18*Q18</f>
        <v>2.0857276786575407</v>
      </c>
      <c r="AM18" s="1">
        <f t="shared" si="8"/>
        <v>1.9051256705929536E-2</v>
      </c>
      <c r="AN18" s="1">
        <f t="shared" si="9"/>
        <v>0</v>
      </c>
      <c r="AO18" s="1">
        <f>AM18*Q18</f>
        <v>2.0857276786575407</v>
      </c>
      <c r="AQ18" s="9">
        <f>J18</f>
        <v>1.633</v>
      </c>
      <c r="AR18" s="9">
        <v>0.243968185</v>
      </c>
      <c r="AS18" s="9">
        <v>0.24942761299999999</v>
      </c>
      <c r="AT18" s="10">
        <v>0.24635668499999999</v>
      </c>
      <c r="AU18" s="9">
        <v>0.23037490999999999</v>
      </c>
      <c r="AW18" s="10">
        <f t="shared" si="10"/>
        <v>1.633</v>
      </c>
      <c r="AY18" s="10">
        <f>AR18*F18</f>
        <v>0</v>
      </c>
      <c r="AZ18" s="10">
        <f>AS18*H18</f>
        <v>0.45051615460060002</v>
      </c>
      <c r="BA18" s="10">
        <f>AT18*G18</f>
        <v>0</v>
      </c>
      <c r="BB18" s="10">
        <f>L18</f>
        <v>1.2168942252616499</v>
      </c>
      <c r="BC18" s="10">
        <f>K18</f>
        <v>0</v>
      </c>
      <c r="BE18" s="1">
        <f t="shared" si="11"/>
        <v>-3.4410379862249929E-2</v>
      </c>
    </row>
    <row r="19" spans="2:57" x14ac:dyDescent="0.2">
      <c r="B19" s="13" t="s">
        <v>51</v>
      </c>
      <c r="C19" s="12" t="s">
        <v>45</v>
      </c>
      <c r="D19" s="12">
        <v>0</v>
      </c>
      <c r="E19" s="12">
        <v>0</v>
      </c>
      <c r="F19" s="12"/>
      <c r="G19" s="12"/>
      <c r="H19" s="12">
        <v>1.9847999999999999</v>
      </c>
      <c r="I19" s="24">
        <f t="shared" si="5"/>
        <v>1.9847999999999999</v>
      </c>
      <c r="J19" s="12">
        <v>1.7230000000000001</v>
      </c>
      <c r="K19" s="12">
        <v>0.25912642818944348</v>
      </c>
      <c r="L19" s="12">
        <v>1.0066337720325349</v>
      </c>
      <c r="M19" s="12">
        <v>293026.95</v>
      </c>
      <c r="N19" s="12">
        <v>154950.42000000001</v>
      </c>
      <c r="O19" s="12">
        <v>0.48</v>
      </c>
      <c r="Q19" s="15">
        <v>109.479795</v>
      </c>
      <c r="R19" s="15">
        <v>-31.70346</v>
      </c>
      <c r="S19" s="15">
        <v>170</v>
      </c>
      <c r="T19" s="15">
        <v>110.461518</v>
      </c>
      <c r="U19" s="15">
        <v>127.408748</v>
      </c>
      <c r="V19" s="15">
        <v>98.832477999999995</v>
      </c>
      <c r="W19" s="15">
        <v>25.324636999999999</v>
      </c>
      <c r="Y19" s="1" t="str">
        <f t="shared" si="0"/>
        <v>CA_Gasoline_Gasification_Non_CCS_Herb</v>
      </c>
      <c r="Z19" s="1" t="str">
        <f t="shared" si="1"/>
        <v>Biomass_Herb</v>
      </c>
      <c r="AA19" s="11">
        <f>SUM(AD19:AI19)+AK19+AL19</f>
        <v>76.455899130428037</v>
      </c>
      <c r="AB19" s="11">
        <f>SUM(AD19:AI19)+AN19+AO19</f>
        <v>76.455899130428037</v>
      </c>
      <c r="AC19" s="5">
        <f t="shared" si="2"/>
        <v>0</v>
      </c>
      <c r="AD19" s="1">
        <f t="shared" si="3"/>
        <v>0</v>
      </c>
      <c r="AE19" s="1">
        <f t="shared" si="4"/>
        <v>0</v>
      </c>
      <c r="AF19" s="1" cm="1">
        <f t="array" ref="AF19">_xlfn.IFS(C19="Biomass_Corn", 1/H19*S19, C19="Biomass_Agri", 1/H19*V19, C19="Biomass_Wood", 1/H19*U19, C19="Biomass_Herb", 1/H19*T19)</f>
        <v>55.653727327690454</v>
      </c>
      <c r="AG19" s="1">
        <f>M19/H19/(0.9*8760)</f>
        <v>18.725964591166843</v>
      </c>
      <c r="AH19" s="1">
        <f>N19/H19/(0.9*8760)</f>
        <v>9.9021474929402586</v>
      </c>
      <c r="AI19" s="1">
        <f>O19/H19</f>
        <v>0.2418379685610641</v>
      </c>
      <c r="AJ19" s="1">
        <f t="shared" si="6"/>
        <v>1.9056895659198995E-2</v>
      </c>
      <c r="AK19" s="1">
        <f t="shared" si="7"/>
        <v>-10.154123280036075</v>
      </c>
      <c r="AL19" s="1">
        <f>AJ19*Q19</f>
        <v>2.0863450301054955</v>
      </c>
      <c r="AM19" s="1">
        <f t="shared" si="8"/>
        <v>-0.11149853974459153</v>
      </c>
      <c r="AN19" s="1">
        <f t="shared" si="9"/>
        <v>4.1390590241066576</v>
      </c>
      <c r="AO19" s="1">
        <f>AM19*Q19</f>
        <v>-12.206837274037234</v>
      </c>
      <c r="AQ19" s="9">
        <f>J19</f>
        <v>1.7230000000000001</v>
      </c>
      <c r="AR19" s="9">
        <v>0.243968185</v>
      </c>
      <c r="AS19" s="9">
        <v>0.24942761299999999</v>
      </c>
      <c r="AT19" s="10">
        <v>0.24635668499999999</v>
      </c>
      <c r="AU19" s="9">
        <v>0.23037490999999999</v>
      </c>
      <c r="AW19" s="10">
        <f t="shared" si="10"/>
        <v>1.7230000000000001</v>
      </c>
      <c r="AY19" s="10">
        <f>AR19*F19</f>
        <v>0</v>
      </c>
      <c r="AZ19" s="10">
        <f>AS19*H19</f>
        <v>0.49506392628239998</v>
      </c>
      <c r="BA19" s="10">
        <f>AT19*G19</f>
        <v>0</v>
      </c>
      <c r="BB19" s="10">
        <f>L19</f>
        <v>1.0066337720325349</v>
      </c>
      <c r="BC19" s="10">
        <f>K19</f>
        <v>0.25912642818944348</v>
      </c>
      <c r="BE19" s="1">
        <f t="shared" si="11"/>
        <v>-3.7824126504378164E-2</v>
      </c>
    </row>
    <row r="20" spans="2:57" x14ac:dyDescent="0.2">
      <c r="B20" s="13" t="s">
        <v>51</v>
      </c>
      <c r="C20" s="12" t="s">
        <v>45</v>
      </c>
      <c r="D20" s="12">
        <v>0</v>
      </c>
      <c r="E20" s="12">
        <v>0</v>
      </c>
      <c r="F20" s="12"/>
      <c r="G20" s="12"/>
      <c r="H20" s="12">
        <v>1.9923999999999999</v>
      </c>
      <c r="I20" s="24">
        <f t="shared" si="5"/>
        <v>1.9923999999999999</v>
      </c>
      <c r="J20" s="12">
        <v>1.736</v>
      </c>
      <c r="K20" s="12">
        <v>0.26142835707442769</v>
      </c>
      <c r="L20" s="12">
        <v>1.015576122577915</v>
      </c>
      <c r="M20" s="12">
        <v>293026.95</v>
      </c>
      <c r="N20" s="12">
        <v>154950.42000000001</v>
      </c>
      <c r="O20" s="12">
        <v>0.48</v>
      </c>
      <c r="Q20" s="15">
        <v>109.479795</v>
      </c>
      <c r="R20" s="15">
        <v>-54.115442999999999</v>
      </c>
      <c r="S20" s="15">
        <v>170</v>
      </c>
      <c r="T20" s="15">
        <v>100.77374399999999</v>
      </c>
      <c r="U20" s="15">
        <v>108.668072</v>
      </c>
      <c r="V20" s="15">
        <v>89.424565000000001</v>
      </c>
      <c r="W20" s="15">
        <v>39.359471999999997</v>
      </c>
      <c r="Y20" s="1" t="str">
        <f t="shared" si="0"/>
        <v>CA_Gasoline_Gasification_Non_CCS_Herb</v>
      </c>
      <c r="Z20" s="1" t="str">
        <f t="shared" si="1"/>
        <v>Biomass_Herb</v>
      </c>
      <c r="AA20" s="11">
        <f>SUM(AD20:AI20)+AK20+AL20</f>
        <v>74.160462922270156</v>
      </c>
      <c r="AB20" s="11">
        <f>SUM(AD20:AI20)+AN20+AO20</f>
        <v>74.16046292227017</v>
      </c>
      <c r="AC20" s="5">
        <f t="shared" si="2"/>
        <v>0</v>
      </c>
      <c r="AD20" s="1">
        <f t="shared" si="3"/>
        <v>0</v>
      </c>
      <c r="AE20" s="1">
        <f t="shared" si="4"/>
        <v>0</v>
      </c>
      <c r="AF20" s="1" cm="1">
        <f t="array" ref="AF20">_xlfn.IFS(C20="Biomass_Corn", 1/H20*S20, C20="Biomass_Agri", 1/H20*V20, C20="Biomass_Wood", 1/H20*U20, C20="Biomass_Herb", 1/H20*T20)</f>
        <v>50.579072475406548</v>
      </c>
      <c r="AG20" s="1">
        <f>M20/H20/(0.9*8760)</f>
        <v>18.654534491341071</v>
      </c>
      <c r="AH20" s="1">
        <f>N20/H20/(0.9*8760)</f>
        <v>9.8643758000340416</v>
      </c>
      <c r="AI20" s="1">
        <f>O20/H20</f>
        <v>0.24091547881951414</v>
      </c>
      <c r="AJ20" s="1">
        <f t="shared" si="6"/>
        <v>1.9054434748816785E-2</v>
      </c>
      <c r="AK20" s="1">
        <f t="shared" si="7"/>
        <v>-7.264510933472347</v>
      </c>
      <c r="AL20" s="1">
        <f>AJ20*Q20</f>
        <v>2.086075610141338</v>
      </c>
      <c r="AM20" s="1">
        <f t="shared" si="8"/>
        <v>-0.11215835237948456</v>
      </c>
      <c r="AN20" s="1">
        <f t="shared" si="9"/>
        <v>7.1006381027127281</v>
      </c>
      <c r="AO20" s="1">
        <f>AM20*Q20</f>
        <v>-12.27907342604373</v>
      </c>
      <c r="AQ20" s="9">
        <f>J20</f>
        <v>1.736</v>
      </c>
      <c r="AR20" s="9">
        <v>0.243968185</v>
      </c>
      <c r="AS20" s="9">
        <v>0.24942761299999999</v>
      </c>
      <c r="AT20" s="10">
        <v>0.24635668499999999</v>
      </c>
      <c r="AU20" s="9">
        <v>0.23037490999999999</v>
      </c>
      <c r="AW20" s="10">
        <f t="shared" si="10"/>
        <v>1.736</v>
      </c>
      <c r="AY20" s="10">
        <f>AR20*F20</f>
        <v>0</v>
      </c>
      <c r="AZ20" s="10">
        <f>AS20*H20</f>
        <v>0.49695957614119995</v>
      </c>
      <c r="BA20" s="10">
        <f>AT20*G20</f>
        <v>0</v>
      </c>
      <c r="BB20" s="10">
        <f>L20</f>
        <v>1.015576122577915</v>
      </c>
      <c r="BC20" s="10">
        <f>K20</f>
        <v>0.26142835707442769</v>
      </c>
      <c r="BE20" s="1">
        <f t="shared" si="11"/>
        <v>-3.7964055793542562E-2</v>
      </c>
    </row>
    <row r="21" spans="2:57" x14ac:dyDescent="0.2">
      <c r="B21" s="13" t="s">
        <v>51</v>
      </c>
      <c r="C21" s="12" t="s">
        <v>45</v>
      </c>
      <c r="D21" s="12">
        <v>0</v>
      </c>
      <c r="E21" s="12">
        <v>0</v>
      </c>
      <c r="F21" s="12"/>
      <c r="G21" s="12"/>
      <c r="H21" s="12">
        <v>1.9966999999999999</v>
      </c>
      <c r="I21" s="24">
        <f t="shared" si="5"/>
        <v>1.9966999999999999</v>
      </c>
      <c r="J21" s="12">
        <v>1.74</v>
      </c>
      <c r="K21" s="12">
        <v>0.26204184786584722</v>
      </c>
      <c r="L21" s="12">
        <v>1.0179593628895609</v>
      </c>
      <c r="M21" s="12">
        <v>293026.95</v>
      </c>
      <c r="N21" s="12">
        <v>154950.42000000001</v>
      </c>
      <c r="O21" s="12">
        <v>0.48</v>
      </c>
      <c r="Q21" s="15">
        <v>109.479795</v>
      </c>
      <c r="R21" s="15">
        <v>-41.717134999999999</v>
      </c>
      <c r="S21" s="15">
        <v>170</v>
      </c>
      <c r="T21" s="15">
        <v>104.167382</v>
      </c>
      <c r="U21" s="15">
        <v>115.52638899999999</v>
      </c>
      <c r="V21" s="15">
        <v>92.044978</v>
      </c>
      <c r="W21" s="15">
        <v>30.708172999999999</v>
      </c>
      <c r="Y21" s="1" t="str">
        <f t="shared" si="0"/>
        <v>CA_Gasoline_Gasification_Non_CCS_Herb</v>
      </c>
      <c r="Z21" s="1" t="str">
        <f t="shared" si="1"/>
        <v>Biomass_Herb</v>
      </c>
      <c r="AA21" s="11">
        <f>SUM(AD21:AI21)+AK21+AL21</f>
        <v>74.060042527793811</v>
      </c>
      <c r="AB21" s="11">
        <f>SUM(AD21:AI21)+AN21+AO21</f>
        <v>74.060042527793811</v>
      </c>
      <c r="AC21" s="5">
        <f t="shared" si="2"/>
        <v>0</v>
      </c>
      <c r="AD21" s="1">
        <f t="shared" si="3"/>
        <v>0</v>
      </c>
      <c r="AE21" s="1">
        <f t="shared" si="4"/>
        <v>0</v>
      </c>
      <c r="AF21" s="1" cm="1">
        <f t="array" ref="AF21">_xlfn.IFS(C21="Biomass_Corn", 1/H21*S21, C21="Biomass_Agri", 1/H21*V21, C21="Biomass_Wood", 1/H21*U21, C21="Biomass_Herb", 1/H21*T21)</f>
        <v>52.169771122351882</v>
      </c>
      <c r="AG21" s="1">
        <f>M21/H21/(0.9*8760)</f>
        <v>18.614360955851129</v>
      </c>
      <c r="AH21" s="1">
        <f>N21/H21/(0.9*8760)</f>
        <v>9.8431323403554991</v>
      </c>
      <c r="AI21" s="1">
        <f>O21/H21</f>
        <v>0.24039665447989184</v>
      </c>
      <c r="AJ21" s="1">
        <f t="shared" si="6"/>
        <v>1.9048092168331886E-2</v>
      </c>
      <c r="AK21" s="1">
        <f t="shared" si="7"/>
        <v>-8.892999770974674</v>
      </c>
      <c r="AL21" s="1">
        <f>AJ21*Q21</f>
        <v>2.0853812257300803</v>
      </c>
      <c r="AM21" s="1">
        <f t="shared" si="8"/>
        <v>-0.11218937358308159</v>
      </c>
      <c r="AN21" s="1">
        <f t="shared" si="9"/>
        <v>5.4748510758095916</v>
      </c>
      <c r="AO21" s="1">
        <f>AM21*Q21</f>
        <v>-12.282469621054188</v>
      </c>
      <c r="AQ21" s="9">
        <f>J21</f>
        <v>1.74</v>
      </c>
      <c r="AR21" s="9">
        <v>0.243968185</v>
      </c>
      <c r="AS21" s="9">
        <v>0.24942761299999999</v>
      </c>
      <c r="AT21" s="10">
        <v>0.24635668499999999</v>
      </c>
      <c r="AU21" s="9">
        <v>0.23037490999999999</v>
      </c>
      <c r="AW21" s="10">
        <f t="shared" si="10"/>
        <v>1.74</v>
      </c>
      <c r="AY21" s="10">
        <f>AR21*F21</f>
        <v>0</v>
      </c>
      <c r="AZ21" s="10">
        <f>AS21*H21</f>
        <v>0.49803211487709997</v>
      </c>
      <c r="BA21" s="10">
        <f>AT21*G21</f>
        <v>0</v>
      </c>
      <c r="BB21" s="10">
        <f>L21</f>
        <v>1.0179593628895609</v>
      </c>
      <c r="BC21" s="10">
        <f>K21</f>
        <v>0.26204184786584722</v>
      </c>
      <c r="BE21" s="1">
        <f t="shared" si="11"/>
        <v>-3.8033325632508275E-2</v>
      </c>
    </row>
    <row r="22" spans="2:57" x14ac:dyDescent="0.2">
      <c r="B22" s="13" t="s">
        <v>51</v>
      </c>
      <c r="C22" s="12" t="s">
        <v>45</v>
      </c>
      <c r="D22" s="12">
        <v>0</v>
      </c>
      <c r="E22" s="12">
        <v>0</v>
      </c>
      <c r="F22" s="12"/>
      <c r="G22" s="12"/>
      <c r="H22" s="12">
        <v>1.9815</v>
      </c>
      <c r="I22" s="24">
        <f t="shared" si="5"/>
        <v>1.9815</v>
      </c>
      <c r="J22" s="12">
        <v>1.7170000000000001</v>
      </c>
      <c r="K22" s="12">
        <v>0.2580521500958789</v>
      </c>
      <c r="L22" s="12">
        <v>1.0024605017988011</v>
      </c>
      <c r="M22" s="12">
        <v>293026.95</v>
      </c>
      <c r="N22" s="12">
        <v>154950.42000000001</v>
      </c>
      <c r="O22" s="12">
        <v>0.48</v>
      </c>
      <c r="Q22" s="15">
        <v>109.479795</v>
      </c>
      <c r="R22" s="15">
        <v>-47.70091</v>
      </c>
      <c r="S22" s="15">
        <v>170</v>
      </c>
      <c r="T22" s="15">
        <v>99.632842999999994</v>
      </c>
      <c r="U22" s="15">
        <v>113.227017</v>
      </c>
      <c r="V22" s="15">
        <v>88.855315000000004</v>
      </c>
      <c r="W22" s="15">
        <v>38.218446</v>
      </c>
      <c r="Y22" s="1" t="str">
        <f t="shared" si="0"/>
        <v>CA_Gasoline_Gasification_Non_CCS_Herb</v>
      </c>
      <c r="Z22" s="1" t="str">
        <f t="shared" si="1"/>
        <v>Biomass_Herb</v>
      </c>
      <c r="AA22" s="11">
        <f>SUM(AD22:AI22)+AK22+AL22</f>
        <v>73.239963458688152</v>
      </c>
      <c r="AB22" s="11">
        <f>SUM(AD22:AI22)+AN22+AO22</f>
        <v>73.239963458688152</v>
      </c>
      <c r="AC22" s="5">
        <f t="shared" si="2"/>
        <v>0</v>
      </c>
      <c r="AD22" s="1">
        <f t="shared" si="3"/>
        <v>0</v>
      </c>
      <c r="AE22" s="1">
        <f t="shared" si="4"/>
        <v>0</v>
      </c>
      <c r="AF22" s="1" cm="1">
        <f t="array" ref="AF22">_xlfn.IFS(C22="Biomass_Corn", 1/H22*S22, C22="Biomass_Agri", 1/H22*V22, C22="Biomass_Wood", 1/H22*U22, C22="Biomass_Herb", 1/H22*T22)</f>
        <v>50.281525611910162</v>
      </c>
      <c r="AG22" s="1">
        <f>M22/H22/(0.9*8760)</f>
        <v>18.757150906155914</v>
      </c>
      <c r="AH22" s="1">
        <f>N22/H22/(0.9*8760)</f>
        <v>9.9186385788482578</v>
      </c>
      <c r="AI22" s="1">
        <f>O22/H22</f>
        <v>0.24224072672218017</v>
      </c>
      <c r="AJ22" s="1">
        <f t="shared" si="6"/>
        <v>1.9052973532263286E-2</v>
      </c>
      <c r="AK22" s="1">
        <f t="shared" si="7"/>
        <v>-8.0455080014009788</v>
      </c>
      <c r="AL22" s="1">
        <f>AJ22*Q22</f>
        <v>2.0859156364526106</v>
      </c>
      <c r="AM22" s="1">
        <f t="shared" si="8"/>
        <v>-0.11117773557491753</v>
      </c>
      <c r="AN22" s="1">
        <f t="shared" si="9"/>
        <v>6.2121233343578153</v>
      </c>
      <c r="AO22" s="1">
        <f>AM22*Q22</f>
        <v>-12.171715699306178</v>
      </c>
      <c r="AQ22" s="9">
        <f>J22</f>
        <v>1.7170000000000001</v>
      </c>
      <c r="AR22" s="9">
        <v>0.243968185</v>
      </c>
      <c r="AS22" s="9">
        <v>0.24942761299999999</v>
      </c>
      <c r="AT22" s="10">
        <v>0.24635668499999999</v>
      </c>
      <c r="AU22" s="9">
        <v>0.23037490999999999</v>
      </c>
      <c r="AW22" s="10">
        <f t="shared" si="10"/>
        <v>1.7170000000000001</v>
      </c>
      <c r="AY22" s="10">
        <f>AR22*F22</f>
        <v>0</v>
      </c>
      <c r="AZ22" s="10">
        <f>AS22*H22</f>
        <v>0.49424081515949997</v>
      </c>
      <c r="BA22" s="10">
        <f>AT22*G22</f>
        <v>0</v>
      </c>
      <c r="BB22" s="10">
        <f>L22</f>
        <v>1.0024605017988011</v>
      </c>
      <c r="BC22" s="10">
        <f>K22</f>
        <v>0.2580521500958789</v>
      </c>
      <c r="BE22" s="1">
        <f t="shared" si="11"/>
        <v>-3.7753467054179701E-2</v>
      </c>
    </row>
    <row r="23" spans="2:57" x14ac:dyDescent="0.2">
      <c r="B23" s="13" t="s">
        <v>51</v>
      </c>
      <c r="C23" s="12" t="s">
        <v>45</v>
      </c>
      <c r="D23" s="12">
        <v>0</v>
      </c>
      <c r="E23" s="12">
        <v>0</v>
      </c>
      <c r="F23" s="12"/>
      <c r="G23" s="12"/>
      <c r="H23" s="12">
        <v>1.9761</v>
      </c>
      <c r="I23" s="24">
        <f t="shared" si="5"/>
        <v>1.9761</v>
      </c>
      <c r="J23" s="12">
        <v>1.714</v>
      </c>
      <c r="K23" s="12">
        <v>0.25769472660660447</v>
      </c>
      <c r="L23" s="12">
        <v>1.001072011409244</v>
      </c>
      <c r="M23" s="12">
        <v>293026.95</v>
      </c>
      <c r="N23" s="12">
        <v>154950.42000000001</v>
      </c>
      <c r="O23" s="12">
        <v>0.48</v>
      </c>
      <c r="Q23" s="15">
        <v>109.479795</v>
      </c>
      <c r="R23" s="15">
        <v>-21.506692000000001</v>
      </c>
      <c r="S23" s="15">
        <v>170</v>
      </c>
      <c r="T23" s="15">
        <v>137.93464800000001</v>
      </c>
      <c r="U23" s="15">
        <v>157.881351</v>
      </c>
      <c r="V23" s="15">
        <v>111.364845</v>
      </c>
      <c r="W23" s="15">
        <v>20.230252</v>
      </c>
      <c r="Y23" s="1" t="str">
        <f t="shared" si="0"/>
        <v>CA_Gasoline_Gasification_Non_CCS_Herb</v>
      </c>
      <c r="Z23" s="1" t="str">
        <f t="shared" si="1"/>
        <v>Biomass_Herb</v>
      </c>
      <c r="AA23" s="11">
        <f>SUM(AD23:AI23)+AK23+AL23</f>
        <v>89.412782617294951</v>
      </c>
      <c r="AB23" s="11">
        <f>SUM(AD23:AI23)+AN23+AO23</f>
        <v>89.412782617294951</v>
      </c>
      <c r="AC23" s="5">
        <f t="shared" si="2"/>
        <v>0</v>
      </c>
      <c r="AD23" s="1">
        <f t="shared" si="3"/>
        <v>0</v>
      </c>
      <c r="AE23" s="1">
        <f t="shared" si="4"/>
        <v>0</v>
      </c>
      <c r="AF23" s="1" cm="1">
        <f t="array" ref="AF23">_xlfn.IFS(C23="Biomass_Corn", 1/H23*S23, C23="Biomass_Agri", 1/H23*V23, C23="Biomass_Wood", 1/H23*U23, C23="Biomass_Herb", 1/H23*T23)</f>
        <v>69.801451343555485</v>
      </c>
      <c r="AG23" s="1">
        <f>M23/H23/(0.9*8760)</f>
        <v>18.808407732679495</v>
      </c>
      <c r="AH23" s="1">
        <f>N23/H23/(0.9*8760)</f>
        <v>9.945742798435214</v>
      </c>
      <c r="AI23" s="1">
        <f>O23/H23</f>
        <v>0.24290268711097615</v>
      </c>
      <c r="AJ23" s="1">
        <f t="shared" si="6"/>
        <v>1.9058065920322137E-2</v>
      </c>
      <c r="AK23" s="1">
        <f t="shared" si="7"/>
        <v>-11.472195094539575</v>
      </c>
      <c r="AL23" s="1">
        <f>AJ23*Q23</f>
        <v>2.086473150053354</v>
      </c>
      <c r="AM23" s="1">
        <f t="shared" si="8"/>
        <v>-0.11134764563607913</v>
      </c>
      <c r="AN23" s="1">
        <f t="shared" si="9"/>
        <v>2.8045954734843623</v>
      </c>
      <c r="AO23" s="1">
        <f>AM23*Q23</f>
        <v>-12.190317417970586</v>
      </c>
      <c r="AQ23" s="9">
        <f>J23</f>
        <v>1.714</v>
      </c>
      <c r="AR23" s="9">
        <v>0.243968185</v>
      </c>
      <c r="AS23" s="9">
        <v>0.24942761299999999</v>
      </c>
      <c r="AT23" s="10">
        <v>0.24635668499999999</v>
      </c>
      <c r="AU23" s="9">
        <v>0.23037490999999999</v>
      </c>
      <c r="AW23" s="10">
        <f t="shared" si="10"/>
        <v>1.714</v>
      </c>
      <c r="AY23" s="10">
        <f>AR23*F23</f>
        <v>0</v>
      </c>
      <c r="AZ23" s="10">
        <f>AS23*H23</f>
        <v>0.4928939060493</v>
      </c>
      <c r="BA23" s="10">
        <f>AT23*G23</f>
        <v>0</v>
      </c>
      <c r="BB23" s="10">
        <f>L23</f>
        <v>1.001072011409244</v>
      </c>
      <c r="BC23" s="10">
        <f>K23</f>
        <v>0.25769472660660447</v>
      </c>
      <c r="BE23" s="1">
        <f t="shared" si="11"/>
        <v>-3.7660644065148574E-2</v>
      </c>
    </row>
    <row r="24" spans="2:57" x14ac:dyDescent="0.2">
      <c r="B24" s="13" t="s">
        <v>51</v>
      </c>
      <c r="C24" s="12" t="s">
        <v>46</v>
      </c>
      <c r="D24" s="12">
        <v>0</v>
      </c>
      <c r="E24" s="12">
        <v>0</v>
      </c>
      <c r="F24" s="12"/>
      <c r="G24" s="12"/>
      <c r="H24" s="12">
        <v>2.0762</v>
      </c>
      <c r="I24" s="24">
        <f t="shared" si="5"/>
        <v>2.0762</v>
      </c>
      <c r="J24" s="12">
        <v>1.802</v>
      </c>
      <c r="K24" s="12">
        <v>0.27098613480925338</v>
      </c>
      <c r="L24" s="12">
        <v>1.0527054185770961</v>
      </c>
      <c r="M24" s="12">
        <v>293026.95</v>
      </c>
      <c r="N24" s="12">
        <v>154950.42000000001</v>
      </c>
      <c r="O24" s="12">
        <v>0.48</v>
      </c>
      <c r="Q24" s="15">
        <v>109.479795</v>
      </c>
      <c r="R24" s="15">
        <v>-31.70346</v>
      </c>
      <c r="S24" s="15">
        <v>170</v>
      </c>
      <c r="T24" s="15">
        <v>110.461518</v>
      </c>
      <c r="U24" s="15">
        <v>127.408748</v>
      </c>
      <c r="V24" s="15">
        <v>98.832477999999995</v>
      </c>
      <c r="W24" s="15">
        <v>25.324636999999999</v>
      </c>
      <c r="Y24" s="1" t="str">
        <f t="shared" si="0"/>
        <v>CA_Gasoline_Gasification_Non_CCS_Herb</v>
      </c>
      <c r="Z24" s="1" t="str">
        <f t="shared" si="1"/>
        <v>Biomass_Wood</v>
      </c>
      <c r="AA24" s="11">
        <f>SUM(AD24:AI24)+AK24+AL24</f>
        <v>80.899618868367028</v>
      </c>
      <c r="AB24" s="11">
        <f>SUM(AD24:AI24)+AN24+AO24</f>
        <v>80.899618868367028</v>
      </c>
      <c r="AC24" s="5">
        <f t="shared" si="2"/>
        <v>0</v>
      </c>
      <c r="AD24" s="1">
        <f t="shared" si="3"/>
        <v>0</v>
      </c>
      <c r="AE24" s="1">
        <f t="shared" si="4"/>
        <v>0</v>
      </c>
      <c r="AF24" s="1" cm="1">
        <f t="array" ref="AF24">_xlfn.IFS(C24="Biomass_Corn", 1/H24*S24, C24="Biomass_Agri", 1/H24*V24, C24="Biomass_Wood", 1/H24*U24, C24="Biomass_Herb", 1/H24*T24)</f>
        <v>61.366317310471054</v>
      </c>
      <c r="AG24" s="1">
        <f>M24/H24/(0.9*8760)</f>
        <v>17.901596436060082</v>
      </c>
      <c r="AH24" s="1">
        <f>N24/H24/(0.9*8760)</f>
        <v>9.4662278894074863</v>
      </c>
      <c r="AI24" s="1">
        <f>O24/H24</f>
        <v>0.23119160003853192</v>
      </c>
      <c r="AJ24" s="1">
        <f t="shared" si="6"/>
        <v>1.9050748240511263E-2</v>
      </c>
      <c r="AK24" s="1">
        <f t="shared" si="7"/>
        <v>-10.151386379577907</v>
      </c>
      <c r="AL24" s="1">
        <f>AJ24*Q24</f>
        <v>2.0856720119677838</v>
      </c>
      <c r="AM24" s="1">
        <f t="shared" si="8"/>
        <v>-0.11146949779034004</v>
      </c>
      <c r="AN24" s="1">
        <f t="shared" si="9"/>
        <v>4.1379433992292514</v>
      </c>
      <c r="AO24" s="1">
        <f>AM24*Q24</f>
        <v>-12.203657766839381</v>
      </c>
      <c r="AQ24" s="9">
        <f>J24</f>
        <v>1.802</v>
      </c>
      <c r="AR24" s="9">
        <v>0.243968185</v>
      </c>
      <c r="AS24" s="9">
        <v>0.24942761299999999</v>
      </c>
      <c r="AT24" s="10">
        <v>0.24635668499999999</v>
      </c>
      <c r="AU24" s="9">
        <v>0.23037490999999999</v>
      </c>
      <c r="AW24" s="10">
        <f t="shared" si="10"/>
        <v>1.802</v>
      </c>
      <c r="AY24" s="10">
        <f>AR24*F24</f>
        <v>0</v>
      </c>
      <c r="AZ24" s="10">
        <f>AS24*H24</f>
        <v>0.51786161011059995</v>
      </c>
      <c r="BA24" s="10">
        <f>AT24*G24</f>
        <v>0</v>
      </c>
      <c r="BB24" s="10">
        <f>L24</f>
        <v>1.0527054185770961</v>
      </c>
      <c r="BC24" s="10">
        <f>K24</f>
        <v>0.27098613480925338</v>
      </c>
      <c r="BE24" s="1">
        <f t="shared" si="11"/>
        <v>-3.9553163496949484E-2</v>
      </c>
    </row>
    <row r="25" spans="2:57" x14ac:dyDescent="0.2">
      <c r="B25" s="13" t="s">
        <v>51</v>
      </c>
      <c r="C25" s="12" t="s">
        <v>46</v>
      </c>
      <c r="D25" s="12">
        <v>0</v>
      </c>
      <c r="E25" s="12">
        <v>0</v>
      </c>
      <c r="F25" s="12"/>
      <c r="G25" s="12"/>
      <c r="H25" s="12">
        <v>2.0697000000000001</v>
      </c>
      <c r="I25" s="24">
        <f t="shared" si="5"/>
        <v>2.0697000000000001</v>
      </c>
      <c r="J25" s="12">
        <v>1.806</v>
      </c>
      <c r="K25" s="12">
        <v>0.27211309862212413</v>
      </c>
      <c r="L25" s="12">
        <v>1.0570833581096271</v>
      </c>
      <c r="M25" s="12">
        <v>293026.95</v>
      </c>
      <c r="N25" s="12">
        <v>154950.42000000001</v>
      </c>
      <c r="O25" s="12">
        <v>0.48</v>
      </c>
      <c r="Q25" s="15">
        <v>109.479795</v>
      </c>
      <c r="R25" s="15">
        <v>-54.115442999999999</v>
      </c>
      <c r="S25" s="15">
        <v>170</v>
      </c>
      <c r="T25" s="15">
        <v>100.77374399999999</v>
      </c>
      <c r="U25" s="15">
        <v>108.668072</v>
      </c>
      <c r="V25" s="15">
        <v>89.424565000000001</v>
      </c>
      <c r="W25" s="15">
        <v>39.359471999999997</v>
      </c>
      <c r="Y25" s="1" t="str">
        <f t="shared" si="0"/>
        <v>CA_Gasoline_Gasification_Non_CCS_Herb</v>
      </c>
      <c r="Z25" s="1" t="str">
        <f t="shared" si="1"/>
        <v>Biomass_Wood</v>
      </c>
      <c r="AA25" s="11">
        <f>SUM(AD25:AI25)+AK25+AL25</f>
        <v>74.997011588155715</v>
      </c>
      <c r="AB25" s="11">
        <f>SUM(AD25:AI25)+AN25+AO25</f>
        <v>74.997011588155715</v>
      </c>
      <c r="AC25" s="5">
        <f t="shared" si="2"/>
        <v>0</v>
      </c>
      <c r="AD25" s="1">
        <f t="shared" si="3"/>
        <v>0</v>
      </c>
      <c r="AE25" s="1">
        <f t="shared" si="4"/>
        <v>0</v>
      </c>
      <c r="AF25" s="1" cm="1">
        <f t="array" ref="AF25">_xlfn.IFS(C25="Biomass_Corn", 1/H25*S25, C25="Biomass_Agri", 1/H25*V25, C25="Biomass_Wood", 1/H25*U25, C25="Biomass_Herb", 1/H25*T25)</f>
        <v>52.50426245349567</v>
      </c>
      <c r="AG25" s="1">
        <f>M25/H25/(0.9*8760)</f>
        <v>17.957817326447284</v>
      </c>
      <c r="AH25" s="1">
        <f>N25/H25/(0.9*8760)</f>
        <v>9.4959570681682486</v>
      </c>
      <c r="AI25" s="1">
        <f>O25/H25</f>
        <v>0.23191766922742424</v>
      </c>
      <c r="AJ25" s="1">
        <f t="shared" si="6"/>
        <v>1.9054349595521547E-2</v>
      </c>
      <c r="AK25" s="1">
        <f t="shared" si="7"/>
        <v>-7.2790092167589471</v>
      </c>
      <c r="AL25" s="1">
        <f>AJ25*Q25</f>
        <v>2.0860662875760316</v>
      </c>
      <c r="AM25" s="1">
        <f t="shared" si="8"/>
        <v>-0.11242030790176022</v>
      </c>
      <c r="AN25" s="1">
        <f t="shared" si="9"/>
        <v>7.1148093337386751</v>
      </c>
      <c r="AO25" s="1">
        <f>AM25*Q25</f>
        <v>-12.307752262921589</v>
      </c>
      <c r="AQ25" s="9">
        <f>J25</f>
        <v>1.806</v>
      </c>
      <c r="AR25" s="9">
        <v>0.243968185</v>
      </c>
      <c r="AS25" s="9">
        <v>0.24942761299999999</v>
      </c>
      <c r="AT25" s="10">
        <v>0.24635668499999999</v>
      </c>
      <c r="AU25" s="9">
        <v>0.23037490999999999</v>
      </c>
      <c r="AW25" s="10">
        <f t="shared" si="10"/>
        <v>1.806</v>
      </c>
      <c r="AY25" s="10">
        <f>AR25*F25</f>
        <v>0</v>
      </c>
      <c r="AZ25" s="10">
        <f>AS25*H25</f>
        <v>0.51624033062609997</v>
      </c>
      <c r="BA25" s="10">
        <f>AT25*G25</f>
        <v>0</v>
      </c>
      <c r="BB25" s="10">
        <f>L25</f>
        <v>1.0570833581096271</v>
      </c>
      <c r="BC25" s="10">
        <f>K25</f>
        <v>0.27211309862212413</v>
      </c>
      <c r="BE25" s="1">
        <f t="shared" si="11"/>
        <v>-3.9436787357850944E-2</v>
      </c>
    </row>
    <row r="26" spans="2:57" x14ac:dyDescent="0.2">
      <c r="B26" s="13" t="s">
        <v>51</v>
      </c>
      <c r="C26" s="12" t="s">
        <v>46</v>
      </c>
      <c r="D26" s="12">
        <v>0</v>
      </c>
      <c r="E26" s="12">
        <v>0</v>
      </c>
      <c r="F26" s="12"/>
      <c r="G26" s="12"/>
      <c r="H26" s="12">
        <v>2.0750999999999999</v>
      </c>
      <c r="I26" s="24">
        <f t="shared" si="5"/>
        <v>2.0750999999999999</v>
      </c>
      <c r="J26" s="12">
        <v>1.802</v>
      </c>
      <c r="K26" s="12">
        <v>0.2710374821113985</v>
      </c>
      <c r="L26" s="12">
        <v>1.0529048884991841</v>
      </c>
      <c r="M26" s="12">
        <v>293026.95</v>
      </c>
      <c r="N26" s="12">
        <v>154950.42000000001</v>
      </c>
      <c r="O26" s="12">
        <v>0.48</v>
      </c>
      <c r="Q26" s="15">
        <v>109.479795</v>
      </c>
      <c r="R26" s="15">
        <v>-41.717134999999999</v>
      </c>
      <c r="S26" s="15">
        <v>170</v>
      </c>
      <c r="T26" s="15">
        <v>104.167382</v>
      </c>
      <c r="U26" s="15">
        <v>115.52638899999999</v>
      </c>
      <c r="V26" s="15">
        <v>92.044978</v>
      </c>
      <c r="W26" s="15">
        <v>30.708172999999999</v>
      </c>
      <c r="Y26" s="1" t="str">
        <f t="shared" si="0"/>
        <v>CA_Gasoline_Gasification_Non_CCS_Herb</v>
      </c>
      <c r="Z26" s="1" t="str">
        <f t="shared" si="1"/>
        <v>Biomass_Wood</v>
      </c>
      <c r="AA26" s="11">
        <f>SUM(AD26:AI26)+AK26+AL26</f>
        <v>76.521101997094874</v>
      </c>
      <c r="AB26" s="11">
        <f>SUM(AD26:AI26)+AN26+AO26</f>
        <v>76.521101997094874</v>
      </c>
      <c r="AC26" s="5">
        <f t="shared" si="2"/>
        <v>0</v>
      </c>
      <c r="AD26" s="1">
        <f t="shared" si="3"/>
        <v>0</v>
      </c>
      <c r="AE26" s="1">
        <f t="shared" si="4"/>
        <v>0</v>
      </c>
      <c r="AF26" s="1" cm="1">
        <f t="array" ref="AF26">_xlfn.IFS(C26="Biomass_Corn", 1/H26*S26, C26="Biomass_Agri", 1/H26*V26, C26="Biomass_Wood", 1/H26*U26, C26="Biomass_Herb", 1/H26*T26)</f>
        <v>55.672685171798946</v>
      </c>
      <c r="AG26" s="1">
        <f>M26/H26/(0.9*8760)</f>
        <v>17.911085981662545</v>
      </c>
      <c r="AH26" s="1">
        <f>N26/H26/(0.9*8760)</f>
        <v>9.4712458888669584</v>
      </c>
      <c r="AI26" s="1">
        <f>O26/H26</f>
        <v>0.23131415353476942</v>
      </c>
      <c r="AJ26" s="1">
        <f t="shared" si="6"/>
        <v>1.9049496576975817E-2</v>
      </c>
      <c r="AK26" s="1">
        <f t="shared" si="7"/>
        <v>-8.8507641788688645</v>
      </c>
      <c r="AL26" s="1">
        <f>AJ26*Q26</f>
        <v>2.0855349801005141</v>
      </c>
      <c r="AM26" s="1">
        <f t="shared" si="8"/>
        <v>-0.11156468207051036</v>
      </c>
      <c r="AN26" s="1">
        <f t="shared" si="9"/>
        <v>5.4488493235512969</v>
      </c>
      <c r="AO26" s="1">
        <f>AM26*Q26</f>
        <v>-12.21407852231965</v>
      </c>
      <c r="AQ26" s="9">
        <f>J26</f>
        <v>1.802</v>
      </c>
      <c r="AR26" s="9">
        <v>0.243968185</v>
      </c>
      <c r="AS26" s="9">
        <v>0.24942761299999999</v>
      </c>
      <c r="AT26" s="10">
        <v>0.24635668499999999</v>
      </c>
      <c r="AU26" s="9">
        <v>0.23037490999999999</v>
      </c>
      <c r="AW26" s="10">
        <f t="shared" si="10"/>
        <v>1.802</v>
      </c>
      <c r="AY26" s="10">
        <f>AR26*F26</f>
        <v>0</v>
      </c>
      <c r="AZ26" s="10">
        <f>AS26*H26</f>
        <v>0.51758723973629994</v>
      </c>
      <c r="BA26" s="10">
        <f>AT26*G26</f>
        <v>0</v>
      </c>
      <c r="BB26" s="10">
        <f>L26</f>
        <v>1.0529048884991841</v>
      </c>
      <c r="BC26" s="10">
        <f>K26</f>
        <v>0.2710374821113985</v>
      </c>
      <c r="BE26" s="1">
        <f t="shared" si="11"/>
        <v>-3.9529610346882516E-2</v>
      </c>
    </row>
    <row r="27" spans="2:57" x14ac:dyDescent="0.2">
      <c r="B27" s="13" t="s">
        <v>51</v>
      </c>
      <c r="C27" s="12" t="s">
        <v>46</v>
      </c>
      <c r="D27" s="12">
        <v>0</v>
      </c>
      <c r="E27" s="12">
        <v>0</v>
      </c>
      <c r="F27" s="12"/>
      <c r="G27" s="12"/>
      <c r="H27" s="12">
        <v>2.0838000000000001</v>
      </c>
      <c r="I27" s="24">
        <f t="shared" si="5"/>
        <v>2.0838000000000001</v>
      </c>
      <c r="J27" s="12">
        <v>1.821</v>
      </c>
      <c r="K27" s="12">
        <v>0.27451638369423748</v>
      </c>
      <c r="L27" s="12">
        <v>1.066419449122475</v>
      </c>
      <c r="M27" s="12">
        <v>293026.95</v>
      </c>
      <c r="N27" s="12">
        <v>154950.42000000001</v>
      </c>
      <c r="O27" s="12">
        <v>0.48</v>
      </c>
      <c r="Q27" s="15">
        <v>109.479795</v>
      </c>
      <c r="R27" s="15">
        <v>-47.70091</v>
      </c>
      <c r="S27" s="15">
        <v>170</v>
      </c>
      <c r="T27" s="15">
        <v>99.632842999999994</v>
      </c>
      <c r="U27" s="15">
        <v>113.227017</v>
      </c>
      <c r="V27" s="15">
        <v>88.855315000000004</v>
      </c>
      <c r="W27" s="15">
        <v>38.218446</v>
      </c>
      <c r="Y27" s="1" t="str">
        <f t="shared" si="0"/>
        <v>CA_Gasoline_Gasification_Non_CCS_Herb</v>
      </c>
      <c r="Z27" s="1" t="str">
        <f t="shared" si="1"/>
        <v>Biomass_Wood</v>
      </c>
      <c r="AA27" s="11">
        <f>SUM(AD27:AI27)+AK27+AL27</f>
        <v>75.78192217430329</v>
      </c>
      <c r="AB27" s="11">
        <f>SUM(AD27:AI27)+AN27+AO27</f>
        <v>75.78192217430329</v>
      </c>
      <c r="AC27" s="5">
        <f t="shared" si="2"/>
        <v>0</v>
      </c>
      <c r="AD27" s="1">
        <f t="shared" si="3"/>
        <v>0</v>
      </c>
      <c r="AE27" s="1">
        <f t="shared" si="4"/>
        <v>0</v>
      </c>
      <c r="AF27" s="1" cm="1">
        <f t="array" ref="AF27">_xlfn.IFS(C27="Biomass_Corn", 1/H27*S27, C27="Biomass_Agri", 1/H27*V27, C27="Biomass_Wood", 1/H27*U27, C27="Biomass_Herb", 1/H27*T27)</f>
        <v>54.336796717535272</v>
      </c>
      <c r="AG27" s="1">
        <f>M27/H27/(0.9*8760)</f>
        <v>17.836306037310653</v>
      </c>
      <c r="AH27" s="1">
        <f>N27/H27/(0.9*8760)</f>
        <v>9.4317028236816505</v>
      </c>
      <c r="AI27" s="1">
        <f>O27/H27</f>
        <v>0.23034840195796139</v>
      </c>
      <c r="AJ27" s="1">
        <f t="shared" si="6"/>
        <v>1.9048417691771066E-2</v>
      </c>
      <c r="AK27" s="1">
        <f t="shared" si="7"/>
        <v>-8.1386486701517278</v>
      </c>
      <c r="AL27" s="1">
        <f>AJ27*Q27</f>
        <v>2.0854168639694692</v>
      </c>
      <c r="AM27" s="1">
        <f t="shared" si="8"/>
        <v>-0.1126899370899918</v>
      </c>
      <c r="AN27" s="1">
        <f t="shared" si="9"/>
        <v>6.2840394049929404</v>
      </c>
      <c r="AO27" s="1">
        <f>AM27*Q27</f>
        <v>-12.337271211175198</v>
      </c>
      <c r="AQ27" s="9">
        <f>J27</f>
        <v>1.821</v>
      </c>
      <c r="AR27" s="9">
        <v>0.243968185</v>
      </c>
      <c r="AS27" s="9">
        <v>0.24942761299999999</v>
      </c>
      <c r="AT27" s="10">
        <v>0.24635668499999999</v>
      </c>
      <c r="AU27" s="9">
        <v>0.23037490999999999</v>
      </c>
      <c r="AW27" s="10">
        <f t="shared" si="10"/>
        <v>1.821</v>
      </c>
      <c r="AY27" s="10">
        <f>AR27*F27</f>
        <v>0</v>
      </c>
      <c r="AZ27" s="10">
        <f>AS27*H27</f>
        <v>0.51975725996940003</v>
      </c>
      <c r="BA27" s="10">
        <f>AT27*G27</f>
        <v>0</v>
      </c>
      <c r="BB27" s="10">
        <f>L27</f>
        <v>1.066419449122475</v>
      </c>
      <c r="BC27" s="10">
        <f>K27</f>
        <v>0.27451638369423748</v>
      </c>
      <c r="BE27" s="1">
        <f t="shared" si="11"/>
        <v>-3.9693092786112549E-2</v>
      </c>
    </row>
    <row r="28" spans="2:57" x14ac:dyDescent="0.2">
      <c r="B28" s="13" t="s">
        <v>51</v>
      </c>
      <c r="C28" s="12" t="s">
        <v>46</v>
      </c>
      <c r="D28" s="12">
        <v>0</v>
      </c>
      <c r="E28" s="12">
        <v>0</v>
      </c>
      <c r="F28" s="12"/>
      <c r="G28" s="12"/>
      <c r="H28" s="12">
        <v>2.0577000000000001</v>
      </c>
      <c r="I28" s="24">
        <f t="shared" si="5"/>
        <v>2.0577000000000001</v>
      </c>
      <c r="J28" s="12">
        <v>1.821</v>
      </c>
      <c r="K28" s="12">
        <v>0.27574871894572039</v>
      </c>
      <c r="L28" s="12">
        <v>1.0712067272526009</v>
      </c>
      <c r="M28" s="12">
        <v>293026.95</v>
      </c>
      <c r="N28" s="12">
        <v>154950.42000000001</v>
      </c>
      <c r="O28" s="12">
        <v>0.48</v>
      </c>
      <c r="Q28" s="15">
        <v>109.479795</v>
      </c>
      <c r="R28" s="15">
        <v>-21.506692000000001</v>
      </c>
      <c r="S28" s="15">
        <v>170</v>
      </c>
      <c r="T28" s="15">
        <v>137.93464800000001</v>
      </c>
      <c r="U28" s="15">
        <v>157.881351</v>
      </c>
      <c r="V28" s="15">
        <v>111.364845</v>
      </c>
      <c r="W28" s="15">
        <v>20.230252</v>
      </c>
      <c r="Y28" t="str">
        <f t="shared" si="0"/>
        <v>CA_Gasoline_Gasification_Non_CCS_Herb</v>
      </c>
      <c r="Z28" t="str">
        <f t="shared" si="1"/>
        <v>Biomass_Wood</v>
      </c>
      <c r="AA28" s="11">
        <f>SUM(AD28:AI28)+AK28+AL28</f>
        <v>94.870901977910435</v>
      </c>
      <c r="AB28" s="11">
        <f>SUM(AD28:AI28)+AN28+AO28</f>
        <v>94.870901977910435</v>
      </c>
      <c r="AC28" s="5">
        <f t="shared" si="2"/>
        <v>0</v>
      </c>
      <c r="AD28">
        <f t="shared" si="3"/>
        <v>0</v>
      </c>
      <c r="AE28">
        <f t="shared" si="4"/>
        <v>0</v>
      </c>
      <c r="AF28" s="1" cm="1">
        <f t="array" ref="AF28">_xlfn.IFS(C28="Biomass_Corn", 1/H28*S28, C28="Biomass_Agri", 1/H28*V28, C28="Biomass_Wood", 1/H28*U28, C28="Biomass_Herb", 1/H28*T28)</f>
        <v>76.727098702434745</v>
      </c>
      <c r="AG28">
        <f>M28/H28/(0.9*8760)</f>
        <v>18.062542897676021</v>
      </c>
      <c r="AH28">
        <f>N28/H28/(0.9*8760)</f>
        <v>9.551335152834632</v>
      </c>
      <c r="AI28">
        <f>O28/H28</f>
        <v>0.23327015599941681</v>
      </c>
      <c r="AJ28" s="1">
        <f t="shared" si="6"/>
        <v>1.9051681716684324E-2</v>
      </c>
      <c r="AK28" s="1">
        <f t="shared" si="7"/>
        <v>-11.789119139782237</v>
      </c>
      <c r="AL28">
        <f>AJ28*Q28</f>
        <v>2.0857742087478477</v>
      </c>
      <c r="AM28" s="1">
        <f t="shared" si="8"/>
        <v>-0.11495654054395638</v>
      </c>
      <c r="AN28" s="1">
        <f t="shared" si="9"/>
        <v>2.8820735616271436</v>
      </c>
      <c r="AO28">
        <f>AM28*Q28</f>
        <v>-12.585418492661532</v>
      </c>
      <c r="AQ28" s="9">
        <f>J28</f>
        <v>1.821</v>
      </c>
      <c r="AR28" s="9">
        <v>0.243968185</v>
      </c>
      <c r="AS28" s="9">
        <v>0.24942761299999999</v>
      </c>
      <c r="AT28" s="10">
        <v>0.24635668499999999</v>
      </c>
      <c r="AU28" s="9">
        <v>0.23037490999999999</v>
      </c>
      <c r="AW28" s="10">
        <f t="shared" si="10"/>
        <v>1.821</v>
      </c>
      <c r="AY28" s="10">
        <f>AR28*F28</f>
        <v>0</v>
      </c>
      <c r="AZ28" s="10">
        <f>AS28*H28</f>
        <v>0.51324719927009999</v>
      </c>
      <c r="BA28" s="10">
        <f>AT28*G28</f>
        <v>0</v>
      </c>
      <c r="BB28" s="10">
        <f>L28</f>
        <v>1.0712067272526009</v>
      </c>
      <c r="BC28" s="10">
        <f>K28</f>
        <v>0.27574871894572039</v>
      </c>
      <c r="BE28" s="1">
        <f t="shared" si="11"/>
        <v>-3.9202645468421338E-2</v>
      </c>
    </row>
    <row r="29" spans="2:57" x14ac:dyDescent="0.2">
      <c r="B29" s="13" t="s">
        <v>51</v>
      </c>
      <c r="C29" s="12" t="s">
        <v>47</v>
      </c>
      <c r="D29" s="12">
        <v>0</v>
      </c>
      <c r="E29" s="12">
        <v>0</v>
      </c>
      <c r="F29" s="12"/>
      <c r="G29" s="12"/>
      <c r="H29" s="12">
        <v>1.8694</v>
      </c>
      <c r="I29" s="24">
        <f t="shared" si="5"/>
        <v>1.8694</v>
      </c>
      <c r="J29" s="12">
        <v>1.7</v>
      </c>
      <c r="K29" s="12">
        <v>0.2598606822168264</v>
      </c>
      <c r="L29" s="12">
        <v>1.009486143773924</v>
      </c>
      <c r="M29" s="12">
        <v>293026.95</v>
      </c>
      <c r="N29" s="12">
        <v>154950.42000000001</v>
      </c>
      <c r="O29" s="12">
        <v>0.48</v>
      </c>
      <c r="Q29" s="15">
        <v>109.479795</v>
      </c>
      <c r="R29" s="15">
        <v>-31.70346</v>
      </c>
      <c r="S29" s="15">
        <v>170</v>
      </c>
      <c r="T29" s="15">
        <v>110.461518</v>
      </c>
      <c r="U29" s="15">
        <v>127.408748</v>
      </c>
      <c r="V29" s="15">
        <v>98.832477999999995</v>
      </c>
      <c r="W29" s="15">
        <v>25.324636999999999</v>
      </c>
      <c r="Y29" t="str">
        <f t="shared" si="0"/>
        <v>CA_Gasoline_Gasification_Non_CCS_Herb</v>
      </c>
      <c r="Z29" t="str">
        <f t="shared" si="1"/>
        <v>Biomass_Agri</v>
      </c>
      <c r="AA29" s="11">
        <f>SUM(AD29:AI29)+AK29+AL29</f>
        <v>74.795634310077872</v>
      </c>
      <c r="AB29" s="11">
        <f>SUM(AD29:AI29)+AN29+AO29</f>
        <v>74.795634310077887</v>
      </c>
      <c r="AC29" s="5">
        <f t="shared" si="2"/>
        <v>0</v>
      </c>
      <c r="AD29">
        <f t="shared" si="3"/>
        <v>0</v>
      </c>
      <c r="AE29">
        <f t="shared" si="4"/>
        <v>0</v>
      </c>
      <c r="AF29" s="1" cm="1">
        <f t="array" ref="AF29">_xlfn.IFS(C29="Biomass_Corn", 1/H29*S29, C29="Biomass_Agri", 1/H29*V29, C29="Biomass_Wood", 1/H29*U29, C29="Biomass_Herb", 1/H29*T29)</f>
        <v>52.868555686316462</v>
      </c>
      <c r="AG29">
        <f>M29/H29/(0.9*8760)</f>
        <v>19.881937798517143</v>
      </c>
      <c r="AH29">
        <f>N29/H29/(0.9*8760)</f>
        <v>10.513417323198794</v>
      </c>
      <c r="AI29">
        <f>O29/H29</f>
        <v>0.25676687707285761</v>
      </c>
      <c r="AJ29" s="1">
        <f t="shared" si="6"/>
        <v>1.9057882600272972E-2</v>
      </c>
      <c r="AK29" s="1">
        <f t="shared" si="7"/>
        <v>-10.811496455239345</v>
      </c>
      <c r="AL29">
        <f>AJ29*Q29</f>
        <v>2.0864530802119519</v>
      </c>
      <c r="AM29" s="1">
        <f t="shared" si="8"/>
        <v>-0.11994965041397029</v>
      </c>
      <c r="AN29" s="1">
        <f t="shared" si="9"/>
        <v>4.4070197626157412</v>
      </c>
      <c r="AO29">
        <f>AM29*Q29</f>
        <v>-13.132063137643133</v>
      </c>
      <c r="AQ29" s="9">
        <f>J29</f>
        <v>1.7</v>
      </c>
      <c r="AR29" s="9">
        <v>0.243968185</v>
      </c>
      <c r="AS29" s="9">
        <v>0.24942761299999999</v>
      </c>
      <c r="AT29" s="10">
        <v>0.24635668499999999</v>
      </c>
      <c r="AU29" s="9">
        <v>0.23037490999999999</v>
      </c>
      <c r="AW29" s="10">
        <f t="shared" si="10"/>
        <v>1.7</v>
      </c>
      <c r="AY29" s="10">
        <f>AR29*F29</f>
        <v>0</v>
      </c>
      <c r="AZ29" s="10">
        <f>AS29*H29</f>
        <v>0.46627997974219998</v>
      </c>
      <c r="BA29" s="10">
        <f>AT29*G29</f>
        <v>0</v>
      </c>
      <c r="BB29" s="10">
        <f>L29</f>
        <v>1.009486143773924</v>
      </c>
      <c r="BC29" s="10">
        <f>K29</f>
        <v>0.2598606822168264</v>
      </c>
      <c r="BE29" s="1">
        <f t="shared" si="11"/>
        <v>-3.5626805732950295E-2</v>
      </c>
    </row>
    <row r="30" spans="2:57" x14ac:dyDescent="0.2">
      <c r="B30" s="13" t="s">
        <v>51</v>
      </c>
      <c r="C30" s="12" t="s">
        <v>47</v>
      </c>
      <c r="D30" s="12">
        <v>0</v>
      </c>
      <c r="E30" s="12">
        <v>0</v>
      </c>
      <c r="F30" s="12"/>
      <c r="G30" s="12"/>
      <c r="H30" s="12">
        <v>1.8813</v>
      </c>
      <c r="I30" s="24">
        <f t="shared" si="5"/>
        <v>1.8813</v>
      </c>
      <c r="J30" s="12">
        <v>1.708</v>
      </c>
      <c r="K30" s="12">
        <v>0.26093362189322999</v>
      </c>
      <c r="L30" s="12">
        <v>1.01365421463095</v>
      </c>
      <c r="M30" s="12">
        <v>293026.95</v>
      </c>
      <c r="N30" s="12">
        <v>154950.42000000001</v>
      </c>
      <c r="O30" s="12">
        <v>0.48</v>
      </c>
      <c r="Q30" s="15">
        <v>109.479795</v>
      </c>
      <c r="R30" s="15">
        <v>-54.115442999999999</v>
      </c>
      <c r="S30" s="15">
        <v>170</v>
      </c>
      <c r="T30" s="15">
        <v>100.77374399999999</v>
      </c>
      <c r="U30" s="15">
        <v>108.668072</v>
      </c>
      <c r="V30" s="15">
        <v>89.424565000000001</v>
      </c>
      <c r="W30" s="15">
        <v>39.359471999999997</v>
      </c>
      <c r="Y30" t="str">
        <f t="shared" si="0"/>
        <v>CA_Gasoline_Gasification_Non_CCS_Herb</v>
      </c>
      <c r="Z30" t="str">
        <f t="shared" si="1"/>
        <v>Biomass_Agri</v>
      </c>
      <c r="AA30" s="11">
        <f>SUM(AD30:AI30)+AK30+AL30</f>
        <v>72.398096762459005</v>
      </c>
      <c r="AB30" s="11">
        <f>SUM(AD30:AI30)+AN30+AO30</f>
        <v>72.398096762459019</v>
      </c>
      <c r="AC30" s="5">
        <f t="shared" si="2"/>
        <v>0</v>
      </c>
      <c r="AD30">
        <f t="shared" si="3"/>
        <v>0</v>
      </c>
      <c r="AE30">
        <f t="shared" si="4"/>
        <v>0</v>
      </c>
      <c r="AF30" s="1" cm="1">
        <f t="array" ref="AF30">_xlfn.IFS(C30="Biomass_Corn", 1/H30*S30, C30="Biomass_Agri", 1/H30*V30, C30="Biomass_Wood", 1/H30*U30, C30="Biomass_Herb", 1/H30*T30)</f>
        <v>47.53338914580344</v>
      </c>
      <c r="AG30">
        <f>M30/H30/(0.9*8760)</f>
        <v>19.756176325172991</v>
      </c>
      <c r="AH30">
        <f>N30/H30/(0.9*8760)</f>
        <v>10.446915613664926</v>
      </c>
      <c r="AI30">
        <f>O30/H30</f>
        <v>0.2551427204592569</v>
      </c>
      <c r="AJ30" s="1">
        <f t="shared" si="6"/>
        <v>1.9048532855514784E-2</v>
      </c>
      <c r="AK30" s="1">
        <f t="shared" si="7"/>
        <v>-7.6789565147141294</v>
      </c>
      <c r="AL30">
        <f>AJ30*Q30</f>
        <v>2.0854294720725233</v>
      </c>
      <c r="AM30" s="1">
        <f t="shared" si="8"/>
        <v>-0.11965003828849728</v>
      </c>
      <c r="AN30" s="1">
        <f t="shared" si="9"/>
        <v>7.5057346209252334</v>
      </c>
      <c r="AO30">
        <f>AM30*Q30</f>
        <v>-13.099261663566832</v>
      </c>
      <c r="AQ30" s="9">
        <f>J30</f>
        <v>1.708</v>
      </c>
      <c r="AR30" s="9">
        <v>0.243968185</v>
      </c>
      <c r="AS30" s="9">
        <v>0.24942761299999999</v>
      </c>
      <c r="AT30" s="10">
        <v>0.24635668499999999</v>
      </c>
      <c r="AU30" s="9">
        <v>0.23037490999999999</v>
      </c>
      <c r="AW30" s="10">
        <f t="shared" si="10"/>
        <v>1.708</v>
      </c>
      <c r="AY30" s="10">
        <f>AR30*F30</f>
        <v>0</v>
      </c>
      <c r="AZ30" s="10">
        <f>AS30*H30</f>
        <v>0.46924816833689997</v>
      </c>
      <c r="BA30" s="10">
        <f>AT30*G30</f>
        <v>0</v>
      </c>
      <c r="BB30" s="10">
        <f>L30</f>
        <v>1.01365421463095</v>
      </c>
      <c r="BC30" s="10">
        <f>K30</f>
        <v>0.26093362189322999</v>
      </c>
      <c r="BE30" s="1">
        <f t="shared" si="11"/>
        <v>-3.5836004861079962E-2</v>
      </c>
    </row>
    <row r="31" spans="2:57" x14ac:dyDescent="0.2">
      <c r="B31" s="13" t="s">
        <v>51</v>
      </c>
      <c r="C31" s="12" t="s">
        <v>47</v>
      </c>
      <c r="D31" s="12">
        <v>0</v>
      </c>
      <c r="E31" s="12">
        <v>0</v>
      </c>
      <c r="F31" s="12"/>
      <c r="G31" s="12"/>
      <c r="H31" s="12">
        <v>1.8835</v>
      </c>
      <c r="I31" s="24">
        <f t="shared" si="5"/>
        <v>1.8835</v>
      </c>
      <c r="J31" s="12">
        <v>1.71</v>
      </c>
      <c r="K31" s="12">
        <v>0.26124036728893979</v>
      </c>
      <c r="L31" s="12">
        <v>1.014845834786773</v>
      </c>
      <c r="M31" s="12">
        <v>293026.95</v>
      </c>
      <c r="N31" s="12">
        <v>154950.42000000001</v>
      </c>
      <c r="O31" s="12">
        <v>0.48</v>
      </c>
      <c r="Q31" s="15">
        <v>109.479795</v>
      </c>
      <c r="R31" s="15">
        <v>-41.717134999999999</v>
      </c>
      <c r="S31" s="15">
        <v>170</v>
      </c>
      <c r="T31" s="15">
        <v>104.167382</v>
      </c>
      <c r="U31" s="15">
        <v>115.52638899999999</v>
      </c>
      <c r="V31" s="15">
        <v>92.044978</v>
      </c>
      <c r="W31" s="15">
        <v>30.708172999999999</v>
      </c>
      <c r="Y31" t="str">
        <f t="shared" si="0"/>
        <v>CA_Gasoline_Gasification_Non_CCS_Herb</v>
      </c>
      <c r="Z31" t="str">
        <f t="shared" si="1"/>
        <v>Biomass_Agri</v>
      </c>
      <c r="AA31" s="11">
        <f>SUM(AD31:AI31)+AK31+AL31</f>
        <v>71.978862931538117</v>
      </c>
      <c r="AB31" s="11">
        <f>SUM(AD31:AI31)+AN31+AO31</f>
        <v>71.978862931538117</v>
      </c>
      <c r="AC31" s="5">
        <f t="shared" si="2"/>
        <v>0</v>
      </c>
      <c r="AD31">
        <f t="shared" si="3"/>
        <v>0</v>
      </c>
      <c r="AE31">
        <f t="shared" si="4"/>
        <v>0</v>
      </c>
      <c r="AF31" s="1" cm="1">
        <f t="array" ref="AF31">_xlfn.IFS(C31="Biomass_Corn", 1/H31*S31, C31="Biomass_Agri", 1/H31*V31, C31="Biomass_Wood", 1/H31*U31, C31="Biomass_Herb", 1/H31*T31)</f>
        <v>48.869114945580044</v>
      </c>
      <c r="AG31">
        <f>M31/H31/(0.9*8760)</f>
        <v>19.733100356011654</v>
      </c>
      <c r="AH31">
        <f>N31/H31/(0.9*8760)</f>
        <v>10.434713216876997</v>
      </c>
      <c r="AI31">
        <f>O31/H31</f>
        <v>0.25484470400849479</v>
      </c>
      <c r="AJ31" s="1">
        <f t="shared" si="6"/>
        <v>1.9051293422465098E-2</v>
      </c>
      <c r="AK31" s="1">
        <f t="shared" si="7"/>
        <v>-9.3986419893153954</v>
      </c>
      <c r="AL31">
        <f>AJ31*Q31</f>
        <v>2.0857316983763274</v>
      </c>
      <c r="AM31" s="1">
        <f t="shared" si="8"/>
        <v>-0.1196481317375773</v>
      </c>
      <c r="AN31" s="1">
        <f t="shared" si="9"/>
        <v>5.786142643823883</v>
      </c>
      <c r="AO31">
        <f>AM31*Q31</f>
        <v>-13.099052934762955</v>
      </c>
      <c r="AQ31" s="9">
        <f>J31</f>
        <v>1.71</v>
      </c>
      <c r="AR31" s="9">
        <v>0.243968185</v>
      </c>
      <c r="AS31" s="9">
        <v>0.24942761299999999</v>
      </c>
      <c r="AT31" s="10">
        <v>0.24635668499999999</v>
      </c>
      <c r="AU31" s="9">
        <v>0.23037490999999999</v>
      </c>
      <c r="AW31" s="10">
        <f t="shared" si="10"/>
        <v>1.71</v>
      </c>
      <c r="AY31" s="10">
        <f>AR31*F31</f>
        <v>0</v>
      </c>
      <c r="AZ31" s="10">
        <f>AS31*H31</f>
        <v>0.46979690908549998</v>
      </c>
      <c r="BA31" s="10">
        <f>AT31*G31</f>
        <v>0</v>
      </c>
      <c r="BB31" s="10">
        <f>L31</f>
        <v>1.014845834786773</v>
      </c>
      <c r="BC31" s="10">
        <f>K31</f>
        <v>0.26124036728893979</v>
      </c>
      <c r="BE31" s="1">
        <f t="shared" si="11"/>
        <v>-3.588311116121301E-2</v>
      </c>
    </row>
    <row r="32" spans="2:57" x14ac:dyDescent="0.2">
      <c r="B32" s="13" t="s">
        <v>51</v>
      </c>
      <c r="C32" s="12" t="s">
        <v>47</v>
      </c>
      <c r="D32" s="12">
        <v>0</v>
      </c>
      <c r="E32" s="12">
        <v>0</v>
      </c>
      <c r="F32" s="12"/>
      <c r="G32" s="12"/>
      <c r="H32" s="12">
        <v>1.8758999999999999</v>
      </c>
      <c r="I32" s="24">
        <f t="shared" si="5"/>
        <v>1.8758999999999999</v>
      </c>
      <c r="J32" s="12">
        <v>1.6890000000000001</v>
      </c>
      <c r="K32" s="12">
        <v>0.25730067840395571</v>
      </c>
      <c r="L32" s="12">
        <v>0.99954124424139257</v>
      </c>
      <c r="M32" s="12">
        <v>293026.95</v>
      </c>
      <c r="N32" s="12">
        <v>154950.42000000001</v>
      </c>
      <c r="O32" s="12">
        <v>0.48</v>
      </c>
      <c r="Q32" s="15">
        <v>109.479795</v>
      </c>
      <c r="R32" s="15">
        <v>-47.70091</v>
      </c>
      <c r="S32" s="15">
        <v>170</v>
      </c>
      <c r="T32" s="15">
        <v>99.632842999999994</v>
      </c>
      <c r="U32" s="15">
        <v>113.227017</v>
      </c>
      <c r="V32" s="15">
        <v>88.855315000000004</v>
      </c>
      <c r="W32" s="15">
        <v>38.218446</v>
      </c>
      <c r="Y32" t="str">
        <f t="shared" si="0"/>
        <v>CA_Gasoline_Gasification_Non_CCS_Herb</v>
      </c>
      <c r="Z32" t="str">
        <f t="shared" si="1"/>
        <v>Biomass_Agri</v>
      </c>
      <c r="AA32" s="11">
        <f>SUM(AD32:AI32)+AK32+AL32</f>
        <v>71.525027489202728</v>
      </c>
      <c r="AB32" s="11">
        <f>SUM(AD32:AI32)+AN32+AO32</f>
        <v>71.525027489202728</v>
      </c>
      <c r="AC32" s="5">
        <f t="shared" si="2"/>
        <v>0</v>
      </c>
      <c r="AD32">
        <f t="shared" si="3"/>
        <v>0</v>
      </c>
      <c r="AE32">
        <f t="shared" si="4"/>
        <v>0</v>
      </c>
      <c r="AF32" s="1" cm="1">
        <f t="array" ref="AF32">_xlfn.IFS(C32="Biomass_Corn", 1/H32*S32, C32="Biomass_Agri", 1/H32*V32, C32="Biomass_Wood", 1/H32*U32, C32="Biomass_Herb", 1/H32*T32)</f>
        <v>47.36676528599606</v>
      </c>
      <c r="AG32">
        <f>M32/H32/(0.9*8760)</f>
        <v>19.813046815154298</v>
      </c>
      <c r="AH32">
        <f>N32/H32/(0.9*8760)</f>
        <v>10.476988295744883</v>
      </c>
      <c r="AI32">
        <f>O32/H32</f>
        <v>0.25587717895410206</v>
      </c>
      <c r="AJ32" s="1">
        <f t="shared" si="6"/>
        <v>1.905388446721476E-2</v>
      </c>
      <c r="AK32" s="1">
        <f t="shared" si="7"/>
        <v>-8.4736654520709855</v>
      </c>
      <c r="AL32">
        <f>AJ32*Q32</f>
        <v>2.0860153654243563</v>
      </c>
      <c r="AM32" s="1">
        <f t="shared" si="8"/>
        <v>-0.118107306643162</v>
      </c>
      <c r="AN32" s="1">
        <f t="shared" si="9"/>
        <v>6.54271363264888</v>
      </c>
      <c r="AO32">
        <f>AM32*Q32</f>
        <v>-12.930363719295514</v>
      </c>
      <c r="AQ32" s="9">
        <f>J32</f>
        <v>1.6890000000000001</v>
      </c>
      <c r="AR32" s="9">
        <v>0.243968185</v>
      </c>
      <c r="AS32" s="9">
        <v>0.24942761299999999</v>
      </c>
      <c r="AT32" s="10">
        <v>0.24635668499999999</v>
      </c>
      <c r="AU32" s="9">
        <v>0.23037490999999999</v>
      </c>
      <c r="AW32" s="10">
        <f t="shared" si="10"/>
        <v>1.6890000000000001</v>
      </c>
      <c r="AY32" s="10">
        <f>AR32*F32</f>
        <v>0</v>
      </c>
      <c r="AZ32" s="10">
        <f>AS32*H32</f>
        <v>0.46790125922669995</v>
      </c>
      <c r="BA32" s="10">
        <f>AT32*G32</f>
        <v>0</v>
      </c>
      <c r="BB32" s="10">
        <f>L32</f>
        <v>0.99954124424139257</v>
      </c>
      <c r="BC32" s="10">
        <f>K32</f>
        <v>0.25730067840395571</v>
      </c>
      <c r="BE32" s="1">
        <f t="shared" si="11"/>
        <v>-3.5743181872048169E-2</v>
      </c>
    </row>
    <row r="33" spans="2:57" x14ac:dyDescent="0.2">
      <c r="B33" s="13" t="s">
        <v>51</v>
      </c>
      <c r="C33" s="12" t="s">
        <v>47</v>
      </c>
      <c r="D33" s="12">
        <v>0</v>
      </c>
      <c r="E33" s="12">
        <v>0</v>
      </c>
      <c r="F33" s="12"/>
      <c r="G33" s="12"/>
      <c r="H33" s="12">
        <v>1.8062</v>
      </c>
      <c r="I33" s="24">
        <f t="shared" si="5"/>
        <v>1.8062</v>
      </c>
      <c r="J33" s="12">
        <v>1.633</v>
      </c>
      <c r="K33" s="12">
        <v>0.24912258574124349</v>
      </c>
      <c r="L33" s="12">
        <v>0.96777163925506116</v>
      </c>
      <c r="M33" s="12">
        <v>293026.95</v>
      </c>
      <c r="N33" s="12">
        <v>154950.42000000001</v>
      </c>
      <c r="O33" s="12">
        <v>0.48</v>
      </c>
      <c r="Q33" s="15">
        <v>109.479795</v>
      </c>
      <c r="R33" s="15">
        <v>-21.506692000000001</v>
      </c>
      <c r="S33" s="15">
        <v>170</v>
      </c>
      <c r="T33" s="15">
        <v>137.93464800000001</v>
      </c>
      <c r="U33" s="15">
        <v>157.881351</v>
      </c>
      <c r="V33" s="15">
        <v>111.364845</v>
      </c>
      <c r="W33" s="15">
        <v>20.230252</v>
      </c>
      <c r="Y33" t="str">
        <f t="shared" si="0"/>
        <v>CA_Gasoline_Gasification_Non_CCS_Herb</v>
      </c>
      <c r="Z33" t="str">
        <f t="shared" si="1"/>
        <v>Biomass_Agri</v>
      </c>
      <c r="AA33" s="11">
        <f>SUM(AD33:AI33)+AK33+AL33</f>
        <v>83.333560111635634</v>
      </c>
      <c r="AB33" s="11">
        <f>SUM(AD33:AI33)+AN33+AO33</f>
        <v>83.333560111635649</v>
      </c>
      <c r="AC33" s="5">
        <f t="shared" si="2"/>
        <v>0</v>
      </c>
      <c r="AD33">
        <f t="shared" si="3"/>
        <v>0</v>
      </c>
      <c r="AE33">
        <f t="shared" si="4"/>
        <v>0</v>
      </c>
      <c r="AF33" s="1" cm="1">
        <f t="array" ref="AF33">_xlfn.IFS(C33="Biomass_Corn", 1/H33*S33, C33="Biomass_Agri", 1/H33*V33, C33="Biomass_Wood", 1/H33*U33, C33="Biomass_Herb", 1/H33*T33)</f>
        <v>61.656984276381351</v>
      </c>
      <c r="AG33">
        <f>M33/H33/(0.9*8760)</f>
        <v>20.577618492164735</v>
      </c>
      <c r="AH33">
        <f>N33/H33/(0.9*8760)</f>
        <v>10.881287976961479</v>
      </c>
      <c r="AI33">
        <f>O33/H33</f>
        <v>0.26575130107407818</v>
      </c>
      <c r="AJ33" s="1">
        <f t="shared" si="6"/>
        <v>1.9051256559021498E-2</v>
      </c>
      <c r="AK33" s="1">
        <f t="shared" si="7"/>
        <v>-12.133809597520065</v>
      </c>
      <c r="AL33">
        <f>AJ33*Q33</f>
        <v>2.085727662574079</v>
      </c>
      <c r="AM33" s="1">
        <f t="shared" si="8"/>
        <v>-0.11887510029029949</v>
      </c>
      <c r="AN33" s="1">
        <f t="shared" si="9"/>
        <v>2.9663396754404361</v>
      </c>
      <c r="AO33">
        <f>AM33*Q33</f>
        <v>-13.014421610386428</v>
      </c>
      <c r="AQ33" s="9">
        <f>J33</f>
        <v>1.633</v>
      </c>
      <c r="AR33" s="9">
        <v>0.243968185</v>
      </c>
      <c r="AS33" s="9">
        <v>0.24942761299999999</v>
      </c>
      <c r="AT33" s="10">
        <v>0.24635668499999999</v>
      </c>
      <c r="AU33" s="9">
        <v>0.23037490999999999</v>
      </c>
      <c r="AW33" s="10">
        <f t="shared" si="10"/>
        <v>1.633</v>
      </c>
      <c r="AY33" s="10">
        <f>AR33*F33</f>
        <v>0</v>
      </c>
      <c r="AZ33" s="10">
        <f>AS33*H33</f>
        <v>0.45051615460060002</v>
      </c>
      <c r="BA33" s="10">
        <f>AT33*G33</f>
        <v>0</v>
      </c>
      <c r="BB33" s="10">
        <f>L33</f>
        <v>0.96777163925506116</v>
      </c>
      <c r="BC33" s="10">
        <f>K33</f>
        <v>0.24912258574124349</v>
      </c>
      <c r="BE33" s="1">
        <f t="shared" si="11"/>
        <v>-3.4410379596904628E-2</v>
      </c>
    </row>
    <row r="34" spans="2:57" x14ac:dyDescent="0.2">
      <c r="B34" s="13" t="s">
        <v>51</v>
      </c>
      <c r="C34" s="12" t="s">
        <v>45</v>
      </c>
      <c r="D34" s="12">
        <v>0</v>
      </c>
      <c r="E34" s="12">
        <v>0.26319999999999999</v>
      </c>
      <c r="F34" s="12"/>
      <c r="G34" s="12"/>
      <c r="H34" s="12">
        <v>1.9847999999999999</v>
      </c>
      <c r="I34" s="24">
        <f t="shared" si="5"/>
        <v>1.9847999999999999</v>
      </c>
      <c r="J34" s="12">
        <v>1.7230000000000001</v>
      </c>
      <c r="K34" s="12">
        <v>1.0913384446313901</v>
      </c>
      <c r="L34" s="12">
        <v>0.1744217555905887</v>
      </c>
      <c r="M34" s="12">
        <v>520155.64</v>
      </c>
      <c r="N34" s="12">
        <v>279265.62</v>
      </c>
      <c r="O34" s="12">
        <v>1.67</v>
      </c>
      <c r="Q34" s="15">
        <v>109.479795</v>
      </c>
      <c r="R34" s="15">
        <v>-31.70346</v>
      </c>
      <c r="S34" s="15">
        <v>170</v>
      </c>
      <c r="T34" s="15">
        <v>110.461518</v>
      </c>
      <c r="U34" s="15">
        <v>127.408748</v>
      </c>
      <c r="V34" s="15">
        <v>98.832477999999995</v>
      </c>
      <c r="W34" s="15">
        <v>25.324636999999999</v>
      </c>
      <c r="Y34" t="str">
        <f t="shared" si="0"/>
        <v>CA_Gasoline_Gasification_Non_CCS_Herb</v>
      </c>
      <c r="Z34" t="str">
        <f t="shared" si="1"/>
        <v>Biomass_Herb</v>
      </c>
      <c r="AA34" s="11">
        <f>SUM(AD34:AI34)+AK34+AL34</f>
        <v>70.261770986557565</v>
      </c>
      <c r="AB34" s="11">
        <f>SUM(AD34:AI34)+AN34+AO34</f>
        <v>70.261770986557565</v>
      </c>
      <c r="AC34" s="5">
        <f t="shared" si="2"/>
        <v>0</v>
      </c>
      <c r="AD34">
        <f t="shared" si="3"/>
        <v>0</v>
      </c>
      <c r="AE34">
        <f t="shared" si="4"/>
        <v>3.3582448903667879</v>
      </c>
      <c r="AF34" s="1" cm="1">
        <f t="array" ref="AF34">_xlfn.IFS(C34="Biomass_Corn", 1/H34*S34, C34="Biomass_Agri", 1/H34*V34, C34="Biomass_Wood", 1/H34*U34, C34="Biomass_Herb", 1/H34*T34)</f>
        <v>55.653727327690454</v>
      </c>
      <c r="AG34">
        <f>M34/H34/(0.9*8760)</f>
        <v>33.240683481624224</v>
      </c>
      <c r="AH34">
        <f>N34/H34/(0.9*8760)</f>
        <v>17.846543164887237</v>
      </c>
      <c r="AI34">
        <f>O34/H34</f>
        <v>0.8413945989520355</v>
      </c>
      <c r="AJ34" s="1">
        <f t="shared" si="6"/>
        <v>1.905689565919922E-2</v>
      </c>
      <c r="AK34" s="1">
        <f t="shared" si="7"/>
        <v>-42.765167507068689</v>
      </c>
      <c r="AL34">
        <f>AJ34*Q34</f>
        <v>2.0863450301055204</v>
      </c>
      <c r="AM34" s="1">
        <f t="shared" si="8"/>
        <v>-0.53079117197048142</v>
      </c>
      <c r="AN34" s="1">
        <f t="shared" si="9"/>
        <v>17.432086218174874</v>
      </c>
      <c r="AO34">
        <f>AM34*Q34</f>
        <v>-58.11090869513805</v>
      </c>
      <c r="AQ34" s="9">
        <f>J34</f>
        <v>1.7230000000000001</v>
      </c>
      <c r="AR34" s="9">
        <v>0.243968185</v>
      </c>
      <c r="AS34" s="9">
        <v>0.24942761299999999</v>
      </c>
      <c r="AT34" s="10">
        <v>0.24635668499999999</v>
      </c>
      <c r="AU34" s="9">
        <v>0.23037490999999999</v>
      </c>
      <c r="AW34" s="10">
        <f t="shared" si="10"/>
        <v>1.7230000000000001</v>
      </c>
      <c r="AY34" s="10">
        <f>AR34*F34</f>
        <v>0</v>
      </c>
      <c r="AZ34" s="10">
        <f>AS34*H34</f>
        <v>0.49506392628239998</v>
      </c>
      <c r="BA34" s="10">
        <f>AT34*G34</f>
        <v>0</v>
      </c>
      <c r="BB34" s="10">
        <f>L34</f>
        <v>0.1744217555905887</v>
      </c>
      <c r="BC34" s="10">
        <f>K34</f>
        <v>1.0913384446313901</v>
      </c>
      <c r="BE34" s="1">
        <f t="shared" si="11"/>
        <v>-3.7824126504378608E-2</v>
      </c>
    </row>
    <row r="35" spans="2:57" x14ac:dyDescent="0.2">
      <c r="B35" s="13" t="s">
        <v>51</v>
      </c>
      <c r="C35" s="12" t="s">
        <v>45</v>
      </c>
      <c r="D35" s="12">
        <v>0</v>
      </c>
      <c r="E35" s="12">
        <v>0.26319999999999999</v>
      </c>
      <c r="F35" s="12"/>
      <c r="G35" s="12"/>
      <c r="H35" s="12">
        <v>1.9923999999999999</v>
      </c>
      <c r="I35" s="24">
        <f t="shared" si="5"/>
        <v>1.9923999999999999</v>
      </c>
      <c r="J35" s="12">
        <v>1.736</v>
      </c>
      <c r="K35" s="12">
        <v>1.10103326235625</v>
      </c>
      <c r="L35" s="12">
        <v>0.17597121729609291</v>
      </c>
      <c r="M35" s="12">
        <v>520155.64</v>
      </c>
      <c r="N35" s="12">
        <v>279265.62</v>
      </c>
      <c r="O35" s="12">
        <v>1.67</v>
      </c>
      <c r="Q35" s="15">
        <v>109.479795</v>
      </c>
      <c r="R35" s="15">
        <v>-54.115442999999999</v>
      </c>
      <c r="S35" s="15">
        <v>170</v>
      </c>
      <c r="T35" s="15">
        <v>100.77374399999999</v>
      </c>
      <c r="U35" s="15">
        <v>108.668072</v>
      </c>
      <c r="V35" s="15">
        <v>89.424565000000001</v>
      </c>
      <c r="W35" s="15">
        <v>39.359471999999997</v>
      </c>
      <c r="Y35" t="str">
        <f t="shared" si="0"/>
        <v>CA_Gasoline_Gasification_Non_CCS_Herb</v>
      </c>
      <c r="Z35" t="str">
        <f t="shared" si="1"/>
        <v>Biomass_Herb</v>
      </c>
      <c r="AA35" s="11">
        <f>SUM(AD35:AI35)+AK35+AL35</f>
        <v>78.99989380809167</v>
      </c>
      <c r="AB35" s="11">
        <f>SUM(AD35:AI35)+AN35+AO35</f>
        <v>78.999893808091656</v>
      </c>
      <c r="AC35" s="5">
        <f t="shared" si="2"/>
        <v>0</v>
      </c>
      <c r="AD35">
        <f t="shared" si="3"/>
        <v>0</v>
      </c>
      <c r="AE35">
        <f t="shared" si="4"/>
        <v>5.1994644802248535</v>
      </c>
      <c r="AF35" s="1" cm="1">
        <f t="array" ref="AF35">_xlfn.IFS(C35="Biomass_Corn", 1/H35*S35, C35="Biomass_Agri", 1/H35*V35, C35="Biomass_Wood", 1/H35*U35, C35="Biomass_Herb", 1/H35*T35)</f>
        <v>50.579072475406548</v>
      </c>
      <c r="AG35">
        <f>M35/H35/(0.9*8760)</f>
        <v>33.113887057984215</v>
      </c>
      <c r="AH35">
        <f>N35/H35/(0.9*8760)</f>
        <v>17.778467613766406</v>
      </c>
      <c r="AI35">
        <f>O35/H35</f>
        <v>0.83818510339289298</v>
      </c>
      <c r="AJ35" s="1">
        <f t="shared" si="6"/>
        <v>1.9054434748817007E-2</v>
      </c>
      <c r="AK35" s="1">
        <f t="shared" si="7"/>
        <v>-30.595258532824619</v>
      </c>
      <c r="AL35">
        <f>AJ35*Q35</f>
        <v>2.0860756101413624</v>
      </c>
      <c r="AM35" s="1">
        <f t="shared" si="8"/>
        <v>-0.53356213941111574</v>
      </c>
      <c r="AN35" s="1">
        <f t="shared" si="9"/>
        <v>29.905090719807109</v>
      </c>
      <c r="AO35">
        <f>AM35*Q35</f>
        <v>-58.414273642490372</v>
      </c>
      <c r="AQ35" s="9">
        <f>J35</f>
        <v>1.736</v>
      </c>
      <c r="AR35" s="9">
        <v>0.243968185</v>
      </c>
      <c r="AS35" s="9">
        <v>0.24942761299999999</v>
      </c>
      <c r="AT35" s="10">
        <v>0.24635668499999999</v>
      </c>
      <c r="AU35" s="9">
        <v>0.23037490999999999</v>
      </c>
      <c r="AW35" s="10">
        <f t="shared" si="10"/>
        <v>1.736</v>
      </c>
      <c r="AY35" s="10">
        <f>AR35*F35</f>
        <v>0</v>
      </c>
      <c r="AZ35" s="10">
        <f>AS35*H35</f>
        <v>0.49695957614119995</v>
      </c>
      <c r="BA35" s="10">
        <f>AT35*G35</f>
        <v>0</v>
      </c>
      <c r="BB35" s="10">
        <f>L35</f>
        <v>0.17597121729609291</v>
      </c>
      <c r="BC35" s="10">
        <f>K35</f>
        <v>1.10103326235625</v>
      </c>
      <c r="BE35" s="1">
        <f t="shared" si="11"/>
        <v>-3.7964055793543006E-2</v>
      </c>
    </row>
    <row r="36" spans="2:57" x14ac:dyDescent="0.2">
      <c r="B36" s="13" t="s">
        <v>51</v>
      </c>
      <c r="C36" s="12" t="s">
        <v>45</v>
      </c>
      <c r="D36" s="12">
        <v>0</v>
      </c>
      <c r="E36" s="12">
        <v>0.26319999999999999</v>
      </c>
      <c r="F36" s="12"/>
      <c r="G36" s="12"/>
      <c r="H36" s="12">
        <v>1.9966999999999999</v>
      </c>
      <c r="I36" s="24">
        <f t="shared" si="5"/>
        <v>1.9966999999999999</v>
      </c>
      <c r="J36" s="12">
        <v>1.74</v>
      </c>
      <c r="K36" s="12">
        <v>1.1036170439133131</v>
      </c>
      <c r="L36" s="12">
        <v>0.17638416684209529</v>
      </c>
      <c r="M36" s="12">
        <v>520155.64</v>
      </c>
      <c r="N36" s="12">
        <v>279265.62</v>
      </c>
      <c r="O36" s="12">
        <v>1.67</v>
      </c>
      <c r="Q36" s="15">
        <v>109.479795</v>
      </c>
      <c r="R36" s="15">
        <v>-41.717134999999999</v>
      </c>
      <c r="S36" s="15">
        <v>170</v>
      </c>
      <c r="T36" s="15">
        <v>104.167382</v>
      </c>
      <c r="U36" s="15">
        <v>115.52638899999999</v>
      </c>
      <c r="V36" s="15">
        <v>92.044978</v>
      </c>
      <c r="W36" s="15">
        <v>30.708172999999999</v>
      </c>
      <c r="Y36" t="str">
        <f t="shared" ref="Y36:Y67" si="12">B36</f>
        <v>CA_Gasoline_Gasification_Non_CCS_Herb</v>
      </c>
      <c r="Z36" t="str">
        <f t="shared" ref="Z36:Z67" si="13">C36</f>
        <v>Biomass_Herb</v>
      </c>
      <c r="AA36" s="11">
        <f>SUM(AD36:AI36)+AK36+AL36</f>
        <v>72.468350156812889</v>
      </c>
      <c r="AB36" s="11">
        <f>SUM(AD36:AI36)+AN36+AO36</f>
        <v>72.468350156812903</v>
      </c>
      <c r="AC36" s="5">
        <f t="shared" ref="AC36:AC67" si="14">AA36-AB36</f>
        <v>0</v>
      </c>
      <c r="AD36">
        <f t="shared" ref="AD36:AD67" si="15">D36/H36*W36*-1</f>
        <v>0</v>
      </c>
      <c r="AE36">
        <f t="shared" ref="AE36:AE67" si="16">E36/H36*W36</f>
        <v>4.0478745598237085</v>
      </c>
      <c r="AF36" s="1" cm="1">
        <f t="array" ref="AF36">_xlfn.IFS(C36="Biomass_Corn", 1/H36*S36, C36="Biomass_Agri", 1/H36*V36, C36="Biomass_Wood", 1/H36*U36, C36="Biomass_Herb", 1/H36*T36)</f>
        <v>52.169771122351882</v>
      </c>
      <c r="AG36">
        <f>M36/H36/(0.9*8760)</f>
        <v>33.042574535146869</v>
      </c>
      <c r="AH36">
        <f>N36/H36/(0.9*8760)</f>
        <v>17.740180735046923</v>
      </c>
      <c r="AI36">
        <f>O36/H36</f>
        <v>0.83638002704462366</v>
      </c>
      <c r="AJ36" s="1">
        <f t="shared" si="6"/>
        <v>1.9048092168331886E-2</v>
      </c>
      <c r="AK36" s="1">
        <f t="shared" si="7"/>
        <v>-37.453812048331194</v>
      </c>
      <c r="AL36">
        <f>AJ36*Q36</f>
        <v>2.0853812257300803</v>
      </c>
      <c r="AM36" s="1">
        <f t="shared" si="8"/>
        <v>-0.53367241863114379</v>
      </c>
      <c r="AN36" s="1">
        <f t="shared" si="9"/>
        <v>23.057916166290685</v>
      </c>
      <c r="AO36">
        <f>AM36*Q36</f>
        <v>-58.426346988891801</v>
      </c>
      <c r="AQ36" s="9">
        <f>J36</f>
        <v>1.74</v>
      </c>
      <c r="AR36" s="9">
        <v>0.243968185</v>
      </c>
      <c r="AS36" s="9">
        <v>0.24942761299999999</v>
      </c>
      <c r="AT36" s="10">
        <v>0.24635668499999999</v>
      </c>
      <c r="AU36" s="9">
        <v>0.23037490999999999</v>
      </c>
      <c r="AW36" s="10">
        <f t="shared" si="10"/>
        <v>1.74</v>
      </c>
      <c r="AY36" s="10">
        <f>AR36*F36</f>
        <v>0</v>
      </c>
      <c r="AZ36" s="10">
        <f>AS36*H36</f>
        <v>0.49803211487709997</v>
      </c>
      <c r="BA36" s="10">
        <f>AT36*G36</f>
        <v>0</v>
      </c>
      <c r="BB36" s="10">
        <f>L36</f>
        <v>0.17638416684209529</v>
      </c>
      <c r="BC36" s="10">
        <f>K36</f>
        <v>1.1036170439133131</v>
      </c>
      <c r="BE36" s="1">
        <f t="shared" si="11"/>
        <v>-3.8033325632508275E-2</v>
      </c>
    </row>
    <row r="37" spans="2:57" x14ac:dyDescent="0.2">
      <c r="B37" s="13" t="s">
        <v>51</v>
      </c>
      <c r="C37" s="12" t="s">
        <v>45</v>
      </c>
      <c r="D37" s="12">
        <v>0</v>
      </c>
      <c r="E37" s="12">
        <v>0.26319999999999999</v>
      </c>
      <c r="F37" s="12"/>
      <c r="G37" s="12"/>
      <c r="H37" s="12">
        <v>1.9815</v>
      </c>
      <c r="I37" s="24">
        <f t="shared" si="5"/>
        <v>1.9815</v>
      </c>
      <c r="J37" s="12">
        <v>1.7170000000000001</v>
      </c>
      <c r="K37" s="12">
        <v>1.0868140084635931</v>
      </c>
      <c r="L37" s="12">
        <v>0.1736986434310869</v>
      </c>
      <c r="M37" s="12">
        <v>520155.64</v>
      </c>
      <c r="N37" s="12">
        <v>279265.62</v>
      </c>
      <c r="O37" s="12">
        <v>1.67</v>
      </c>
      <c r="Q37" s="15">
        <v>109.479795</v>
      </c>
      <c r="R37" s="15">
        <v>-47.70091</v>
      </c>
      <c r="S37" s="15">
        <v>170</v>
      </c>
      <c r="T37" s="15">
        <v>99.632842999999994</v>
      </c>
      <c r="U37" s="15">
        <v>113.227017</v>
      </c>
      <c r="V37" s="15">
        <v>88.855315000000004</v>
      </c>
      <c r="W37" s="15">
        <v>38.218446</v>
      </c>
      <c r="Y37" t="str">
        <f t="shared" si="12"/>
        <v>CA_Gasoline_Gasification_Non_CCS_Herb</v>
      </c>
      <c r="Z37" t="str">
        <f t="shared" si="13"/>
        <v>Biomass_Herb</v>
      </c>
      <c r="AA37" s="11">
        <f>SUM(AD37:AI37)+AK37+AL37</f>
        <v>75.574539300310619</v>
      </c>
      <c r="AB37" s="11">
        <f>SUM(AD37:AI37)+AN37+AO37</f>
        <v>75.574539300310619</v>
      </c>
      <c r="AC37" s="5">
        <f t="shared" si="14"/>
        <v>0</v>
      </c>
      <c r="AD37">
        <f t="shared" si="15"/>
        <v>0</v>
      </c>
      <c r="AE37">
        <f t="shared" si="16"/>
        <v>5.076505166389099</v>
      </c>
      <c r="AF37" s="1" cm="1">
        <f t="array" ref="AF37">_xlfn.IFS(C37="Biomass_Corn", 1/H37*S37, C37="Biomass_Agri", 1/H37*V37, C37="Biomass_Wood", 1/H37*U37, C37="Biomass_Herb", 1/H37*T37)</f>
        <v>50.281525611910162</v>
      </c>
      <c r="AG37">
        <f>M37/H37/(0.9*8760)</f>
        <v>33.296042681972118</v>
      </c>
      <c r="AH37">
        <f>N37/H37/(0.9*8760)</f>
        <v>17.876264887039209</v>
      </c>
      <c r="AI37">
        <f>O37/H37</f>
        <v>0.84279586172091847</v>
      </c>
      <c r="AJ37" s="1">
        <f t="shared" si="6"/>
        <v>1.9052973532263397E-2</v>
      </c>
      <c r="AK37" s="1">
        <f t="shared" si="7"/>
        <v>-33.884510545173519</v>
      </c>
      <c r="AL37">
        <f>AJ37*Q37</f>
        <v>2.0859156364526226</v>
      </c>
      <c r="AM37" s="1">
        <f t="shared" si="8"/>
        <v>-0.52942747484704167</v>
      </c>
      <c r="AN37" s="1">
        <f t="shared" si="9"/>
        <v>26.163016504900877</v>
      </c>
      <c r="AO37">
        <f>AM37*Q37</f>
        <v>-57.961611413621775</v>
      </c>
      <c r="AQ37" s="9">
        <f>J37</f>
        <v>1.7170000000000001</v>
      </c>
      <c r="AR37" s="9">
        <v>0.243968185</v>
      </c>
      <c r="AS37" s="9">
        <v>0.24942761299999999</v>
      </c>
      <c r="AT37" s="10">
        <v>0.24635668499999999</v>
      </c>
      <c r="AU37" s="9">
        <v>0.23037490999999999</v>
      </c>
      <c r="AW37" s="10">
        <f t="shared" si="10"/>
        <v>1.7170000000000001</v>
      </c>
      <c r="AY37" s="10">
        <f>AR37*F37</f>
        <v>0</v>
      </c>
      <c r="AZ37" s="10">
        <f>AS37*H37</f>
        <v>0.49424081515949997</v>
      </c>
      <c r="BA37" s="10">
        <f>AT37*G37</f>
        <v>0</v>
      </c>
      <c r="BB37" s="10">
        <f>L37</f>
        <v>0.1736986434310869</v>
      </c>
      <c r="BC37" s="10">
        <f>K37</f>
        <v>1.0868140084635931</v>
      </c>
      <c r="BE37" s="1">
        <f t="shared" si="11"/>
        <v>-3.7753467054179923E-2</v>
      </c>
    </row>
    <row r="38" spans="2:57" x14ac:dyDescent="0.2">
      <c r="B38" s="13" t="s">
        <v>51</v>
      </c>
      <c r="C38" s="12" t="s">
        <v>45</v>
      </c>
      <c r="D38" s="12">
        <v>0</v>
      </c>
      <c r="E38" s="12">
        <v>0.26319999999999999</v>
      </c>
      <c r="F38" s="12"/>
      <c r="G38" s="12"/>
      <c r="H38" s="12">
        <v>1.9761</v>
      </c>
      <c r="I38" s="24">
        <f t="shared" si="5"/>
        <v>1.9761</v>
      </c>
      <c r="J38" s="12">
        <v>1.714</v>
      </c>
      <c r="K38" s="12">
        <v>1.085308681517265</v>
      </c>
      <c r="L38" s="12">
        <v>0.1734580564985839</v>
      </c>
      <c r="M38" s="12">
        <v>520155.64</v>
      </c>
      <c r="N38" s="12">
        <v>279265.62</v>
      </c>
      <c r="O38" s="12">
        <v>1.67</v>
      </c>
      <c r="Q38" s="15">
        <v>109.479795</v>
      </c>
      <c r="R38" s="15">
        <v>-21.506692000000001</v>
      </c>
      <c r="S38" s="15">
        <v>170</v>
      </c>
      <c r="T38" s="15">
        <v>137.93464800000001</v>
      </c>
      <c r="U38" s="15">
        <v>157.881351</v>
      </c>
      <c r="V38" s="15">
        <v>111.364845</v>
      </c>
      <c r="W38" s="15">
        <v>20.230252</v>
      </c>
      <c r="Y38" t="str">
        <f t="shared" si="12"/>
        <v>CA_Gasoline_Gasification_Non_CCS_Herb</v>
      </c>
      <c r="Z38" t="str">
        <f t="shared" si="13"/>
        <v>Biomass_Herb</v>
      </c>
      <c r="AA38" s="11">
        <f>SUM(AD38:AI38)+AK38+AL38</f>
        <v>78.423300916099336</v>
      </c>
      <c r="AB38" s="11">
        <f>SUM(AD38:AI38)+AN38+AO38</f>
        <v>78.423300916099308</v>
      </c>
      <c r="AC38" s="5">
        <f t="shared" si="14"/>
        <v>0</v>
      </c>
      <c r="AD38">
        <f t="shared" si="15"/>
        <v>0</v>
      </c>
      <c r="AE38">
        <f t="shared" si="16"/>
        <v>2.6945004434998232</v>
      </c>
      <c r="AF38" s="1" cm="1">
        <f t="array" ref="AF38">_xlfn.IFS(C38="Biomass_Corn", 1/H38*S38, C38="Biomass_Agri", 1/H38*V38, C38="Biomass_Wood", 1/H38*U38, C38="Biomass_Herb", 1/H38*T38)</f>
        <v>69.801451343555485</v>
      </c>
      <c r="AG38">
        <f>M38/H38/(0.9*8760)</f>
        <v>33.387029287145261</v>
      </c>
      <c r="AH38">
        <f>N38/H38/(0.9*8760)</f>
        <v>17.925114555775615</v>
      </c>
      <c r="AI38">
        <f>O38/H38</f>
        <v>0.84509893224027122</v>
      </c>
      <c r="AJ38" s="1">
        <f t="shared" si="6"/>
        <v>1.9058065920322362E-2</v>
      </c>
      <c r="AK38" s="1">
        <f t="shared" si="7"/>
        <v>-48.316366796170506</v>
      </c>
      <c r="AL38">
        <f>AJ38*Q38</f>
        <v>2.0864731500533784</v>
      </c>
      <c r="AM38" s="1">
        <f t="shared" si="8"/>
        <v>-0.5301594238409576</v>
      </c>
      <c r="AN38" s="1">
        <f t="shared" si="9"/>
        <v>11.811851393308999</v>
      </c>
      <c r="AO38">
        <f>AM38*Q38</f>
        <v>-58.041745039426146</v>
      </c>
      <c r="AQ38" s="9">
        <f>J38</f>
        <v>1.714</v>
      </c>
      <c r="AR38" s="9">
        <v>0.243968185</v>
      </c>
      <c r="AS38" s="9">
        <v>0.24942761299999999</v>
      </c>
      <c r="AT38" s="10">
        <v>0.24635668499999999</v>
      </c>
      <c r="AU38" s="9">
        <v>0.23037490999999999</v>
      </c>
      <c r="AW38" s="10">
        <f t="shared" si="10"/>
        <v>1.714</v>
      </c>
      <c r="AY38" s="10">
        <f>AR38*F38</f>
        <v>0</v>
      </c>
      <c r="AZ38" s="10">
        <f>AS38*H38</f>
        <v>0.4928939060493</v>
      </c>
      <c r="BA38" s="10">
        <f>AT38*G38</f>
        <v>0</v>
      </c>
      <c r="BB38" s="10">
        <f>L38</f>
        <v>0.1734580564985839</v>
      </c>
      <c r="BC38" s="10">
        <f>K38</f>
        <v>1.085308681517265</v>
      </c>
      <c r="BE38" s="1">
        <f t="shared" si="11"/>
        <v>-3.7660644065149018E-2</v>
      </c>
    </row>
    <row r="39" spans="2:57" x14ac:dyDescent="0.2">
      <c r="B39" s="13" t="s">
        <v>51</v>
      </c>
      <c r="C39" s="12" t="s">
        <v>46</v>
      </c>
      <c r="D39" s="12">
        <v>0</v>
      </c>
      <c r="E39" s="12">
        <v>0.26319999999999999</v>
      </c>
      <c r="F39" s="12"/>
      <c r="G39" s="12"/>
      <c r="H39" s="12">
        <v>2.0762</v>
      </c>
      <c r="I39" s="24">
        <f t="shared" si="5"/>
        <v>2.0762</v>
      </c>
      <c r="J39" s="12">
        <v>1.802</v>
      </c>
      <c r="K39" s="12">
        <v>1.1412868573297099</v>
      </c>
      <c r="L39" s="12">
        <v>0.18240469605663889</v>
      </c>
      <c r="M39" s="12">
        <v>520155.64</v>
      </c>
      <c r="N39" s="12">
        <v>279265.62</v>
      </c>
      <c r="O39" s="12">
        <v>1.67</v>
      </c>
      <c r="Q39" s="15">
        <v>109.479795</v>
      </c>
      <c r="R39" s="15">
        <v>-31.70346</v>
      </c>
      <c r="S39" s="15">
        <v>170</v>
      </c>
      <c r="T39" s="15">
        <v>110.461518</v>
      </c>
      <c r="U39" s="15">
        <v>127.408748</v>
      </c>
      <c r="V39" s="15">
        <v>98.832477999999995</v>
      </c>
      <c r="W39" s="15">
        <v>25.324636999999999</v>
      </c>
      <c r="Y39" t="str">
        <f t="shared" si="12"/>
        <v>CA_Gasoline_Gasification_Non_CCS_Herb</v>
      </c>
      <c r="Z39" t="str">
        <f t="shared" si="13"/>
        <v>Biomass_Wood</v>
      </c>
      <c r="AA39" s="11">
        <f>SUM(AD39:AI39)+AK39+AL39</f>
        <v>73.551335705072049</v>
      </c>
      <c r="AB39" s="11">
        <f>SUM(AD39:AI39)+AN39+AO39</f>
        <v>73.551335705072063</v>
      </c>
      <c r="AC39" s="5">
        <f t="shared" si="14"/>
        <v>0</v>
      </c>
      <c r="AD39">
        <f t="shared" si="15"/>
        <v>0</v>
      </c>
      <c r="AE39">
        <f t="shared" si="16"/>
        <v>3.2104057693863788</v>
      </c>
      <c r="AF39" s="1" cm="1">
        <f t="array" ref="AF39">_xlfn.IFS(C39="Biomass_Corn", 1/H39*S39, C39="Biomass_Agri", 1/H39*V39, C39="Biomass_Wood", 1/H39*U39, C39="Biomass_Herb", 1/H39*T39)</f>
        <v>61.366317310471054</v>
      </c>
      <c r="AG39">
        <f>M39/H39/(0.9*8760)</f>
        <v>31.777337720030705</v>
      </c>
      <c r="AH39">
        <f>N39/H39/(0.9*8760)</f>
        <v>17.06088954516337</v>
      </c>
      <c r="AI39">
        <f>O39/H39</f>
        <v>0.8043541084673923</v>
      </c>
      <c r="AJ39" s="1">
        <f t="shared" si="6"/>
        <v>1.9050748240510836E-2</v>
      </c>
      <c r="AK39" s="1">
        <f t="shared" si="7"/>
        <v>-42.753640760414562</v>
      </c>
      <c r="AL39">
        <f>AJ39*Q39</f>
        <v>2.0856720119677368</v>
      </c>
      <c r="AM39" s="1">
        <f t="shared" si="8"/>
        <v>-0.53064911561157946</v>
      </c>
      <c r="AN39" s="1">
        <f t="shared" si="9"/>
        <v>17.427387645640191</v>
      </c>
      <c r="AO39">
        <f>AM39*Q39</f>
        <v>-58.09535639408702</v>
      </c>
      <c r="AQ39" s="9">
        <f>J39</f>
        <v>1.802</v>
      </c>
      <c r="AR39" s="9">
        <v>0.243968185</v>
      </c>
      <c r="AS39" s="9">
        <v>0.24942761299999999</v>
      </c>
      <c r="AT39" s="10">
        <v>0.24635668499999999</v>
      </c>
      <c r="AU39" s="9">
        <v>0.23037490999999999</v>
      </c>
      <c r="AW39" s="10">
        <f t="shared" si="10"/>
        <v>1.802</v>
      </c>
      <c r="AY39" s="10">
        <f>AR39*F39</f>
        <v>0</v>
      </c>
      <c r="AZ39" s="10">
        <f>AS39*H39</f>
        <v>0.51786161011059995</v>
      </c>
      <c r="BA39" s="10">
        <f>AT39*G39</f>
        <v>0</v>
      </c>
      <c r="BB39" s="10">
        <f>L39</f>
        <v>0.18240469605663889</v>
      </c>
      <c r="BC39" s="10">
        <f>K39</f>
        <v>1.1412868573297099</v>
      </c>
      <c r="BE39" s="1">
        <f t="shared" si="11"/>
        <v>-3.9553163496948596E-2</v>
      </c>
    </row>
    <row r="40" spans="2:57" x14ac:dyDescent="0.2">
      <c r="B40" s="13" t="s">
        <v>51</v>
      </c>
      <c r="C40" s="12" t="s">
        <v>46</v>
      </c>
      <c r="D40" s="12">
        <v>0</v>
      </c>
      <c r="E40" s="12">
        <v>0.26319999999999999</v>
      </c>
      <c r="F40" s="12"/>
      <c r="G40" s="12"/>
      <c r="H40" s="12">
        <v>2.0697000000000001</v>
      </c>
      <c r="I40" s="24">
        <f t="shared" si="5"/>
        <v>2.0697000000000001</v>
      </c>
      <c r="J40" s="12">
        <v>1.806</v>
      </c>
      <c r="K40" s="12">
        <v>1.1460331849941161</v>
      </c>
      <c r="L40" s="12">
        <v>0.1831632717376353</v>
      </c>
      <c r="M40" s="12">
        <v>520155.64</v>
      </c>
      <c r="N40" s="12">
        <v>279265.62</v>
      </c>
      <c r="O40" s="12">
        <v>1.67</v>
      </c>
      <c r="Q40" s="15">
        <v>109.479795</v>
      </c>
      <c r="R40" s="15">
        <v>-54.115442999999999</v>
      </c>
      <c r="S40" s="15">
        <v>170</v>
      </c>
      <c r="T40" s="15">
        <v>100.77374399999999</v>
      </c>
      <c r="U40" s="15">
        <v>108.668072</v>
      </c>
      <c r="V40" s="15">
        <v>89.424565000000001</v>
      </c>
      <c r="W40" s="15">
        <v>39.359471999999997</v>
      </c>
      <c r="Y40" t="str">
        <f t="shared" si="12"/>
        <v>CA_Gasoline_Gasification_Non_CCS_Herb</v>
      </c>
      <c r="Z40" t="str">
        <f t="shared" si="13"/>
        <v>Biomass_Wood</v>
      </c>
      <c r="AA40" s="11">
        <f>SUM(AD40:AI40)+AK40+AL40</f>
        <v>78.737768380005193</v>
      </c>
      <c r="AB40" s="11">
        <f>SUM(AD40:AI40)+AN40+AO40</f>
        <v>78.737768380005207</v>
      </c>
      <c r="AC40" s="5">
        <f t="shared" si="14"/>
        <v>0</v>
      </c>
      <c r="AD40">
        <f t="shared" si="15"/>
        <v>0</v>
      </c>
      <c r="AE40">
        <f t="shared" si="16"/>
        <v>5.0052727595303663</v>
      </c>
      <c r="AF40" s="1" cm="1">
        <f t="array" ref="AF40">_xlfn.IFS(C40="Biomass_Corn", 1/H40*S40, C40="Biomass_Agri", 1/H40*V40, C40="Biomass_Wood", 1/H40*U40, C40="Biomass_Herb", 1/H40*T40)</f>
        <v>52.50426245349567</v>
      </c>
      <c r="AG40">
        <f>M40/H40/(0.9*8760)</f>
        <v>31.877136094278278</v>
      </c>
      <c r="AH40">
        <f>N40/H40/(0.9*8760)</f>
        <v>17.114470152035651</v>
      </c>
      <c r="AI40">
        <f>O40/H40</f>
        <v>0.80688022418708016</v>
      </c>
      <c r="AJ40" s="1">
        <f t="shared" si="6"/>
        <v>1.9054349595521759E-2</v>
      </c>
      <c r="AK40" s="1">
        <f t="shared" si="7"/>
        <v>-30.656319591097915</v>
      </c>
      <c r="AL40">
        <f>AJ40*Q40</f>
        <v>2.0860662875760552</v>
      </c>
      <c r="AM40" s="1">
        <f t="shared" si="8"/>
        <v>-0.53466511940680517</v>
      </c>
      <c r="AN40" s="1">
        <f t="shared" si="9"/>
        <v>29.96477436278569</v>
      </c>
      <c r="AO40">
        <f>AM40*Q40</f>
        <v>-58.535027666307549</v>
      </c>
      <c r="AQ40" s="9">
        <f>J40</f>
        <v>1.806</v>
      </c>
      <c r="AR40" s="9">
        <v>0.243968185</v>
      </c>
      <c r="AS40" s="9">
        <v>0.24942761299999999</v>
      </c>
      <c r="AT40" s="10">
        <v>0.24635668499999999</v>
      </c>
      <c r="AU40" s="9">
        <v>0.23037490999999999</v>
      </c>
      <c r="AW40" s="10">
        <f t="shared" si="10"/>
        <v>1.806</v>
      </c>
      <c r="AY40" s="10">
        <f>AR40*F40</f>
        <v>0</v>
      </c>
      <c r="AZ40" s="10">
        <f>AS40*H40</f>
        <v>0.51624033062609997</v>
      </c>
      <c r="BA40" s="10">
        <f>AT40*G40</f>
        <v>0</v>
      </c>
      <c r="BB40" s="10">
        <f>L40</f>
        <v>0.1831632717376353</v>
      </c>
      <c r="BC40" s="10">
        <f>K40</f>
        <v>1.1460331849941161</v>
      </c>
      <c r="BE40" s="1">
        <f t="shared" si="11"/>
        <v>-3.9436787357851388E-2</v>
      </c>
    </row>
    <row r="41" spans="2:57" x14ac:dyDescent="0.2">
      <c r="B41" s="13" t="s">
        <v>51</v>
      </c>
      <c r="C41" s="12" t="s">
        <v>46</v>
      </c>
      <c r="D41" s="12">
        <v>0</v>
      </c>
      <c r="E41" s="12">
        <v>0.26319999999999999</v>
      </c>
      <c r="F41" s="12"/>
      <c r="G41" s="12"/>
      <c r="H41" s="12">
        <v>2.0750999999999999</v>
      </c>
      <c r="I41" s="24">
        <f t="shared" si="5"/>
        <v>2.0750999999999999</v>
      </c>
      <c r="J41" s="12">
        <v>1.802</v>
      </c>
      <c r="K41" s="12">
        <v>1.141503111940444</v>
      </c>
      <c r="L41" s="12">
        <v>0.1824392586701383</v>
      </c>
      <c r="M41" s="12">
        <v>520155.64</v>
      </c>
      <c r="N41" s="12">
        <v>279265.62</v>
      </c>
      <c r="O41" s="12">
        <v>1.67</v>
      </c>
      <c r="Q41" s="15">
        <v>109.479795</v>
      </c>
      <c r="R41" s="15">
        <v>-41.717134999999999</v>
      </c>
      <c r="S41" s="15">
        <v>170</v>
      </c>
      <c r="T41" s="15">
        <v>104.167382</v>
      </c>
      <c r="U41" s="15">
        <v>115.52638899999999</v>
      </c>
      <c r="V41" s="15">
        <v>92.044978</v>
      </c>
      <c r="W41" s="15">
        <v>30.708172999999999</v>
      </c>
      <c r="Y41" t="str">
        <f t="shared" si="12"/>
        <v>CA_Gasoline_Gasification_Non_CCS_Herb</v>
      </c>
      <c r="Z41" t="str">
        <f t="shared" si="13"/>
        <v>Biomass_Wood</v>
      </c>
      <c r="AA41" s="11">
        <f>SUM(AD41:AI41)+AK41+AL41</f>
        <v>74.046124984550261</v>
      </c>
      <c r="AB41" s="11">
        <f>SUM(AD41:AI41)+AN41+AO41</f>
        <v>74.046124984550261</v>
      </c>
      <c r="AC41" s="5">
        <f t="shared" si="14"/>
        <v>0</v>
      </c>
      <c r="AD41">
        <f t="shared" si="15"/>
        <v>0</v>
      </c>
      <c r="AE41">
        <f t="shared" si="16"/>
        <v>3.8949405491783522</v>
      </c>
      <c r="AF41" s="1" cm="1">
        <f t="array" ref="AF41">_xlfn.IFS(C41="Biomass_Corn", 1/H41*S41, C41="Biomass_Agri", 1/H41*V41, C41="Biomass_Wood", 1/H41*U41, C41="Biomass_Herb", 1/H41*T41)</f>
        <v>55.672685171798946</v>
      </c>
      <c r="AG41">
        <f>M41/H41/(0.9*8760)</f>
        <v>31.794182725809723</v>
      </c>
      <c r="AH41">
        <f>N41/H41/(0.9*8760)</f>
        <v>17.069933436300992</v>
      </c>
      <c r="AI41">
        <f>O41/H41</f>
        <v>0.80478049250638517</v>
      </c>
      <c r="AJ41" s="1">
        <f t="shared" si="6"/>
        <v>1.9049496576975709E-2</v>
      </c>
      <c r="AK41" s="1">
        <f t="shared" si="7"/>
        <v>-37.275932371144641</v>
      </c>
      <c r="AL41">
        <f>AJ41*Q41</f>
        <v>2.0855349801005021</v>
      </c>
      <c r="AM41" s="1">
        <f t="shared" si="8"/>
        <v>-0.53104597445595969</v>
      </c>
      <c r="AN41" s="1">
        <f t="shared" si="9"/>
        <v>22.948407027969552</v>
      </c>
      <c r="AO41">
        <f>AM41*Q41</f>
        <v>-58.138804419013702</v>
      </c>
      <c r="AQ41" s="9">
        <f>J41</f>
        <v>1.802</v>
      </c>
      <c r="AR41" s="9">
        <v>0.243968185</v>
      </c>
      <c r="AS41" s="9">
        <v>0.24942761299999999</v>
      </c>
      <c r="AT41" s="10">
        <v>0.24635668499999999</v>
      </c>
      <c r="AU41" s="9">
        <v>0.23037490999999999</v>
      </c>
      <c r="AW41" s="10">
        <f t="shared" si="10"/>
        <v>1.802</v>
      </c>
      <c r="AY41" s="10">
        <f>AR41*F41</f>
        <v>0</v>
      </c>
      <c r="AZ41" s="10">
        <f>AS41*H41</f>
        <v>0.51758723973629994</v>
      </c>
      <c r="BA41" s="10">
        <f>AT41*G41</f>
        <v>0</v>
      </c>
      <c r="BB41" s="10">
        <f>L41</f>
        <v>0.1824392586701383</v>
      </c>
      <c r="BC41" s="10">
        <f>K41</f>
        <v>1.141503111940444</v>
      </c>
      <c r="BE41" s="1">
        <f t="shared" si="11"/>
        <v>-3.9529610346882293E-2</v>
      </c>
    </row>
    <row r="42" spans="2:57" x14ac:dyDescent="0.2">
      <c r="B42" s="13" t="s">
        <v>51</v>
      </c>
      <c r="C42" s="12" t="s">
        <v>46</v>
      </c>
      <c r="D42" s="12">
        <v>0</v>
      </c>
      <c r="E42" s="12">
        <v>0.26319999999999999</v>
      </c>
      <c r="F42" s="12"/>
      <c r="G42" s="12"/>
      <c r="H42" s="12">
        <v>2.0838000000000001</v>
      </c>
      <c r="I42" s="24">
        <f t="shared" si="5"/>
        <v>2.0838000000000001</v>
      </c>
      <c r="J42" s="12">
        <v>1.821</v>
      </c>
      <c r="K42" s="12">
        <v>1.15615487505457</v>
      </c>
      <c r="L42" s="12">
        <v>0.18478095776214309</v>
      </c>
      <c r="M42" s="12">
        <v>520155.64</v>
      </c>
      <c r="N42" s="12">
        <v>279265.62</v>
      </c>
      <c r="O42" s="12">
        <v>1.67</v>
      </c>
      <c r="Q42" s="15">
        <v>109.479795</v>
      </c>
      <c r="R42" s="15">
        <v>-47.70091</v>
      </c>
      <c r="S42" s="15">
        <v>170</v>
      </c>
      <c r="T42" s="15">
        <v>99.632842999999994</v>
      </c>
      <c r="U42" s="15">
        <v>113.227017</v>
      </c>
      <c r="V42" s="15">
        <v>88.855315000000004</v>
      </c>
      <c r="W42" s="15">
        <v>38.218446</v>
      </c>
      <c r="Y42" t="str">
        <f t="shared" si="12"/>
        <v>CA_Gasoline_Gasification_Non_CCS_Herb</v>
      </c>
      <c r="Z42" t="str">
        <f t="shared" si="13"/>
        <v>Biomass_Wood</v>
      </c>
      <c r="AA42" s="11">
        <f>SUM(AD42:AI42)+AK42+AL42</f>
        <v>76.434241303459999</v>
      </c>
      <c r="AB42" s="11">
        <f>SUM(AD42:AI42)+AN42+AO42</f>
        <v>76.434241303459999</v>
      </c>
      <c r="AC42" s="5">
        <f t="shared" si="14"/>
        <v>0</v>
      </c>
      <c r="AD42">
        <f t="shared" si="15"/>
        <v>0</v>
      </c>
      <c r="AE42">
        <f t="shared" si="16"/>
        <v>4.8272842821767918</v>
      </c>
      <c r="AF42" s="1" cm="1">
        <f t="array" ref="AF42">_xlfn.IFS(C42="Biomass_Corn", 1/H42*S42, C42="Biomass_Agri", 1/H42*V42, C42="Biomass_Wood", 1/H42*U42, C42="Biomass_Herb", 1/H42*T42)</f>
        <v>54.336796717535272</v>
      </c>
      <c r="AG42">
        <f>M42/H42/(0.9*8760)</f>
        <v>31.661439953127818</v>
      </c>
      <c r="AH42">
        <f>N42/H42/(0.9*8760)</f>
        <v>16.998665358320466</v>
      </c>
      <c r="AI42">
        <f>O42/H42</f>
        <v>0.80142048181207404</v>
      </c>
      <c r="AJ42" s="1">
        <f t="shared" si="6"/>
        <v>1.9048417691771385E-2</v>
      </c>
      <c r="AK42" s="1">
        <f t="shared" si="7"/>
        <v>-34.276782353481927</v>
      </c>
      <c r="AL42">
        <f>AJ42*Q42</f>
        <v>2.0854168639695043</v>
      </c>
      <c r="AM42" s="1">
        <f t="shared" si="8"/>
        <v>-0.5357816404014093</v>
      </c>
      <c r="AN42" s="1">
        <f t="shared" si="9"/>
        <v>26.465898666397589</v>
      </c>
      <c r="AO42">
        <f>AM42*Q42</f>
        <v>-58.657264155910006</v>
      </c>
      <c r="AQ42" s="9">
        <f>J42</f>
        <v>1.821</v>
      </c>
      <c r="AR42" s="9">
        <v>0.243968185</v>
      </c>
      <c r="AS42" s="9">
        <v>0.24942761299999999</v>
      </c>
      <c r="AT42" s="10">
        <v>0.24635668499999999</v>
      </c>
      <c r="AU42" s="9">
        <v>0.23037490999999999</v>
      </c>
      <c r="AW42" s="10">
        <f t="shared" si="10"/>
        <v>1.821</v>
      </c>
      <c r="AY42" s="10">
        <f>AR42*F42</f>
        <v>0</v>
      </c>
      <c r="AZ42" s="10">
        <f>AS42*H42</f>
        <v>0.51975725996940003</v>
      </c>
      <c r="BA42" s="10">
        <f>AT42*G42</f>
        <v>0</v>
      </c>
      <c r="BB42" s="10">
        <f>L42</f>
        <v>0.18478095776214309</v>
      </c>
      <c r="BC42" s="10">
        <f>K42</f>
        <v>1.15615487505457</v>
      </c>
      <c r="BE42" s="1">
        <f t="shared" si="11"/>
        <v>-3.9693092786113215E-2</v>
      </c>
    </row>
    <row r="43" spans="2:57" x14ac:dyDescent="0.2">
      <c r="B43" s="13" t="s">
        <v>51</v>
      </c>
      <c r="C43" s="12" t="s">
        <v>46</v>
      </c>
      <c r="D43" s="12">
        <v>0</v>
      </c>
      <c r="E43" s="12">
        <v>0.26319999999999999</v>
      </c>
      <c r="F43" s="12"/>
      <c r="G43" s="12"/>
      <c r="H43" s="12">
        <v>2.0577000000000001</v>
      </c>
      <c r="I43" s="24">
        <f t="shared" si="5"/>
        <v>2.0577000000000001</v>
      </c>
      <c r="J43" s="12">
        <v>1.821</v>
      </c>
      <c r="K43" s="12">
        <v>1.1613449857121929</v>
      </c>
      <c r="L43" s="12">
        <v>0.1856104604861287</v>
      </c>
      <c r="M43" s="12">
        <v>520155.64</v>
      </c>
      <c r="N43" s="12">
        <v>279265.62</v>
      </c>
      <c r="O43" s="12">
        <v>1.67</v>
      </c>
      <c r="Q43" s="15">
        <v>109.479795</v>
      </c>
      <c r="R43" s="15">
        <v>-21.506692000000001</v>
      </c>
      <c r="S43" s="15">
        <v>170</v>
      </c>
      <c r="T43" s="15">
        <v>137.93464800000001</v>
      </c>
      <c r="U43" s="15">
        <v>157.881351</v>
      </c>
      <c r="V43" s="15">
        <v>111.364845</v>
      </c>
      <c r="W43" s="15">
        <v>20.230252</v>
      </c>
      <c r="Y43" t="str">
        <f t="shared" si="12"/>
        <v>CA_Gasoline_Gasification_Non_CCS_Herb</v>
      </c>
      <c r="Z43" t="str">
        <f t="shared" si="13"/>
        <v>Biomass_Wood</v>
      </c>
      <c r="AA43" s="11">
        <f>SUM(AD43:AI43)+AK43+AL43</f>
        <v>81.838293394150838</v>
      </c>
      <c r="AB43" s="11">
        <f>SUM(AD43:AI43)+AN43+AO43</f>
        <v>81.838293394150838</v>
      </c>
      <c r="AC43" s="5">
        <f t="shared" si="14"/>
        <v>0</v>
      </c>
      <c r="AD43">
        <f t="shared" si="15"/>
        <v>0</v>
      </c>
      <c r="AE43">
        <f t="shared" si="16"/>
        <v>2.5876475319045533</v>
      </c>
      <c r="AF43" s="1" cm="1">
        <f t="array" ref="AF43">_xlfn.IFS(C43="Biomass_Corn", 1/H43*S43, C43="Biomass_Agri", 1/H43*V43, C43="Biomass_Wood", 1/H43*U43, C43="Biomass_Herb", 1/H43*T43)</f>
        <v>76.727098702434745</v>
      </c>
      <c r="AG43">
        <f>M43/H43/(0.9*8760)</f>
        <v>32.063035707016454</v>
      </c>
      <c r="AH43">
        <f>N43/H43/(0.9*8760)</f>
        <v>17.214277530090971</v>
      </c>
      <c r="AI43">
        <f>O43/H43</f>
        <v>0.81158575108130426</v>
      </c>
      <c r="AJ43" s="1">
        <f t="shared" si="6"/>
        <v>1.9051681716684435E-2</v>
      </c>
      <c r="AK43" s="1">
        <f t="shared" si="7"/>
        <v>-49.651126037125074</v>
      </c>
      <c r="AL43">
        <f>AJ43*Q43</f>
        <v>2.0857742087478601</v>
      </c>
      <c r="AM43" s="1">
        <f t="shared" si="8"/>
        <v>-0.54533816408794822</v>
      </c>
      <c r="AN43" s="1">
        <f t="shared" si="9"/>
        <v>12.13815858164773</v>
      </c>
      <c r="AO43">
        <f>AM43*Q43</f>
        <v>-59.703510410024933</v>
      </c>
      <c r="AQ43" s="9">
        <f>J43</f>
        <v>1.821</v>
      </c>
      <c r="AR43" s="9">
        <v>0.243968185</v>
      </c>
      <c r="AS43" s="9">
        <v>0.24942761299999999</v>
      </c>
      <c r="AT43" s="10">
        <v>0.24635668499999999</v>
      </c>
      <c r="AU43" s="9">
        <v>0.23037490999999999</v>
      </c>
      <c r="AW43" s="10">
        <f t="shared" si="10"/>
        <v>1.821</v>
      </c>
      <c r="AY43" s="10">
        <f>AR43*F43</f>
        <v>0</v>
      </c>
      <c r="AZ43" s="10">
        <f>AS43*H43</f>
        <v>0.51324719927009999</v>
      </c>
      <c r="BA43" s="10">
        <f>AT43*G43</f>
        <v>0</v>
      </c>
      <c r="BB43" s="10">
        <f>L43</f>
        <v>0.1856104604861287</v>
      </c>
      <c r="BC43" s="10">
        <f>K43</f>
        <v>1.1613449857121929</v>
      </c>
      <c r="BE43" s="1">
        <f t="shared" si="11"/>
        <v>-3.920264546842156E-2</v>
      </c>
    </row>
    <row r="44" spans="2:57" x14ac:dyDescent="0.2">
      <c r="B44" s="13" t="s">
        <v>51</v>
      </c>
      <c r="C44" s="12" t="s">
        <v>47</v>
      </c>
      <c r="D44" s="12">
        <v>0</v>
      </c>
      <c r="E44" s="12">
        <v>0.26319999999999999</v>
      </c>
      <c r="F44" s="12"/>
      <c r="G44" s="12"/>
      <c r="H44" s="12">
        <v>1.8694</v>
      </c>
      <c r="I44" s="24">
        <f t="shared" si="5"/>
        <v>1.8694</v>
      </c>
      <c r="J44" s="12">
        <v>1.7</v>
      </c>
      <c r="K44" s="12">
        <v>1.094430833369225</v>
      </c>
      <c r="L44" s="12">
        <v>0.17491599262152541</v>
      </c>
      <c r="M44" s="12">
        <v>520155.64</v>
      </c>
      <c r="N44" s="12">
        <v>279265.62</v>
      </c>
      <c r="O44" s="12">
        <v>1.67</v>
      </c>
      <c r="Q44" s="15">
        <v>109.479795</v>
      </c>
      <c r="R44" s="15">
        <v>-31.70346</v>
      </c>
      <c r="S44" s="15">
        <v>170</v>
      </c>
      <c r="T44" s="15">
        <v>110.461518</v>
      </c>
      <c r="U44" s="15">
        <v>127.408748</v>
      </c>
      <c r="V44" s="15">
        <v>98.832477999999995</v>
      </c>
      <c r="W44" s="15">
        <v>25.324636999999999</v>
      </c>
      <c r="Y44" t="str">
        <f t="shared" si="12"/>
        <v>CA_Gasoline_Gasification_Non_CCS_Herb</v>
      </c>
      <c r="Z44" t="str">
        <f t="shared" si="13"/>
        <v>Biomass_Agri</v>
      </c>
      <c r="AA44" s="11">
        <f>SUM(AD44:AI44)+AK44+AL44</f>
        <v>68.121026085423253</v>
      </c>
      <c r="AB44" s="11">
        <f>SUM(AD44:AI44)+AN44+AO44</f>
        <v>68.121026085423253</v>
      </c>
      <c r="AC44" s="5">
        <f t="shared" si="14"/>
        <v>0</v>
      </c>
      <c r="AD44">
        <f t="shared" si="15"/>
        <v>0</v>
      </c>
      <c r="AE44">
        <f t="shared" si="16"/>
        <v>3.5655528289290683</v>
      </c>
      <c r="AF44" s="1" cm="1">
        <f t="array" ref="AF44">_xlfn.IFS(C44="Biomass_Corn", 1/H44*S44, C44="Biomass_Agri", 1/H44*V44, C44="Biomass_Wood", 1/H44*U44, C44="Biomass_Herb", 1/H44*T44)</f>
        <v>52.868555686316462</v>
      </c>
      <c r="AG44">
        <f>M44/H44/(0.9*8760)</f>
        <v>35.292665333437341</v>
      </c>
      <c r="AH44">
        <f>N44/H44/(0.9*8760)</f>
        <v>18.94822877590039</v>
      </c>
      <c r="AI44">
        <f>O44/H44</f>
        <v>0.89333475981598376</v>
      </c>
      <c r="AJ44" s="1">
        <f t="shared" si="6"/>
        <v>1.9057882600273093E-2</v>
      </c>
      <c r="AK44" s="1">
        <f t="shared" si="7"/>
        <v>-45.533764379187978</v>
      </c>
      <c r="AL44">
        <f>AJ44*Q44</f>
        <v>2.0864530802119652</v>
      </c>
      <c r="AM44" s="1">
        <f t="shared" si="8"/>
        <v>-0.56638709085068706</v>
      </c>
      <c r="AN44" s="1">
        <f t="shared" si="9"/>
        <v>18.560631298003582</v>
      </c>
      <c r="AO44">
        <f>AM44*Q44</f>
        <v>-62.007942596979589</v>
      </c>
      <c r="AQ44" s="9">
        <f>J44</f>
        <v>1.7</v>
      </c>
      <c r="AR44" s="9">
        <v>0.243968185</v>
      </c>
      <c r="AS44" s="9">
        <v>0.24942761299999999</v>
      </c>
      <c r="AT44" s="10">
        <v>0.24635668499999999</v>
      </c>
      <c r="AU44" s="9">
        <v>0.23037490999999999</v>
      </c>
      <c r="AW44" s="10">
        <f t="shared" si="10"/>
        <v>1.7</v>
      </c>
      <c r="AY44" s="10">
        <f>AR44*F44</f>
        <v>0</v>
      </c>
      <c r="AZ44" s="10">
        <f>AS44*H44</f>
        <v>0.46627997974219998</v>
      </c>
      <c r="BA44" s="10">
        <f>AT44*G44</f>
        <v>0</v>
      </c>
      <c r="BB44" s="10">
        <f>L44</f>
        <v>0.17491599262152541</v>
      </c>
      <c r="BC44" s="10">
        <f>K44</f>
        <v>1.094430833369225</v>
      </c>
      <c r="BE44" s="1">
        <f t="shared" si="11"/>
        <v>-3.5626805732950517E-2</v>
      </c>
    </row>
    <row r="45" spans="2:57" x14ac:dyDescent="0.2">
      <c r="B45" s="13" t="s">
        <v>51</v>
      </c>
      <c r="C45" s="12" t="s">
        <v>47</v>
      </c>
      <c r="D45" s="12">
        <v>0</v>
      </c>
      <c r="E45" s="12">
        <v>0.26319999999999999</v>
      </c>
      <c r="F45" s="12"/>
      <c r="G45" s="12"/>
      <c r="H45" s="12">
        <v>1.8813</v>
      </c>
      <c r="I45" s="24">
        <f t="shared" si="5"/>
        <v>1.8813</v>
      </c>
      <c r="J45" s="12">
        <v>1.708</v>
      </c>
      <c r="K45" s="12">
        <v>1.0989496326511481</v>
      </c>
      <c r="L45" s="12">
        <v>0.175638203873032</v>
      </c>
      <c r="M45" s="12">
        <v>520155.64</v>
      </c>
      <c r="N45" s="12">
        <v>279265.62</v>
      </c>
      <c r="O45" s="12">
        <v>1.67</v>
      </c>
      <c r="Q45" s="15">
        <v>109.479795</v>
      </c>
      <c r="R45" s="15">
        <v>-54.115442999999999</v>
      </c>
      <c r="S45" s="15">
        <v>170</v>
      </c>
      <c r="T45" s="15">
        <v>100.77374399999999</v>
      </c>
      <c r="U45" s="15">
        <v>108.668072</v>
      </c>
      <c r="V45" s="15">
        <v>89.424565000000001</v>
      </c>
      <c r="W45" s="15">
        <v>39.359471999999997</v>
      </c>
      <c r="Y45" t="str">
        <f t="shared" si="12"/>
        <v>CA_Gasoline_Gasification_Non_CCS_Herb</v>
      </c>
      <c r="Z45" t="str">
        <f t="shared" si="13"/>
        <v>Biomass_Agri</v>
      </c>
      <c r="AA45" s="11">
        <f>SUM(AD45:AI45)+AK45+AL45</f>
        <v>77.570079015487764</v>
      </c>
      <c r="AB45" s="11">
        <f>SUM(AD45:AI45)+AN45+AO45</f>
        <v>77.570079015487778</v>
      </c>
      <c r="AC45" s="5">
        <f t="shared" si="14"/>
        <v>0</v>
      </c>
      <c r="AD45">
        <f t="shared" si="15"/>
        <v>0</v>
      </c>
      <c r="AE45">
        <f t="shared" si="16"/>
        <v>5.506518381119438</v>
      </c>
      <c r="AF45" s="1" cm="1">
        <f t="array" ref="AF45">_xlfn.IFS(C45="Biomass_Corn", 1/H45*S45, C45="Biomass_Agri", 1/H45*V45, C45="Biomass_Wood", 1/H45*U45, C45="Biomass_Herb", 1/H45*T45)</f>
        <v>47.53338914580344</v>
      </c>
      <c r="AG45">
        <f>M45/H45/(0.9*8760)</f>
        <v>35.069424639519347</v>
      </c>
      <c r="AH45">
        <f>N45/H45/(0.9*8760)</f>
        <v>18.828373398005734</v>
      </c>
      <c r="AI45">
        <f>O45/H45</f>
        <v>0.88768404826449798</v>
      </c>
      <c r="AJ45" s="1">
        <f t="shared" si="6"/>
        <v>1.9048532855514784E-2</v>
      </c>
      <c r="AK45" s="1">
        <f t="shared" si="7"/>
        <v>-32.340740069297212</v>
      </c>
      <c r="AL45">
        <f>AJ45*Q45</f>
        <v>2.0854294720725233</v>
      </c>
      <c r="AM45" s="1">
        <f t="shared" si="8"/>
        <v>-0.56509521489930792</v>
      </c>
      <c r="AN45" s="1">
        <f t="shared" si="9"/>
        <v>31.61119768543249</v>
      </c>
      <c r="AO45">
        <f>AM45*Q45</f>
        <v>-61.866508282657172</v>
      </c>
      <c r="AQ45" s="9">
        <f>J45</f>
        <v>1.708</v>
      </c>
      <c r="AR45" s="9">
        <v>0.243968185</v>
      </c>
      <c r="AS45" s="9">
        <v>0.24942761299999999</v>
      </c>
      <c r="AT45" s="10">
        <v>0.24635668499999999</v>
      </c>
      <c r="AU45" s="9">
        <v>0.23037490999999999</v>
      </c>
      <c r="AW45" s="10">
        <f t="shared" si="10"/>
        <v>1.708</v>
      </c>
      <c r="AY45" s="10">
        <f>AR45*F45</f>
        <v>0</v>
      </c>
      <c r="AZ45" s="10">
        <f>AS45*H45</f>
        <v>0.46924816833689997</v>
      </c>
      <c r="BA45" s="10">
        <f>AT45*G45</f>
        <v>0</v>
      </c>
      <c r="BB45" s="10">
        <f>L45</f>
        <v>0.175638203873032</v>
      </c>
      <c r="BC45" s="10">
        <f>K45</f>
        <v>1.0989496326511481</v>
      </c>
      <c r="BE45" s="1">
        <f t="shared" si="11"/>
        <v>-3.5836004861079962E-2</v>
      </c>
    </row>
    <row r="46" spans="2:57" x14ac:dyDescent="0.2">
      <c r="B46" s="13" t="s">
        <v>51</v>
      </c>
      <c r="C46" s="12" t="s">
        <v>47</v>
      </c>
      <c r="D46" s="12">
        <v>0</v>
      </c>
      <c r="E46" s="12">
        <v>0.26319999999999999</v>
      </c>
      <c r="F46" s="12"/>
      <c r="G46" s="12"/>
      <c r="H46" s="12">
        <v>1.8835</v>
      </c>
      <c r="I46" s="24">
        <f t="shared" si="5"/>
        <v>1.8835</v>
      </c>
      <c r="J46" s="12">
        <v>1.71</v>
      </c>
      <c r="K46" s="12">
        <v>1.100241523429679</v>
      </c>
      <c r="L46" s="12">
        <v>0.1758446786460332</v>
      </c>
      <c r="M46" s="12">
        <v>520155.64</v>
      </c>
      <c r="N46" s="12">
        <v>279265.62</v>
      </c>
      <c r="O46" s="12">
        <v>1.67</v>
      </c>
      <c r="Q46" s="15">
        <v>109.479795</v>
      </c>
      <c r="R46" s="15">
        <v>-41.717134999999999</v>
      </c>
      <c r="S46" s="15">
        <v>170</v>
      </c>
      <c r="T46" s="15">
        <v>104.167382</v>
      </c>
      <c r="U46" s="15">
        <v>115.52638899999999</v>
      </c>
      <c r="V46" s="15">
        <v>92.044978</v>
      </c>
      <c r="W46" s="15">
        <v>30.708172999999999</v>
      </c>
      <c r="Y46" t="str">
        <f t="shared" si="12"/>
        <v>CA_Gasoline_Gasification_Non_CCS_Herb</v>
      </c>
      <c r="Z46" t="str">
        <f t="shared" si="13"/>
        <v>Biomass_Agri</v>
      </c>
      <c r="AA46" s="11">
        <f>SUM(AD46:AI46)+AK46+AL46</f>
        <v>70.384114661768152</v>
      </c>
      <c r="AB46" s="11">
        <f>SUM(AD46:AI46)+AN46+AO46</f>
        <v>70.384114661768123</v>
      </c>
      <c r="AC46" s="5">
        <f t="shared" si="14"/>
        <v>0</v>
      </c>
      <c r="AD46">
        <f t="shared" si="15"/>
        <v>0</v>
      </c>
      <c r="AE46">
        <f t="shared" si="16"/>
        <v>4.2911553669232809</v>
      </c>
      <c r="AF46" s="1" cm="1">
        <f t="array" ref="AF46">_xlfn.IFS(C46="Biomass_Corn", 1/H46*S46, C46="Biomass_Agri", 1/H46*V46, C46="Biomass_Wood", 1/H46*U46, C46="Biomass_Herb", 1/H46*T46)</f>
        <v>48.869114945580044</v>
      </c>
      <c r="AG46">
        <f>M46/H46/(0.9*8760)</f>
        <v>35.028462210951822</v>
      </c>
      <c r="AH46">
        <f>N46/H46/(0.9*8760)</f>
        <v>18.806381138130178</v>
      </c>
      <c r="AI46">
        <f>O46/H46</f>
        <v>0.88664719936288827</v>
      </c>
      <c r="AJ46" s="1">
        <f t="shared" si="6"/>
        <v>1.9051293422464626E-2</v>
      </c>
      <c r="AK46" s="1">
        <f t="shared" si="7"/>
        <v>-39.583377897556339</v>
      </c>
      <c r="AL46">
        <f>AJ46*Q46</f>
        <v>2.0857316983762755</v>
      </c>
      <c r="AM46" s="1">
        <f t="shared" si="8"/>
        <v>-0.56509605111147698</v>
      </c>
      <c r="AN46" s="1">
        <f t="shared" si="9"/>
        <v>24.368953631813952</v>
      </c>
      <c r="AO46">
        <f>AM46*Q46</f>
        <v>-61.866599830994019</v>
      </c>
      <c r="AQ46" s="9">
        <f>J46</f>
        <v>1.71</v>
      </c>
      <c r="AR46" s="9">
        <v>0.243968185</v>
      </c>
      <c r="AS46" s="9">
        <v>0.24942761299999999</v>
      </c>
      <c r="AT46" s="10">
        <v>0.24635668499999999</v>
      </c>
      <c r="AU46" s="9">
        <v>0.23037490999999999</v>
      </c>
      <c r="AW46" s="10">
        <f t="shared" si="10"/>
        <v>1.71</v>
      </c>
      <c r="AY46" s="10">
        <f>AR46*F46</f>
        <v>0</v>
      </c>
      <c r="AZ46" s="10">
        <f>AS46*H46</f>
        <v>0.46979690908549998</v>
      </c>
      <c r="BA46" s="10">
        <f>AT46*G46</f>
        <v>0</v>
      </c>
      <c r="BB46" s="10">
        <f>L46</f>
        <v>0.1758446786460332</v>
      </c>
      <c r="BC46" s="10">
        <f>K46</f>
        <v>1.100241523429679</v>
      </c>
      <c r="BE46" s="1">
        <f t="shared" si="11"/>
        <v>-3.5883111161212122E-2</v>
      </c>
    </row>
    <row r="47" spans="2:57" x14ac:dyDescent="0.2">
      <c r="B47" s="13" t="s">
        <v>51</v>
      </c>
      <c r="C47" s="12" t="s">
        <v>47</v>
      </c>
      <c r="D47" s="12">
        <v>0</v>
      </c>
      <c r="E47" s="12">
        <v>0.26319999999999999</v>
      </c>
      <c r="F47" s="12"/>
      <c r="G47" s="12"/>
      <c r="H47" s="12">
        <v>1.8758999999999999</v>
      </c>
      <c r="I47" s="24">
        <f t="shared" si="5"/>
        <v>1.8758999999999999</v>
      </c>
      <c r="J47" s="12">
        <v>1.6890000000000001</v>
      </c>
      <c r="K47" s="12">
        <v>1.083649105704819</v>
      </c>
      <c r="L47" s="12">
        <v>0.17319281694052899</v>
      </c>
      <c r="M47" s="12">
        <v>520155.64</v>
      </c>
      <c r="N47" s="12">
        <v>279265.62</v>
      </c>
      <c r="O47" s="12">
        <v>1.67</v>
      </c>
      <c r="Q47" s="15">
        <v>109.479795</v>
      </c>
      <c r="R47" s="15">
        <v>-47.70091</v>
      </c>
      <c r="S47" s="15">
        <v>170</v>
      </c>
      <c r="T47" s="15">
        <v>99.632842999999994</v>
      </c>
      <c r="U47" s="15">
        <v>113.227017</v>
      </c>
      <c r="V47" s="15">
        <v>88.855315000000004</v>
      </c>
      <c r="W47" s="15">
        <v>38.218446</v>
      </c>
      <c r="Y47" t="str">
        <f t="shared" si="12"/>
        <v>CA_Gasoline_Gasification_Non_CCS_Herb</v>
      </c>
      <c r="Z47" t="str">
        <f t="shared" si="13"/>
        <v>Biomass_Agri</v>
      </c>
      <c r="AA47" s="11">
        <f>SUM(AD47:AI47)+AK47+AL47</f>
        <v>74.070504918974677</v>
      </c>
      <c r="AB47" s="11">
        <f>SUM(AD47:AI47)+AN47+AO47</f>
        <v>74.070504918974677</v>
      </c>
      <c r="AC47" s="5">
        <f t="shared" si="14"/>
        <v>0</v>
      </c>
      <c r="AD47">
        <f t="shared" si="15"/>
        <v>0</v>
      </c>
      <c r="AE47">
        <f t="shared" si="16"/>
        <v>5.3622767669918439</v>
      </c>
      <c r="AF47" s="1" cm="1">
        <f t="array" ref="AF47">_xlfn.IFS(C47="Biomass_Corn", 1/H47*S47, C47="Biomass_Agri", 1/H47*V47, C47="Biomass_Wood", 1/H47*U47, C47="Biomass_Herb", 1/H47*T47)</f>
        <v>47.36676528599606</v>
      </c>
      <c r="AG47">
        <f>M47/H47/(0.9*8760)</f>
        <v>35.170376125767767</v>
      </c>
      <c r="AH47">
        <f>N47/H47/(0.9*8760)</f>
        <v>18.88257309753622</v>
      </c>
      <c r="AI47">
        <f>O47/H47</f>
        <v>0.89023935177781333</v>
      </c>
      <c r="AJ47" s="1">
        <f t="shared" si="6"/>
        <v>1.9053884467214524E-2</v>
      </c>
      <c r="AK47" s="1">
        <f t="shared" si="7"/>
        <v>-35.687741074519352</v>
      </c>
      <c r="AL47">
        <f>AJ47*Q47</f>
        <v>2.0860153654243301</v>
      </c>
      <c r="AM47" s="1">
        <f t="shared" si="8"/>
        <v>-0.55861502416587838</v>
      </c>
      <c r="AN47" s="1">
        <f t="shared" si="9"/>
        <v>27.555332620505389</v>
      </c>
      <c r="AO47">
        <f>AM47*Q47</f>
        <v>-61.15705832960041</v>
      </c>
      <c r="AQ47" s="9">
        <f>J47</f>
        <v>1.6890000000000001</v>
      </c>
      <c r="AR47" s="9">
        <v>0.243968185</v>
      </c>
      <c r="AS47" s="9">
        <v>0.24942761299999999</v>
      </c>
      <c r="AT47" s="10">
        <v>0.24635668499999999</v>
      </c>
      <c r="AU47" s="9">
        <v>0.23037490999999999</v>
      </c>
      <c r="AW47" s="10">
        <f t="shared" si="10"/>
        <v>1.6890000000000001</v>
      </c>
      <c r="AY47" s="10">
        <f>AR47*F47</f>
        <v>0</v>
      </c>
      <c r="AZ47" s="10">
        <f>AS47*H47</f>
        <v>0.46790125922669995</v>
      </c>
      <c r="BA47" s="10">
        <f>AT47*G47</f>
        <v>0</v>
      </c>
      <c r="BB47" s="10">
        <f>L47</f>
        <v>0.17319281694052899</v>
      </c>
      <c r="BC47" s="10">
        <f>K47</f>
        <v>1.083649105704819</v>
      </c>
      <c r="BE47" s="1">
        <f t="shared" si="11"/>
        <v>-3.5743181872047725E-2</v>
      </c>
    </row>
    <row r="48" spans="2:57" x14ac:dyDescent="0.2">
      <c r="B48" s="13" t="s">
        <v>51</v>
      </c>
      <c r="C48" s="12" t="s">
        <v>47</v>
      </c>
      <c r="D48" s="12">
        <v>0</v>
      </c>
      <c r="E48" s="12">
        <v>0.26319999999999999</v>
      </c>
      <c r="F48" s="12"/>
      <c r="G48" s="12"/>
      <c r="H48" s="12">
        <v>1.8062</v>
      </c>
      <c r="I48" s="24">
        <f t="shared" si="5"/>
        <v>1.8062</v>
      </c>
      <c r="J48" s="12">
        <v>1.633</v>
      </c>
      <c r="K48" s="12">
        <v>1.0492062007918139</v>
      </c>
      <c r="L48" s="12">
        <v>0.1676880242044908</v>
      </c>
      <c r="M48" s="12">
        <v>520155.64</v>
      </c>
      <c r="N48" s="12">
        <v>279265.62</v>
      </c>
      <c r="O48" s="12">
        <v>1.67</v>
      </c>
      <c r="Q48" s="15">
        <v>109.479795</v>
      </c>
      <c r="R48" s="15">
        <v>-21.506692000000001</v>
      </c>
      <c r="S48" s="15">
        <v>170</v>
      </c>
      <c r="T48" s="15">
        <v>137.93464800000001</v>
      </c>
      <c r="U48" s="15">
        <v>157.881351</v>
      </c>
      <c r="V48" s="15">
        <v>111.364845</v>
      </c>
      <c r="W48" s="15">
        <v>20.230252</v>
      </c>
      <c r="Y48" t="str">
        <f t="shared" si="12"/>
        <v>CA_Gasoline_Gasification_Non_CCS_Herb</v>
      </c>
      <c r="Z48" t="str">
        <f t="shared" si="13"/>
        <v>Biomass_Agri</v>
      </c>
      <c r="AA48" s="11">
        <f>SUM(AD48:AI48)+AK48+AL48</f>
        <v>72.651251748444437</v>
      </c>
      <c r="AB48" s="11">
        <f>SUM(AD48:AI48)+AN48+AO48</f>
        <v>72.651251748444423</v>
      </c>
      <c r="AC48" s="5">
        <f t="shared" si="14"/>
        <v>0</v>
      </c>
      <c r="AD48">
        <f t="shared" si="15"/>
        <v>0</v>
      </c>
      <c r="AE48">
        <f t="shared" si="16"/>
        <v>2.9479583248809655</v>
      </c>
      <c r="AF48" s="1" cm="1">
        <f t="array" ref="AF48">_xlfn.IFS(C48="Biomass_Corn", 1/H48*S48, C48="Biomass_Agri", 1/H48*V48, C48="Biomass_Wood", 1/H48*U48, C48="Biomass_Herb", 1/H48*T48)</f>
        <v>61.656984276381351</v>
      </c>
      <c r="AG48">
        <f>M48/H48/(0.9*8760)</f>
        <v>36.527576444650514</v>
      </c>
      <c r="AH48">
        <f>N48/H48/(0.9*8760)</f>
        <v>19.611238441849292</v>
      </c>
      <c r="AI48">
        <f>O48/H48</f>
        <v>0.92459306832023025</v>
      </c>
      <c r="AJ48" s="1">
        <f t="shared" si="6"/>
        <v>1.905125655902162E-2</v>
      </c>
      <c r="AK48" s="1">
        <f t="shared" si="7"/>
        <v>-51.102826470212008</v>
      </c>
      <c r="AL48">
        <f>AJ48*Q48</f>
        <v>2.0857276625740924</v>
      </c>
      <c r="AM48" s="1">
        <f t="shared" si="8"/>
        <v>-0.56184022876475992</v>
      </c>
      <c r="AN48" s="1">
        <f t="shared" si="9"/>
        <v>12.493054260281086</v>
      </c>
      <c r="AO48">
        <f>AM48*Q48</f>
        <v>-61.510153067919013</v>
      </c>
      <c r="AQ48" s="9">
        <f>J48</f>
        <v>1.633</v>
      </c>
      <c r="AR48" s="9">
        <v>0.243968185</v>
      </c>
      <c r="AS48" s="9">
        <v>0.24942761299999999</v>
      </c>
      <c r="AT48" s="10">
        <v>0.24635668499999999</v>
      </c>
      <c r="AU48" s="9">
        <v>0.23037490999999999</v>
      </c>
      <c r="AW48" s="10">
        <f t="shared" si="10"/>
        <v>1.633</v>
      </c>
      <c r="AY48" s="10">
        <f>AR48*F48</f>
        <v>0</v>
      </c>
      <c r="AZ48" s="10">
        <f>AS48*H48</f>
        <v>0.45051615460060002</v>
      </c>
      <c r="BA48" s="10">
        <f>AT48*G48</f>
        <v>0</v>
      </c>
      <c r="BB48" s="10">
        <f>L48</f>
        <v>0.1676880242044908</v>
      </c>
      <c r="BC48" s="10">
        <f>K48</f>
        <v>1.0492062007918139</v>
      </c>
      <c r="BE48" s="1">
        <f t="shared" si="11"/>
        <v>-3.441037959690485E-2</v>
      </c>
    </row>
    <row r="49" spans="2:57" x14ac:dyDescent="0.2">
      <c r="B49" s="13" t="s">
        <v>51</v>
      </c>
      <c r="C49" s="12" t="s">
        <v>48</v>
      </c>
      <c r="D49" s="12">
        <v>0</v>
      </c>
      <c r="E49" s="12">
        <v>8.5342824999999997E-2</v>
      </c>
      <c r="F49" s="12"/>
      <c r="G49" s="12"/>
      <c r="H49" s="12">
        <v>3.1043379949999999</v>
      </c>
      <c r="I49" s="24">
        <f t="shared" si="5"/>
        <v>3.1043379949999999</v>
      </c>
      <c r="J49" s="12">
        <v>1.7588666580000001</v>
      </c>
      <c r="K49" s="12">
        <v>0</v>
      </c>
      <c r="L49" s="12">
        <v>1.043705066</v>
      </c>
      <c r="M49" s="12">
        <v>0</v>
      </c>
      <c r="N49" s="12">
        <v>176727.97</v>
      </c>
      <c r="O49" s="12">
        <v>-25.41</v>
      </c>
      <c r="Q49" s="15">
        <v>109.479795</v>
      </c>
      <c r="R49" s="15">
        <v>-6.4959309999999997</v>
      </c>
      <c r="S49" s="15">
        <v>170</v>
      </c>
      <c r="T49" s="15">
        <v>1554.0826480000001</v>
      </c>
      <c r="U49" s="15">
        <v>159.85701800000001</v>
      </c>
      <c r="V49" s="15">
        <v>138.16451699999999</v>
      </c>
      <c r="W49" s="15">
        <v>36.550691999999998</v>
      </c>
      <c r="Y49" t="str">
        <f t="shared" si="12"/>
        <v>CA_Gasoline_Gasification_Non_CCS_Herb</v>
      </c>
      <c r="Z49" t="str">
        <f t="shared" si="13"/>
        <v>Biomass_Corn</v>
      </c>
      <c r="AA49" s="11">
        <f>SUM(AD49:AI49)+AK49+AL49</f>
        <v>56.888348771245276</v>
      </c>
      <c r="AB49" s="11">
        <f>SUM(AD49:AI49)+AN49+AO49</f>
        <v>56.888348771245276</v>
      </c>
      <c r="AC49" s="5">
        <f t="shared" si="14"/>
        <v>0</v>
      </c>
      <c r="AD49">
        <f t="shared" si="15"/>
        <v>0</v>
      </c>
      <c r="AE49">
        <f t="shared" si="16"/>
        <v>1.0048323719933401</v>
      </c>
      <c r="AF49" s="1" cm="1">
        <f t="array" ref="AF49">_xlfn.IFS(C49="Biomass_Corn", 1/H49*S49, C49="Biomass_Agri", 1/H49*V49, C49="Biomass_Wood", 1/H49*U49, C49="Biomass_Herb", 1/H49*T49)</f>
        <v>54.762078186656993</v>
      </c>
      <c r="AG49">
        <f>M49/H49/(0.9*8760)</f>
        <v>0</v>
      </c>
      <c r="AH49">
        <f>N49/H49/(0.9*8760)</f>
        <v>7.2208724377810398</v>
      </c>
      <c r="AI49">
        <f>O49/H49</f>
        <v>-8.1853200395467898</v>
      </c>
      <c r="AJ49" s="1">
        <f t="shared" si="6"/>
        <v>1.9052701134128821E-2</v>
      </c>
      <c r="AK49" s="1">
        <f t="shared" si="7"/>
        <v>0</v>
      </c>
      <c r="AL49">
        <f>AJ49*Q49</f>
        <v>2.0858858143606906</v>
      </c>
      <c r="AM49" s="1">
        <f t="shared" si="8"/>
        <v>1.9052701134128821E-2</v>
      </c>
      <c r="AN49" s="1">
        <f t="shared" si="9"/>
        <v>0</v>
      </c>
      <c r="AO49">
        <f>AM49*Q49</f>
        <v>2.0858858143606906</v>
      </c>
      <c r="AQ49" s="9">
        <f>J49</f>
        <v>1.7588666580000001</v>
      </c>
      <c r="AR49" s="9">
        <v>0.243968185</v>
      </c>
      <c r="AS49" s="9">
        <v>0.24942761299999999</v>
      </c>
      <c r="AT49" s="10">
        <v>0.24635668499999999</v>
      </c>
      <c r="AU49" s="9">
        <v>0.23037490999999999</v>
      </c>
      <c r="AW49" s="10">
        <f t="shared" si="10"/>
        <v>1.7588666580000001</v>
      </c>
      <c r="AY49" s="10">
        <f>AR49*F49</f>
        <v>0</v>
      </c>
      <c r="AZ49" s="10">
        <f>AS49*H49</f>
        <v>0.77430761603805587</v>
      </c>
      <c r="BA49" s="10">
        <f>AT49*G49</f>
        <v>0</v>
      </c>
      <c r="BB49" s="10">
        <f>L49</f>
        <v>1.043705066</v>
      </c>
      <c r="BC49" s="10">
        <f>K49</f>
        <v>0</v>
      </c>
      <c r="BE49" s="1">
        <f t="shared" si="11"/>
        <v>-5.9146024038055689E-2</v>
      </c>
    </row>
    <row r="50" spans="2:57" x14ac:dyDescent="0.2">
      <c r="B50" s="13" t="s">
        <v>51</v>
      </c>
      <c r="C50" s="12" t="s">
        <v>48</v>
      </c>
      <c r="D50" s="12">
        <v>0</v>
      </c>
      <c r="E50" s="12">
        <v>8.5342824999999997E-2</v>
      </c>
      <c r="F50" s="12"/>
      <c r="G50" s="12"/>
      <c r="H50" s="12">
        <v>3.1043379949999999</v>
      </c>
      <c r="I50" s="24">
        <f t="shared" si="5"/>
        <v>3.1043379949999999</v>
      </c>
      <c r="J50" s="12">
        <v>1.7588666580000001</v>
      </c>
      <c r="K50" s="12">
        <v>0</v>
      </c>
      <c r="L50" s="12">
        <v>1.043705066</v>
      </c>
      <c r="M50" s="12">
        <v>0</v>
      </c>
      <c r="N50" s="12">
        <v>176727.97</v>
      </c>
      <c r="O50" s="12">
        <v>-25.41</v>
      </c>
      <c r="Q50" s="15">
        <v>109.479795</v>
      </c>
      <c r="R50" s="15">
        <v>-7.354813</v>
      </c>
      <c r="S50" s="15">
        <v>170</v>
      </c>
      <c r="T50" s="15">
        <v>138.356765</v>
      </c>
      <c r="U50" s="15">
        <v>156.77793399999999</v>
      </c>
      <c r="V50" s="15">
        <v>119.345797</v>
      </c>
      <c r="W50" s="15">
        <v>26.773821999999999</v>
      </c>
      <c r="Y50" t="str">
        <f t="shared" si="12"/>
        <v>CA_Gasoline_Gasification_Non_CCS_Herb</v>
      </c>
      <c r="Z50" t="str">
        <f t="shared" si="13"/>
        <v>Biomass_Corn</v>
      </c>
      <c r="AA50" s="11">
        <f>SUM(AD50:AI50)+AK50+AL50</f>
        <v>56.619568211009359</v>
      </c>
      <c r="AB50" s="11">
        <f>SUM(AD50:AI50)+AN50+AO50</f>
        <v>56.619568211009359</v>
      </c>
      <c r="AC50" s="5">
        <f t="shared" si="14"/>
        <v>0</v>
      </c>
      <c r="AD50">
        <f t="shared" si="15"/>
        <v>0</v>
      </c>
      <c r="AE50">
        <f t="shared" si="16"/>
        <v>0.73605181175742107</v>
      </c>
      <c r="AF50" s="1" cm="1">
        <f t="array" ref="AF50">_xlfn.IFS(C50="Biomass_Corn", 1/H50*S50, C50="Biomass_Agri", 1/H50*V50, C50="Biomass_Wood", 1/H50*U50, C50="Biomass_Herb", 1/H50*T50)</f>
        <v>54.762078186656993</v>
      </c>
      <c r="AG50">
        <f>M50/H50/(0.9*8760)</f>
        <v>0</v>
      </c>
      <c r="AH50">
        <f>N50/H50/(0.9*8760)</f>
        <v>7.2208724377810398</v>
      </c>
      <c r="AI50">
        <f>O50/H50</f>
        <v>-8.1853200395467898</v>
      </c>
      <c r="AJ50" s="1">
        <f t="shared" si="6"/>
        <v>1.9052701134128821E-2</v>
      </c>
      <c r="AK50" s="1">
        <f t="shared" si="7"/>
        <v>0</v>
      </c>
      <c r="AL50">
        <f>AJ50*Q50</f>
        <v>2.0858858143606906</v>
      </c>
      <c r="AM50" s="1">
        <f t="shared" si="8"/>
        <v>1.9052701134128821E-2</v>
      </c>
      <c r="AN50" s="1">
        <f t="shared" si="9"/>
        <v>0</v>
      </c>
      <c r="AO50">
        <f>AM50*Q50</f>
        <v>2.0858858143606906</v>
      </c>
      <c r="AQ50" s="9">
        <f>J50</f>
        <v>1.7588666580000001</v>
      </c>
      <c r="AR50" s="9">
        <v>0.243968185</v>
      </c>
      <c r="AS50" s="9">
        <v>0.24942761299999999</v>
      </c>
      <c r="AT50" s="10">
        <v>0.24635668499999999</v>
      </c>
      <c r="AU50" s="9">
        <v>0.23037490999999999</v>
      </c>
      <c r="AW50" s="10">
        <f>AQ50</f>
        <v>1.7588666580000001</v>
      </c>
      <c r="AY50" s="10">
        <f>AR50*F50</f>
        <v>0</v>
      </c>
      <c r="AZ50" s="10">
        <f>AS50*H50</f>
        <v>0.77430761603805587</v>
      </c>
      <c r="BA50" s="10">
        <f>AT50*G50</f>
        <v>0</v>
      </c>
      <c r="BB50" s="10">
        <f>L50</f>
        <v>1.043705066</v>
      </c>
      <c r="BC50" s="10">
        <f>K50</f>
        <v>0</v>
      </c>
      <c r="BE50" s="1">
        <f t="shared" si="11"/>
        <v>-5.9146024038055689E-2</v>
      </c>
    </row>
    <row r="51" spans="2:57" x14ac:dyDescent="0.2">
      <c r="B51" s="13" t="s">
        <v>51</v>
      </c>
      <c r="C51" s="12" t="s">
        <v>48</v>
      </c>
      <c r="D51" s="12">
        <v>0</v>
      </c>
      <c r="E51" s="12">
        <v>8.5342824999999997E-2</v>
      </c>
      <c r="F51" s="12"/>
      <c r="G51" s="12"/>
      <c r="H51" s="12">
        <v>3.1043379949999999</v>
      </c>
      <c r="I51" s="24">
        <f t="shared" si="5"/>
        <v>3.1043379949999999</v>
      </c>
      <c r="J51" s="12">
        <v>1.7588666580000001</v>
      </c>
      <c r="K51" s="12">
        <v>0</v>
      </c>
      <c r="L51" s="12">
        <v>1.043705066</v>
      </c>
      <c r="M51" s="12">
        <v>0</v>
      </c>
      <c r="N51" s="12">
        <v>176727.97</v>
      </c>
      <c r="O51" s="12">
        <v>-25.41</v>
      </c>
      <c r="Q51" s="15">
        <v>109.479795</v>
      </c>
      <c r="R51" s="15">
        <v>-16.598628000000001</v>
      </c>
      <c r="S51" s="15">
        <v>170</v>
      </c>
      <c r="T51" s="15">
        <v>123.651932</v>
      </c>
      <c r="U51" s="15">
        <v>141.0224</v>
      </c>
      <c r="V51" s="15">
        <v>111.7672</v>
      </c>
      <c r="W51" s="15">
        <v>27.997803999999999</v>
      </c>
      <c r="Y51" t="str">
        <f t="shared" si="12"/>
        <v>CA_Gasoline_Gasification_Non_CCS_Herb</v>
      </c>
      <c r="Z51" t="str">
        <f t="shared" si="13"/>
        <v>Biomass_Corn</v>
      </c>
      <c r="AA51" s="11">
        <f>SUM(AD51:AI51)+AK51+AL51</f>
        <v>56.653217279441144</v>
      </c>
      <c r="AB51" s="11">
        <f>SUM(AD51:AI51)+AN51+AO51</f>
        <v>56.653217279441144</v>
      </c>
      <c r="AC51" s="5">
        <f t="shared" si="14"/>
        <v>0</v>
      </c>
      <c r="AD51">
        <f t="shared" si="15"/>
        <v>0</v>
      </c>
      <c r="AE51">
        <f t="shared" si="16"/>
        <v>0.76970088018920757</v>
      </c>
      <c r="AF51" s="1" cm="1">
        <f t="array" ref="AF51">_xlfn.IFS(C51="Biomass_Corn", 1/H51*S51, C51="Biomass_Agri", 1/H51*V51, C51="Biomass_Wood", 1/H51*U51, C51="Biomass_Herb", 1/H51*T51)</f>
        <v>54.762078186656993</v>
      </c>
      <c r="AG51">
        <f>M51/H51/(0.9*8760)</f>
        <v>0</v>
      </c>
      <c r="AH51">
        <f>N51/H51/(0.9*8760)</f>
        <v>7.2208724377810398</v>
      </c>
      <c r="AI51">
        <f>O51/H51</f>
        <v>-8.1853200395467898</v>
      </c>
      <c r="AJ51" s="1">
        <f t="shared" si="6"/>
        <v>1.9052701134128821E-2</v>
      </c>
      <c r="AK51" s="1">
        <f t="shared" si="7"/>
        <v>0</v>
      </c>
      <c r="AL51">
        <f>AJ51*Q51</f>
        <v>2.0858858143606906</v>
      </c>
      <c r="AM51" s="1">
        <f t="shared" si="8"/>
        <v>1.9052701134128821E-2</v>
      </c>
      <c r="AN51" s="1">
        <f t="shared" si="9"/>
        <v>0</v>
      </c>
      <c r="AO51">
        <f>AM51*Q51</f>
        <v>2.0858858143606906</v>
      </c>
      <c r="AQ51" s="9">
        <f>J51</f>
        <v>1.7588666580000001</v>
      </c>
      <c r="AR51" s="9">
        <v>0.243968185</v>
      </c>
      <c r="AS51" s="9">
        <v>0.24942761299999999</v>
      </c>
      <c r="AT51" s="10">
        <v>0.24635668499999999</v>
      </c>
      <c r="AU51" s="9">
        <v>0.23037490999999999</v>
      </c>
      <c r="AW51" s="10">
        <f t="shared" si="10"/>
        <v>1.7588666580000001</v>
      </c>
      <c r="AY51" s="10">
        <f>AR51*F51</f>
        <v>0</v>
      </c>
      <c r="AZ51" s="10">
        <f>AS51*H51</f>
        <v>0.77430761603805587</v>
      </c>
      <c r="BA51" s="10">
        <f>AT51*G51</f>
        <v>0</v>
      </c>
      <c r="BB51" s="10">
        <f>L51</f>
        <v>1.043705066</v>
      </c>
      <c r="BC51" s="10">
        <f>K51</f>
        <v>0</v>
      </c>
      <c r="BE51" s="1">
        <f t="shared" si="11"/>
        <v>-5.9146024038055689E-2</v>
      </c>
    </row>
    <row r="52" spans="2:57" x14ac:dyDescent="0.2">
      <c r="B52" s="13" t="s">
        <v>51</v>
      </c>
      <c r="C52" s="12" t="s">
        <v>48</v>
      </c>
      <c r="D52" s="12">
        <v>0</v>
      </c>
      <c r="E52" s="12">
        <v>8.5342824999999997E-2</v>
      </c>
      <c r="F52" s="12"/>
      <c r="G52" s="12"/>
      <c r="H52" s="12">
        <v>3.1043379949999999</v>
      </c>
      <c r="I52" s="24">
        <f t="shared" si="5"/>
        <v>3.1043379949999999</v>
      </c>
      <c r="J52" s="12">
        <v>1.7588666580000001</v>
      </c>
      <c r="K52" s="12">
        <v>0</v>
      </c>
      <c r="L52" s="12">
        <v>1.043705066</v>
      </c>
      <c r="M52" s="12">
        <v>0</v>
      </c>
      <c r="N52" s="12">
        <v>176727.97</v>
      </c>
      <c r="O52" s="12">
        <v>-25.41</v>
      </c>
      <c r="Q52" s="15">
        <v>109.479795</v>
      </c>
      <c r="R52" s="15">
        <v>-21.506692000000001</v>
      </c>
      <c r="S52" s="15">
        <v>170</v>
      </c>
      <c r="T52" s="15">
        <v>137.93464800000001</v>
      </c>
      <c r="U52" s="15">
        <v>157.881351</v>
      </c>
      <c r="V52" s="15">
        <v>111.364845</v>
      </c>
      <c r="W52" s="15">
        <v>20.230252</v>
      </c>
      <c r="Y52" t="str">
        <f t="shared" si="12"/>
        <v>CA_Gasoline_Gasification_Non_CCS_Herb</v>
      </c>
      <c r="Z52" t="str">
        <f t="shared" si="13"/>
        <v>Biomass_Corn</v>
      </c>
      <c r="AA52" s="11">
        <f>SUM(AD52:AI52)+AK52+AL52</f>
        <v>56.439675831286301</v>
      </c>
      <c r="AB52" s="11">
        <f>SUM(AD52:AI52)+AN52+AO52</f>
        <v>56.439675831286301</v>
      </c>
      <c r="AC52" s="5">
        <f t="shared" si="14"/>
        <v>0</v>
      </c>
      <c r="AD52">
        <f t="shared" si="15"/>
        <v>0</v>
      </c>
      <c r="AE52">
        <f t="shared" si="16"/>
        <v>0.55615943203436513</v>
      </c>
      <c r="AF52" s="1" cm="1">
        <f t="array" ref="AF52">_xlfn.IFS(C52="Biomass_Corn", 1/H52*S52, C52="Biomass_Agri", 1/H52*V52, C52="Biomass_Wood", 1/H52*U52, C52="Biomass_Herb", 1/H52*T52)</f>
        <v>54.762078186656993</v>
      </c>
      <c r="AG52">
        <f>M52/H52/(0.9*8760)</f>
        <v>0</v>
      </c>
      <c r="AH52">
        <f>N52/H52/(0.9*8760)</f>
        <v>7.2208724377810398</v>
      </c>
      <c r="AI52">
        <f>O52/H52</f>
        <v>-8.1853200395467898</v>
      </c>
      <c r="AJ52" s="1">
        <f t="shared" si="6"/>
        <v>1.9052701134128821E-2</v>
      </c>
      <c r="AK52" s="1">
        <f t="shared" si="7"/>
        <v>0</v>
      </c>
      <c r="AL52">
        <f>AJ52*Q52</f>
        <v>2.0858858143606906</v>
      </c>
      <c r="AM52" s="1">
        <f t="shared" si="8"/>
        <v>1.9052701134128821E-2</v>
      </c>
      <c r="AN52" s="1">
        <f t="shared" si="9"/>
        <v>0</v>
      </c>
      <c r="AO52">
        <f>AM52*Q52</f>
        <v>2.0858858143606906</v>
      </c>
      <c r="AQ52" s="9">
        <f>J52</f>
        <v>1.7588666580000001</v>
      </c>
      <c r="AR52" s="9">
        <v>0.243968185</v>
      </c>
      <c r="AS52" s="9">
        <v>0.24942761299999999</v>
      </c>
      <c r="AT52" s="10">
        <v>0.24635668499999999</v>
      </c>
      <c r="AU52" s="9">
        <v>0.23037490999999999</v>
      </c>
      <c r="AW52" s="10">
        <f t="shared" si="10"/>
        <v>1.7588666580000001</v>
      </c>
      <c r="AY52" s="10">
        <f>AR52*F52</f>
        <v>0</v>
      </c>
      <c r="AZ52" s="10">
        <f>AS52*H52</f>
        <v>0.77430761603805587</v>
      </c>
      <c r="BA52" s="10">
        <f>AT52*G52</f>
        <v>0</v>
      </c>
      <c r="BB52" s="10">
        <f>L52</f>
        <v>1.043705066</v>
      </c>
      <c r="BC52" s="10">
        <f>K52</f>
        <v>0</v>
      </c>
      <c r="BE52" s="1">
        <f t="shared" si="11"/>
        <v>-5.9146024038055689E-2</v>
      </c>
    </row>
    <row r="53" spans="2:57" x14ac:dyDescent="0.2">
      <c r="B53" s="13" t="s">
        <v>51</v>
      </c>
      <c r="C53" s="12" t="s">
        <v>48</v>
      </c>
      <c r="D53" s="12">
        <v>0</v>
      </c>
      <c r="E53" s="12">
        <v>8.5342824999999997E-2</v>
      </c>
      <c r="F53" s="12"/>
      <c r="G53" s="12"/>
      <c r="H53" s="12">
        <v>3.1043379949999999</v>
      </c>
      <c r="I53" s="24">
        <f t="shared" si="5"/>
        <v>3.1043379949999999</v>
      </c>
      <c r="J53" s="12">
        <v>1.7588666580000001</v>
      </c>
      <c r="K53" s="12">
        <v>0</v>
      </c>
      <c r="L53" s="12">
        <v>1.043705066</v>
      </c>
      <c r="M53" s="12">
        <v>0</v>
      </c>
      <c r="N53" s="12">
        <v>176727.97</v>
      </c>
      <c r="O53" s="12">
        <v>-25.41</v>
      </c>
      <c r="Q53" s="15">
        <v>109.479795</v>
      </c>
      <c r="R53" s="15">
        <v>-41.717134999999999</v>
      </c>
      <c r="S53" s="15">
        <v>170</v>
      </c>
      <c r="T53" s="15">
        <v>104.167382</v>
      </c>
      <c r="U53" s="15">
        <v>115.52638899999999</v>
      </c>
      <c r="V53" s="15">
        <v>92.044978</v>
      </c>
      <c r="W53" s="15">
        <v>30.708172999999999</v>
      </c>
      <c r="Y53" t="str">
        <f t="shared" si="12"/>
        <v>CA_Gasoline_Gasification_Non_CCS_Herb</v>
      </c>
      <c r="Z53" t="str">
        <f t="shared" si="13"/>
        <v>Biomass_Corn</v>
      </c>
      <c r="AA53" s="11">
        <f>SUM(AD53:AI53)+AK53+AL53</f>
        <v>56.727729316347236</v>
      </c>
      <c r="AB53" s="11">
        <f>SUM(AD53:AI53)+AN53+AO53</f>
        <v>56.727729316347236</v>
      </c>
      <c r="AC53" s="5">
        <f t="shared" si="14"/>
        <v>0</v>
      </c>
      <c r="AD53">
        <f t="shared" si="15"/>
        <v>0</v>
      </c>
      <c r="AE53">
        <f t="shared" si="16"/>
        <v>0.8442129170953</v>
      </c>
      <c r="AF53" s="1" cm="1">
        <f t="array" ref="AF53">_xlfn.IFS(C53="Biomass_Corn", 1/H53*S53, C53="Biomass_Agri", 1/H53*V53, C53="Biomass_Wood", 1/H53*U53, C53="Biomass_Herb", 1/H53*T53)</f>
        <v>54.762078186656993</v>
      </c>
      <c r="AG53">
        <f>M53/H53/(0.9*8760)</f>
        <v>0</v>
      </c>
      <c r="AH53">
        <f>N53/H53/(0.9*8760)</f>
        <v>7.2208724377810398</v>
      </c>
      <c r="AI53">
        <f>O53/H53</f>
        <v>-8.1853200395467898</v>
      </c>
      <c r="AJ53" s="1">
        <f t="shared" si="6"/>
        <v>1.9052701134128821E-2</v>
      </c>
      <c r="AK53" s="1">
        <f t="shared" si="7"/>
        <v>0</v>
      </c>
      <c r="AL53">
        <f>AJ53*Q53</f>
        <v>2.0858858143606906</v>
      </c>
      <c r="AM53" s="1">
        <f t="shared" si="8"/>
        <v>1.9052701134128821E-2</v>
      </c>
      <c r="AN53" s="1">
        <f t="shared" si="9"/>
        <v>0</v>
      </c>
      <c r="AO53">
        <f>AM53*Q53</f>
        <v>2.0858858143606906</v>
      </c>
      <c r="AQ53" s="9">
        <f>J53</f>
        <v>1.7588666580000001</v>
      </c>
      <c r="AR53" s="9">
        <v>0.243968185</v>
      </c>
      <c r="AS53" s="9">
        <v>0.24942761299999999</v>
      </c>
      <c r="AT53" s="10">
        <v>0.24635668499999999</v>
      </c>
      <c r="AU53" s="9">
        <v>0.23037490999999999</v>
      </c>
      <c r="AW53" s="10">
        <f t="shared" si="10"/>
        <v>1.7588666580000001</v>
      </c>
      <c r="AY53" s="10">
        <f>AR53*F53</f>
        <v>0</v>
      </c>
      <c r="AZ53" s="10">
        <f>AS53*H53</f>
        <v>0.77430761603805587</v>
      </c>
      <c r="BA53" s="10">
        <f>AT53*G53</f>
        <v>0</v>
      </c>
      <c r="BB53" s="10">
        <f>L53</f>
        <v>1.043705066</v>
      </c>
      <c r="BC53" s="10">
        <f>K53</f>
        <v>0</v>
      </c>
      <c r="BE53" s="1">
        <f t="shared" si="11"/>
        <v>-5.9146024038055689E-2</v>
      </c>
    </row>
    <row r="54" spans="2:57" x14ac:dyDescent="0.2">
      <c r="B54" s="13" t="s">
        <v>51</v>
      </c>
      <c r="C54" s="12" t="s">
        <v>48</v>
      </c>
      <c r="D54" s="12">
        <v>0</v>
      </c>
      <c r="E54" s="12">
        <v>8.5342824999999997E-2</v>
      </c>
      <c r="F54" s="12"/>
      <c r="G54" s="12"/>
      <c r="H54" s="12">
        <v>3.1043379949999999</v>
      </c>
      <c r="I54" s="24">
        <f t="shared" si="5"/>
        <v>3.1043379949999999</v>
      </c>
      <c r="J54" s="12">
        <v>1.7588666580000001</v>
      </c>
      <c r="K54" s="12">
        <v>0</v>
      </c>
      <c r="L54" s="12">
        <v>1.043705066</v>
      </c>
      <c r="M54" s="12">
        <v>0</v>
      </c>
      <c r="N54" s="12">
        <v>176727.97</v>
      </c>
      <c r="O54" s="12">
        <v>-25.41</v>
      </c>
      <c r="Q54" s="15">
        <v>109.479795</v>
      </c>
      <c r="R54" s="15">
        <v>-31.70346</v>
      </c>
      <c r="S54" s="15">
        <v>170</v>
      </c>
      <c r="T54" s="15">
        <v>110.461518</v>
      </c>
      <c r="U54" s="15">
        <v>127.408748</v>
      </c>
      <c r="V54" s="15">
        <v>98.832477999999995</v>
      </c>
      <c r="W54" s="15">
        <v>25.324636999999999</v>
      </c>
      <c r="Y54" t="str">
        <f t="shared" si="12"/>
        <v>CA_Gasoline_Gasification_Non_CCS_Herb</v>
      </c>
      <c r="Z54" t="str">
        <f t="shared" si="13"/>
        <v>Biomass_Corn</v>
      </c>
      <c r="AA54" s="11">
        <f>SUM(AD54:AI54)+AK54+AL54</f>
        <v>56.579727980323518</v>
      </c>
      <c r="AB54" s="11">
        <f>SUM(AD54:AI54)+AN54+AO54</f>
        <v>56.579727980323518</v>
      </c>
      <c r="AC54" s="5">
        <f t="shared" si="14"/>
        <v>0</v>
      </c>
      <c r="AD54">
        <f t="shared" si="15"/>
        <v>0</v>
      </c>
      <c r="AE54">
        <f t="shared" si="16"/>
        <v>0.69621158107157877</v>
      </c>
      <c r="AF54" s="1" cm="1">
        <f t="array" ref="AF54">_xlfn.IFS(C54="Biomass_Corn", 1/H54*S54, C54="Biomass_Agri", 1/H54*V54, C54="Biomass_Wood", 1/H54*U54, C54="Biomass_Herb", 1/H54*T54)</f>
        <v>54.762078186656993</v>
      </c>
      <c r="AG54">
        <f>M54/H54/(0.9*8760)</f>
        <v>0</v>
      </c>
      <c r="AH54">
        <f>N54/H54/(0.9*8760)</f>
        <v>7.2208724377810398</v>
      </c>
      <c r="AI54">
        <f>O54/H54</f>
        <v>-8.1853200395467898</v>
      </c>
      <c r="AJ54" s="1">
        <f t="shared" si="6"/>
        <v>1.9052701134128821E-2</v>
      </c>
      <c r="AK54" s="1">
        <f t="shared" si="7"/>
        <v>0</v>
      </c>
      <c r="AL54">
        <f>AJ54*Q54</f>
        <v>2.0858858143606906</v>
      </c>
      <c r="AM54" s="1">
        <f t="shared" si="8"/>
        <v>1.9052701134128821E-2</v>
      </c>
      <c r="AN54" s="1">
        <f t="shared" si="9"/>
        <v>0</v>
      </c>
      <c r="AO54">
        <f>AM54*Q54</f>
        <v>2.0858858143606906</v>
      </c>
      <c r="AQ54" s="9">
        <f>J54</f>
        <v>1.7588666580000001</v>
      </c>
      <c r="AR54" s="9">
        <v>0.243968185</v>
      </c>
      <c r="AS54" s="9">
        <v>0.24942761299999999</v>
      </c>
      <c r="AT54" s="10">
        <v>0.24635668499999999</v>
      </c>
      <c r="AU54" s="9">
        <v>0.23037490999999999</v>
      </c>
      <c r="AW54" s="10">
        <f t="shared" si="10"/>
        <v>1.7588666580000001</v>
      </c>
      <c r="AY54" s="10">
        <f>AR54*F54</f>
        <v>0</v>
      </c>
      <c r="AZ54" s="10">
        <f>AS54*H54</f>
        <v>0.77430761603805587</v>
      </c>
      <c r="BA54" s="10">
        <f>AT54*G54</f>
        <v>0</v>
      </c>
      <c r="BB54" s="10">
        <f>L54</f>
        <v>1.043705066</v>
      </c>
      <c r="BC54" s="10">
        <f>K54</f>
        <v>0</v>
      </c>
      <c r="BE54" s="1">
        <f t="shared" si="11"/>
        <v>-5.9146024038055689E-2</v>
      </c>
    </row>
    <row r="55" spans="2:57" x14ac:dyDescent="0.2">
      <c r="B55" s="13" t="s">
        <v>51</v>
      </c>
      <c r="C55" s="12" t="s">
        <v>48</v>
      </c>
      <c r="D55" s="12">
        <v>0</v>
      </c>
      <c r="E55" s="12">
        <v>8.5342824999999997E-2</v>
      </c>
      <c r="F55" s="12"/>
      <c r="G55" s="12"/>
      <c r="H55" s="12">
        <v>3.1043379949999999</v>
      </c>
      <c r="I55" s="24">
        <f t="shared" si="5"/>
        <v>3.1043379949999999</v>
      </c>
      <c r="J55" s="12">
        <v>1.7588666580000001</v>
      </c>
      <c r="K55" s="12">
        <v>0</v>
      </c>
      <c r="L55" s="12">
        <v>1.043705066</v>
      </c>
      <c r="M55" s="12">
        <v>0</v>
      </c>
      <c r="N55" s="12">
        <v>176727.97</v>
      </c>
      <c r="O55" s="12">
        <v>-25.41</v>
      </c>
      <c r="Q55" s="15">
        <v>109.479795</v>
      </c>
      <c r="R55" s="15">
        <v>-47.70091</v>
      </c>
      <c r="S55" s="15">
        <v>170</v>
      </c>
      <c r="T55" s="15">
        <v>99.632842999999994</v>
      </c>
      <c r="U55" s="15">
        <v>113.227017</v>
      </c>
      <c r="V55" s="15">
        <v>88.855315000000004</v>
      </c>
      <c r="W55" s="15">
        <v>38.218446</v>
      </c>
      <c r="Y55" t="str">
        <f t="shared" si="12"/>
        <v>CA_Gasoline_Gasification_Non_CCS_Herb</v>
      </c>
      <c r="Z55" t="str">
        <f t="shared" si="13"/>
        <v>Biomass_Corn</v>
      </c>
      <c r="AA55" s="11">
        <f>SUM(AD55:AI55)+AK55+AL55</f>
        <v>56.934197785751529</v>
      </c>
      <c r="AB55" s="11">
        <f>SUM(AD55:AI55)+AN55+AO55</f>
        <v>56.934197785751529</v>
      </c>
      <c r="AC55" s="5">
        <f t="shared" si="14"/>
        <v>0</v>
      </c>
      <c r="AD55">
        <f t="shared" si="15"/>
        <v>0</v>
      </c>
      <c r="AE55">
        <f t="shared" si="16"/>
        <v>1.0506813864995876</v>
      </c>
      <c r="AF55" s="1" cm="1">
        <f t="array" ref="AF55">_xlfn.IFS(C55="Biomass_Corn", 1/H55*S55, C55="Biomass_Agri", 1/H55*V55, C55="Biomass_Wood", 1/H55*U55, C55="Biomass_Herb", 1/H55*T55)</f>
        <v>54.762078186656993</v>
      </c>
      <c r="AG55">
        <f>M55/H55/(0.9*8760)</f>
        <v>0</v>
      </c>
      <c r="AH55">
        <f>N55/H55/(0.9*8760)</f>
        <v>7.2208724377810398</v>
      </c>
      <c r="AI55">
        <f>O55/H55</f>
        <v>-8.1853200395467898</v>
      </c>
      <c r="AJ55" s="1">
        <f t="shared" si="6"/>
        <v>1.9052701134128821E-2</v>
      </c>
      <c r="AK55" s="1">
        <f t="shared" si="7"/>
        <v>0</v>
      </c>
      <c r="AL55">
        <f>AJ55*Q55</f>
        <v>2.0858858143606906</v>
      </c>
      <c r="AM55" s="1">
        <f t="shared" si="8"/>
        <v>1.9052701134128821E-2</v>
      </c>
      <c r="AN55" s="1">
        <f t="shared" si="9"/>
        <v>0</v>
      </c>
      <c r="AO55">
        <f>AM55*Q55</f>
        <v>2.0858858143606906</v>
      </c>
      <c r="AQ55" s="9">
        <f>J55</f>
        <v>1.7588666580000001</v>
      </c>
      <c r="AR55" s="9">
        <v>0.243968185</v>
      </c>
      <c r="AS55" s="9">
        <v>0.24942761299999999</v>
      </c>
      <c r="AT55" s="10">
        <v>0.24635668499999999</v>
      </c>
      <c r="AU55" s="9">
        <v>0.23037490999999999</v>
      </c>
      <c r="AW55" s="10">
        <f t="shared" si="10"/>
        <v>1.7588666580000001</v>
      </c>
      <c r="AY55" s="10">
        <f>AR55*F55</f>
        <v>0</v>
      </c>
      <c r="AZ55" s="10">
        <f>AS55*H55</f>
        <v>0.77430761603805587</v>
      </c>
      <c r="BA55" s="10">
        <f>AT55*G55</f>
        <v>0</v>
      </c>
      <c r="BB55" s="10">
        <f>L55</f>
        <v>1.043705066</v>
      </c>
      <c r="BC55" s="10">
        <f>K55</f>
        <v>0</v>
      </c>
      <c r="BE55" s="1">
        <f t="shared" si="11"/>
        <v>-5.9146024038055689E-2</v>
      </c>
    </row>
    <row r="56" spans="2:57" x14ac:dyDescent="0.2">
      <c r="B56" s="13" t="s">
        <v>51</v>
      </c>
      <c r="C56" s="12" t="s">
        <v>48</v>
      </c>
      <c r="D56" s="12">
        <v>0</v>
      </c>
      <c r="E56" s="12">
        <v>8.5342824999999997E-2</v>
      </c>
      <c r="F56" s="12"/>
      <c r="G56" s="12"/>
      <c r="H56" s="12">
        <v>3.1043379949999999</v>
      </c>
      <c r="I56" s="24">
        <f t="shared" si="5"/>
        <v>3.1043379949999999</v>
      </c>
      <c r="J56" s="12">
        <v>1.7588666580000001</v>
      </c>
      <c r="K56" s="12">
        <v>0</v>
      </c>
      <c r="L56" s="12">
        <v>1.043705066</v>
      </c>
      <c r="M56" s="12">
        <v>0</v>
      </c>
      <c r="N56" s="12">
        <v>176727.97</v>
      </c>
      <c r="O56" s="12">
        <v>-25.41</v>
      </c>
      <c r="Q56" s="15">
        <v>109.479795</v>
      </c>
      <c r="R56" s="15">
        <v>-54.115442999999999</v>
      </c>
      <c r="S56" s="15">
        <v>170</v>
      </c>
      <c r="T56" s="15">
        <v>100.77374399999999</v>
      </c>
      <c r="U56" s="15">
        <v>108.668072</v>
      </c>
      <c r="V56" s="15">
        <v>89.424565000000001</v>
      </c>
      <c r="W56" s="15">
        <v>39.359471999999997</v>
      </c>
      <c r="Y56" t="str">
        <f t="shared" si="12"/>
        <v>CA_Gasoline_Gasification_Non_CCS_Herb</v>
      </c>
      <c r="Z56" t="str">
        <f t="shared" si="13"/>
        <v>Biomass_Corn</v>
      </c>
      <c r="AA56" s="11">
        <f>SUM(AD56:AI56)+AK56+AL56</f>
        <v>56.96556627152701</v>
      </c>
      <c r="AB56" s="11">
        <f>SUM(AD56:AI56)+AN56+AO56</f>
        <v>56.96556627152701</v>
      </c>
      <c r="AC56" s="5">
        <f t="shared" si="14"/>
        <v>0</v>
      </c>
      <c r="AD56">
        <f t="shared" si="15"/>
        <v>0</v>
      </c>
      <c r="AE56">
        <f t="shared" si="16"/>
        <v>1.0820498722750709</v>
      </c>
      <c r="AF56" s="1" cm="1">
        <f t="array" ref="AF56">_xlfn.IFS(C56="Biomass_Corn", 1/H56*S56, C56="Biomass_Agri", 1/H56*V56, C56="Biomass_Wood", 1/H56*U56, C56="Biomass_Herb", 1/H56*T56)</f>
        <v>54.762078186656993</v>
      </c>
      <c r="AG56">
        <f>M56/H56/(0.9*8760)</f>
        <v>0</v>
      </c>
      <c r="AH56">
        <f>N56/H56/(0.9*8760)</f>
        <v>7.2208724377810398</v>
      </c>
      <c r="AI56">
        <f>O56/H56</f>
        <v>-8.1853200395467898</v>
      </c>
      <c r="AJ56" s="1">
        <f t="shared" si="6"/>
        <v>1.9052701134128821E-2</v>
      </c>
      <c r="AK56" s="1">
        <f t="shared" si="7"/>
        <v>0</v>
      </c>
      <c r="AL56">
        <f>AJ56*Q56</f>
        <v>2.0858858143606906</v>
      </c>
      <c r="AM56" s="1">
        <f t="shared" si="8"/>
        <v>1.9052701134128821E-2</v>
      </c>
      <c r="AN56" s="1">
        <f t="shared" si="9"/>
        <v>0</v>
      </c>
      <c r="AO56">
        <f>AM56*Q56</f>
        <v>2.0858858143606906</v>
      </c>
      <c r="AQ56" s="9">
        <f>J56</f>
        <v>1.7588666580000001</v>
      </c>
      <c r="AR56" s="9">
        <v>0.243968185</v>
      </c>
      <c r="AS56" s="9">
        <v>0.24942761299999999</v>
      </c>
      <c r="AT56" s="10">
        <v>0.24635668499999999</v>
      </c>
      <c r="AU56" s="9">
        <v>0.23037490999999999</v>
      </c>
      <c r="AW56" s="10">
        <f t="shared" si="10"/>
        <v>1.7588666580000001</v>
      </c>
      <c r="AY56" s="10">
        <f>AR56*F56</f>
        <v>0</v>
      </c>
      <c r="AZ56" s="10">
        <f>AS56*H56</f>
        <v>0.77430761603805587</v>
      </c>
      <c r="BA56" s="10">
        <f>AT56*G56</f>
        <v>0</v>
      </c>
      <c r="BB56" s="10">
        <f>L56</f>
        <v>1.043705066</v>
      </c>
      <c r="BC56" s="10">
        <f>K56</f>
        <v>0</v>
      </c>
      <c r="BE56" s="1">
        <f t="shared" si="11"/>
        <v>-5.9146024038055689E-2</v>
      </c>
    </row>
    <row r="57" spans="2:57" x14ac:dyDescent="0.2">
      <c r="B57" s="13" t="s">
        <v>51</v>
      </c>
      <c r="C57" s="12" t="s">
        <v>48</v>
      </c>
      <c r="D57" s="12">
        <v>0</v>
      </c>
      <c r="E57" s="12">
        <v>8.5342824999999997E-2</v>
      </c>
      <c r="F57" s="12"/>
      <c r="G57" s="12"/>
      <c r="H57" s="12">
        <v>3.1043379949999999</v>
      </c>
      <c r="I57" s="24">
        <f t="shared" si="5"/>
        <v>3.1043379949999999</v>
      </c>
      <c r="J57" s="12">
        <v>1.7588666580000001</v>
      </c>
      <c r="K57" s="12">
        <v>0</v>
      </c>
      <c r="L57" s="12">
        <v>1.043705066</v>
      </c>
      <c r="M57" s="12">
        <v>0</v>
      </c>
      <c r="N57" s="12">
        <v>176727.97</v>
      </c>
      <c r="O57" s="12">
        <v>-25.41</v>
      </c>
      <c r="Q57" s="15">
        <v>109.479795</v>
      </c>
      <c r="R57" s="15">
        <v>-62.623761000000002</v>
      </c>
      <c r="S57" s="15">
        <v>170</v>
      </c>
      <c r="T57" s="15">
        <v>101.59236199999999</v>
      </c>
      <c r="U57" s="15">
        <v>107.351319</v>
      </c>
      <c r="V57" s="15">
        <v>91.706649999999996</v>
      </c>
      <c r="W57" s="15">
        <v>47.446024999999999</v>
      </c>
      <c r="Y57" t="str">
        <f t="shared" si="12"/>
        <v>CA_Gasoline_Gasification_Non_CCS_Herb</v>
      </c>
      <c r="Z57" t="str">
        <f t="shared" si="13"/>
        <v>Biomass_Corn</v>
      </c>
      <c r="AA57" s="11">
        <f>SUM(AD57:AI57)+AK57+AL57</f>
        <v>57.187877527145368</v>
      </c>
      <c r="AB57" s="11">
        <f>SUM(AD57:AI57)+AN57+AO57</f>
        <v>57.187877527145368</v>
      </c>
      <c r="AC57" s="5">
        <f t="shared" si="14"/>
        <v>0</v>
      </c>
      <c r="AD57">
        <f t="shared" si="15"/>
        <v>0</v>
      </c>
      <c r="AE57">
        <f t="shared" si="16"/>
        <v>1.3043611278934286</v>
      </c>
      <c r="AF57" s="1" cm="1">
        <f t="array" ref="AF57">_xlfn.IFS(C57="Biomass_Corn", 1/H57*S57, C57="Biomass_Agri", 1/H57*V57, C57="Biomass_Wood", 1/H57*U57, C57="Biomass_Herb", 1/H57*T57)</f>
        <v>54.762078186656993</v>
      </c>
      <c r="AG57">
        <f>M57/H57/(0.9*8760)</f>
        <v>0</v>
      </c>
      <c r="AH57">
        <f>N57/H57/(0.9*8760)</f>
        <v>7.2208724377810398</v>
      </c>
      <c r="AI57">
        <f>O57/H57</f>
        <v>-8.1853200395467898</v>
      </c>
      <c r="AJ57" s="1">
        <f t="shared" si="6"/>
        <v>1.9052701134128821E-2</v>
      </c>
      <c r="AK57" s="1">
        <f t="shared" si="7"/>
        <v>0</v>
      </c>
      <c r="AL57">
        <f>AJ57*Q57</f>
        <v>2.0858858143606906</v>
      </c>
      <c r="AM57" s="1">
        <f t="shared" si="8"/>
        <v>1.9052701134128821E-2</v>
      </c>
      <c r="AN57" s="1">
        <f t="shared" si="9"/>
        <v>0</v>
      </c>
      <c r="AO57">
        <f>AM57*Q57</f>
        <v>2.0858858143606906</v>
      </c>
      <c r="AQ57" s="9">
        <f>J57</f>
        <v>1.7588666580000001</v>
      </c>
      <c r="AR57" s="9">
        <v>0.243968185</v>
      </c>
      <c r="AS57" s="9">
        <v>0.24942761299999999</v>
      </c>
      <c r="AT57" s="10">
        <v>0.24635668499999999</v>
      </c>
      <c r="AU57" s="9">
        <v>0.23037490999999999</v>
      </c>
      <c r="AW57" s="10">
        <f t="shared" si="10"/>
        <v>1.7588666580000001</v>
      </c>
      <c r="AY57" s="10">
        <f>AR57*F57</f>
        <v>0</v>
      </c>
      <c r="AZ57" s="10">
        <f>AS57*H57</f>
        <v>0.77430761603805587</v>
      </c>
      <c r="BA57" s="10">
        <f>AT57*G57</f>
        <v>0</v>
      </c>
      <c r="BB57" s="10">
        <f>L57</f>
        <v>1.043705066</v>
      </c>
      <c r="BC57" s="10">
        <f>K57</f>
        <v>0</v>
      </c>
      <c r="BE57" s="1">
        <f t="shared" si="11"/>
        <v>-5.9146024038055689E-2</v>
      </c>
    </row>
    <row r="58" spans="2:57" x14ac:dyDescent="0.2">
      <c r="B58" s="13" t="s">
        <v>51</v>
      </c>
      <c r="C58" s="12" t="s">
        <v>48</v>
      </c>
      <c r="D58" s="12">
        <v>0</v>
      </c>
      <c r="E58" s="12">
        <v>8.5342824999999997E-2</v>
      </c>
      <c r="F58" s="12"/>
      <c r="G58" s="12"/>
      <c r="H58" s="12">
        <v>3.1043379949999999</v>
      </c>
      <c r="I58" s="24">
        <f t="shared" si="5"/>
        <v>3.1043379949999999</v>
      </c>
      <c r="J58" s="12">
        <v>1.7588666580000001</v>
      </c>
      <c r="K58" s="12">
        <v>0.35768767200000001</v>
      </c>
      <c r="L58" s="12">
        <v>0.68601739399999995</v>
      </c>
      <c r="M58" s="12">
        <v>27458.48</v>
      </c>
      <c r="N58" s="12">
        <v>191772.15</v>
      </c>
      <c r="O58" s="12">
        <v>-25.37</v>
      </c>
      <c r="Q58" s="16">
        <v>109.479795</v>
      </c>
      <c r="R58" s="16">
        <v>-6.4959309999999997</v>
      </c>
      <c r="S58" s="16">
        <v>170</v>
      </c>
      <c r="T58" s="15">
        <v>1554.0826480000001</v>
      </c>
      <c r="U58" s="15">
        <v>159.85701800000001</v>
      </c>
      <c r="V58" s="15">
        <v>138.16451699999999</v>
      </c>
      <c r="W58" s="15">
        <v>36.550691999999998</v>
      </c>
      <c r="Y58" t="str">
        <f t="shared" si="12"/>
        <v>CA_Gasoline_Gasification_Non_CCS_Herb</v>
      </c>
      <c r="Z58" t="str">
        <f t="shared" si="13"/>
        <v>Biomass_Corn</v>
      </c>
      <c r="AA58" s="11">
        <f>SUM(AD58:AI58)+AK58+AL58</f>
        <v>46.771841938264949</v>
      </c>
      <c r="AB58" s="11">
        <f>SUM(AD58:AI58)+AN58+AO58</f>
        <v>46.771841938264949</v>
      </c>
      <c r="AC58" s="5">
        <f t="shared" si="14"/>
        <v>0</v>
      </c>
      <c r="AD58">
        <f t="shared" si="15"/>
        <v>0</v>
      </c>
      <c r="AE58">
        <f t="shared" si="16"/>
        <v>1.0048323719933401</v>
      </c>
      <c r="AF58" s="1" cm="1">
        <f t="array" ref="AF58">_xlfn.IFS(C58="Biomass_Corn", 1/H58*S58, C58="Biomass_Agri", 1/H58*V58, C58="Biomass_Wood", 1/H58*U58, C58="Biomass_Herb", 1/H58*T58)</f>
        <v>54.762078186656993</v>
      </c>
      <c r="AG58">
        <f>M58/H58/(0.9*8760)</f>
        <v>1.1219173819252375</v>
      </c>
      <c r="AH58">
        <f>N58/H58/(0.9*8760)</f>
        <v>7.8355578478551591</v>
      </c>
      <c r="AI58">
        <f>O58/H58</f>
        <v>-8.1724348446793407</v>
      </c>
      <c r="AJ58" s="1">
        <f t="shared" si="6"/>
        <v>1.9052701134128821E-2</v>
      </c>
      <c r="AK58" s="1">
        <f t="shared" si="7"/>
        <v>-11.865994819847124</v>
      </c>
      <c r="AL58">
        <f>AJ58*Q58</f>
        <v>2.0858858143606906</v>
      </c>
      <c r="AM58" s="1">
        <f t="shared" si="8"/>
        <v>-9.6169182750973053E-2</v>
      </c>
      <c r="AN58" s="1">
        <f t="shared" si="9"/>
        <v>0.7484734074076338</v>
      </c>
      <c r="AO58">
        <f>AM58*Q58</f>
        <v>-10.528582412894066</v>
      </c>
      <c r="AQ58" s="9">
        <f>J58</f>
        <v>1.7588666580000001</v>
      </c>
      <c r="AR58" s="9">
        <v>0.243968185</v>
      </c>
      <c r="AS58" s="9">
        <v>0.24942761299999999</v>
      </c>
      <c r="AT58" s="10">
        <v>0.24635668499999999</v>
      </c>
      <c r="AU58" s="9">
        <v>0.23037490999999999</v>
      </c>
      <c r="AW58" s="10">
        <f t="shared" si="10"/>
        <v>1.7588666580000001</v>
      </c>
      <c r="AY58" s="10">
        <f>AR58*F58</f>
        <v>0</v>
      </c>
      <c r="AZ58" s="10">
        <f>AS58*H58</f>
        <v>0.77430761603805587</v>
      </c>
      <c r="BA58" s="10">
        <f>AT58*G58</f>
        <v>0</v>
      </c>
      <c r="BB58" s="10">
        <f>L58</f>
        <v>0.68601739399999995</v>
      </c>
      <c r="BC58" s="10">
        <f>K58</f>
        <v>0.35768767200000001</v>
      </c>
      <c r="BE58" s="1">
        <f t="shared" si="11"/>
        <v>-5.9146024038055689E-2</v>
      </c>
    </row>
    <row r="59" spans="2:57" x14ac:dyDescent="0.2">
      <c r="B59" s="13" t="s">
        <v>51</v>
      </c>
      <c r="C59" s="12" t="s">
        <v>48</v>
      </c>
      <c r="D59" s="12">
        <v>0</v>
      </c>
      <c r="E59" s="12">
        <v>8.5342824999999997E-2</v>
      </c>
      <c r="F59" s="12"/>
      <c r="G59" s="12"/>
      <c r="H59" s="12">
        <v>3.1043379949999999</v>
      </c>
      <c r="I59" s="24">
        <f t="shared" si="5"/>
        <v>3.1043379949999999</v>
      </c>
      <c r="J59" s="12">
        <v>1.7588666580000001</v>
      </c>
      <c r="K59" s="12">
        <v>0.35768767200000001</v>
      </c>
      <c r="L59" s="12">
        <v>0.68601739399999995</v>
      </c>
      <c r="M59" s="12">
        <v>27458.48</v>
      </c>
      <c r="N59" s="12">
        <v>191772.15</v>
      </c>
      <c r="O59" s="12">
        <v>-25.37</v>
      </c>
      <c r="Q59" s="16">
        <v>109.479795</v>
      </c>
      <c r="R59" s="16">
        <v>-7.354813</v>
      </c>
      <c r="S59" s="16">
        <v>170</v>
      </c>
      <c r="T59" s="15">
        <v>138.356765</v>
      </c>
      <c r="U59" s="15">
        <v>156.77793399999999</v>
      </c>
      <c r="V59" s="15">
        <v>119.345797</v>
      </c>
      <c r="W59" s="15">
        <v>26.773821999999999</v>
      </c>
      <c r="Y59" t="str">
        <f t="shared" si="12"/>
        <v>CA_Gasoline_Gasification_Non_CCS_Herb</v>
      </c>
      <c r="Z59" t="str">
        <f t="shared" si="13"/>
        <v>Biomass_Corn</v>
      </c>
      <c r="AA59" s="11">
        <f>SUM(AD59:AI59)+AK59+AL59</f>
        <v>46.602023380104043</v>
      </c>
      <c r="AB59" s="11">
        <f>SUM(AD59:AI59)+AN59+AO59</f>
        <v>46.602023380104036</v>
      </c>
      <c r="AC59" s="5">
        <f t="shared" si="14"/>
        <v>0</v>
      </c>
      <c r="AD59">
        <f t="shared" si="15"/>
        <v>0</v>
      </c>
      <c r="AE59">
        <f t="shared" si="16"/>
        <v>0.73605181175742107</v>
      </c>
      <c r="AF59" s="1" cm="1">
        <f t="array" ref="AF59">_xlfn.IFS(C59="Biomass_Corn", 1/H59*S59, C59="Biomass_Agri", 1/H59*V59, C59="Biomass_Wood", 1/H59*U59, C59="Biomass_Herb", 1/H59*T59)</f>
        <v>54.762078186656993</v>
      </c>
      <c r="AG59">
        <f>M59/H59/(0.9*8760)</f>
        <v>1.1219173819252375</v>
      </c>
      <c r="AH59">
        <f>N59/H59/(0.9*8760)</f>
        <v>7.8355578478551591</v>
      </c>
      <c r="AI59">
        <f>O59/H59</f>
        <v>-8.1724348446793407</v>
      </c>
      <c r="AJ59" s="1">
        <f t="shared" si="6"/>
        <v>1.9052701134128821E-2</v>
      </c>
      <c r="AK59" s="1">
        <f t="shared" si="7"/>
        <v>-11.767032817772119</v>
      </c>
      <c r="AL59">
        <f>AJ59*Q59</f>
        <v>2.0858858143606906</v>
      </c>
      <c r="AM59" s="1">
        <f t="shared" si="8"/>
        <v>-9.6169182750973053E-2</v>
      </c>
      <c r="AN59" s="1">
        <f t="shared" si="9"/>
        <v>0.84743540948263796</v>
      </c>
      <c r="AO59">
        <f>AM59*Q59</f>
        <v>-10.528582412894066</v>
      </c>
      <c r="AQ59" s="9">
        <f>J59</f>
        <v>1.7588666580000001</v>
      </c>
      <c r="AR59" s="9">
        <v>0.243968185</v>
      </c>
      <c r="AS59" s="9">
        <v>0.24942761299999999</v>
      </c>
      <c r="AT59" s="10">
        <v>0.24635668499999999</v>
      </c>
      <c r="AU59" s="9">
        <v>0.23037490999999999</v>
      </c>
      <c r="AW59" s="10">
        <f t="shared" si="10"/>
        <v>1.7588666580000001</v>
      </c>
      <c r="AY59" s="10">
        <f>AR59*F59</f>
        <v>0</v>
      </c>
      <c r="AZ59" s="10">
        <f>AS59*H59</f>
        <v>0.77430761603805587</v>
      </c>
      <c r="BA59" s="10">
        <f>AT59*G59</f>
        <v>0</v>
      </c>
      <c r="BB59" s="10">
        <f>L59</f>
        <v>0.68601739399999995</v>
      </c>
      <c r="BC59" s="10">
        <f>K59</f>
        <v>0.35768767200000001</v>
      </c>
      <c r="BE59" s="1">
        <f t="shared" si="11"/>
        <v>-5.9146024038055689E-2</v>
      </c>
    </row>
    <row r="60" spans="2:57" x14ac:dyDescent="0.2">
      <c r="B60" s="13" t="s">
        <v>51</v>
      </c>
      <c r="C60" s="12" t="s">
        <v>48</v>
      </c>
      <c r="D60" s="12">
        <v>0</v>
      </c>
      <c r="E60" s="12">
        <v>8.5342824999999997E-2</v>
      </c>
      <c r="F60" s="12"/>
      <c r="G60" s="12"/>
      <c r="H60" s="12">
        <v>3.1043379949999999</v>
      </c>
      <c r="I60" s="24">
        <f t="shared" si="5"/>
        <v>3.1043379949999999</v>
      </c>
      <c r="J60" s="12">
        <v>1.7588666580000001</v>
      </c>
      <c r="K60" s="12">
        <v>0.35768767200000001</v>
      </c>
      <c r="L60" s="12">
        <v>0.68601739399999995</v>
      </c>
      <c r="M60" s="12">
        <v>27458.48</v>
      </c>
      <c r="N60" s="12">
        <v>191772.15</v>
      </c>
      <c r="O60" s="12">
        <v>-25.37</v>
      </c>
      <c r="Q60" s="16">
        <v>109.479795</v>
      </c>
      <c r="R60" s="16">
        <v>-16.598628000000001</v>
      </c>
      <c r="S60" s="16">
        <v>170</v>
      </c>
      <c r="T60" s="15">
        <v>123.651932</v>
      </c>
      <c r="U60" s="15">
        <v>141.0224</v>
      </c>
      <c r="V60" s="15">
        <v>111.7672</v>
      </c>
      <c r="W60" s="15">
        <v>27.997803999999999</v>
      </c>
      <c r="Y60" t="str">
        <f t="shared" si="12"/>
        <v>CA_Gasoline_Gasification_Non_CCS_Herb</v>
      </c>
      <c r="Z60" t="str">
        <f t="shared" si="13"/>
        <v>Biomass_Corn</v>
      </c>
      <c r="AA60" s="11">
        <f>SUM(AD60:AI60)+AK60+AL60</f>
        <v>47.700762227121189</v>
      </c>
      <c r="AB60" s="11">
        <f>SUM(AD60:AI60)+AN60+AO60</f>
        <v>47.700762227121189</v>
      </c>
      <c r="AC60" s="5">
        <f t="shared" si="14"/>
        <v>0</v>
      </c>
      <c r="AD60">
        <f t="shared" si="15"/>
        <v>0</v>
      </c>
      <c r="AE60">
        <f t="shared" si="16"/>
        <v>0.76970088018920757</v>
      </c>
      <c r="AF60" s="1" cm="1">
        <f t="array" ref="AF60">_xlfn.IFS(C60="Biomass_Corn", 1/H60*S60, C60="Biomass_Agri", 1/H60*V60, C60="Biomass_Wood", 1/H60*U60, C60="Biomass_Herb", 1/H60*T60)</f>
        <v>54.762078186656993</v>
      </c>
      <c r="AG60">
        <f>M60/H60/(0.9*8760)</f>
        <v>1.1219173819252375</v>
      </c>
      <c r="AH60">
        <f>N60/H60/(0.9*8760)</f>
        <v>7.8355578478551591</v>
      </c>
      <c r="AI60">
        <f>O60/H60</f>
        <v>-8.1724348446793407</v>
      </c>
      <c r="AJ60" s="1">
        <f t="shared" si="6"/>
        <v>1.9052701134128821E-2</v>
      </c>
      <c r="AK60" s="1">
        <f t="shared" si="7"/>
        <v>-10.701943039186755</v>
      </c>
      <c r="AL60">
        <f>AJ60*Q60</f>
        <v>2.0858858143606906</v>
      </c>
      <c r="AM60" s="1">
        <f t="shared" si="8"/>
        <v>-9.6169182750973053E-2</v>
      </c>
      <c r="AN60" s="1">
        <f t="shared" si="9"/>
        <v>1.9125251880680012</v>
      </c>
      <c r="AO60">
        <f>AM60*Q60</f>
        <v>-10.528582412894066</v>
      </c>
      <c r="AQ60" s="9">
        <f>J60</f>
        <v>1.7588666580000001</v>
      </c>
      <c r="AR60" s="9">
        <v>0.243968185</v>
      </c>
      <c r="AS60" s="9">
        <v>0.24942761299999999</v>
      </c>
      <c r="AT60" s="10">
        <v>0.24635668499999999</v>
      </c>
      <c r="AU60" s="9">
        <v>0.23037490999999999</v>
      </c>
      <c r="AW60" s="10">
        <f t="shared" si="10"/>
        <v>1.7588666580000001</v>
      </c>
      <c r="AY60" s="10">
        <f>AR60*F60</f>
        <v>0</v>
      </c>
      <c r="AZ60" s="10">
        <f>AS60*H60</f>
        <v>0.77430761603805587</v>
      </c>
      <c r="BA60" s="10">
        <f>AT60*G60</f>
        <v>0</v>
      </c>
      <c r="BB60" s="10">
        <f>L60</f>
        <v>0.68601739399999995</v>
      </c>
      <c r="BC60" s="10">
        <f>K60</f>
        <v>0.35768767200000001</v>
      </c>
      <c r="BE60" s="1">
        <f t="shared" si="11"/>
        <v>-5.9146024038055689E-2</v>
      </c>
    </row>
    <row r="61" spans="2:57" x14ac:dyDescent="0.2">
      <c r="B61" s="13" t="s">
        <v>51</v>
      </c>
      <c r="C61" s="12" t="s">
        <v>48</v>
      </c>
      <c r="D61" s="12">
        <v>0</v>
      </c>
      <c r="E61" s="12">
        <v>8.5342824999999997E-2</v>
      </c>
      <c r="F61" s="12"/>
      <c r="G61" s="12"/>
      <c r="H61" s="12">
        <v>3.1043379949999999</v>
      </c>
      <c r="I61" s="24">
        <f t="shared" si="5"/>
        <v>3.1043379949999999</v>
      </c>
      <c r="J61" s="12">
        <v>1.7588666580000001</v>
      </c>
      <c r="K61" s="12">
        <v>0.35768767200000001</v>
      </c>
      <c r="L61" s="12">
        <v>0.68601739399999995</v>
      </c>
      <c r="M61" s="12">
        <v>27458.48</v>
      </c>
      <c r="N61" s="12">
        <v>191772.15</v>
      </c>
      <c r="O61" s="12">
        <v>-25.37</v>
      </c>
      <c r="Q61" s="16">
        <v>109.479795</v>
      </c>
      <c r="R61" s="16">
        <v>-21.506692000000001</v>
      </c>
      <c r="S61" s="16">
        <v>170</v>
      </c>
      <c r="T61" s="15">
        <v>137.93464800000001</v>
      </c>
      <c r="U61" s="15">
        <v>157.881351</v>
      </c>
      <c r="V61" s="15">
        <v>111.364845</v>
      </c>
      <c r="W61" s="15">
        <v>20.230252</v>
      </c>
      <c r="Y61" t="str">
        <f t="shared" si="12"/>
        <v>CA_Gasoline_Gasification_Non_CCS_Herb</v>
      </c>
      <c r="Z61" t="str">
        <f t="shared" si="13"/>
        <v>Biomass_Corn</v>
      </c>
      <c r="AA61" s="11">
        <f>SUM(AD61:AI61)+AK61+AL61</f>
        <v>48.052737159274997</v>
      </c>
      <c r="AB61" s="11">
        <f>SUM(AD61:AI61)+AN61+AO61</f>
        <v>48.052737159274997</v>
      </c>
      <c r="AC61" s="5">
        <f t="shared" si="14"/>
        <v>0</v>
      </c>
      <c r="AD61">
        <f t="shared" si="15"/>
        <v>0</v>
      </c>
      <c r="AE61">
        <f t="shared" si="16"/>
        <v>0.55615943203436513</v>
      </c>
      <c r="AF61" s="1" cm="1">
        <f t="array" ref="AF61">_xlfn.IFS(C61="Biomass_Corn", 1/H61*S61, C61="Biomass_Agri", 1/H61*V61, C61="Biomass_Wood", 1/H61*U61, C61="Biomass_Herb", 1/H61*T61)</f>
        <v>54.762078186656993</v>
      </c>
      <c r="AG61">
        <f>M61/H61/(0.9*8760)</f>
        <v>1.1219173819252375</v>
      </c>
      <c r="AH61">
        <f>N61/H61/(0.9*8760)</f>
        <v>7.8355578478551591</v>
      </c>
      <c r="AI61">
        <f>O61/H61</f>
        <v>-8.1724348446793407</v>
      </c>
      <c r="AJ61" s="1">
        <f t="shared" si="6"/>
        <v>1.9052701134128821E-2</v>
      </c>
      <c r="AK61" s="1">
        <f t="shared" si="7"/>
        <v>-10.13642665887811</v>
      </c>
      <c r="AL61">
        <f>AJ61*Q61</f>
        <v>2.0858858143606906</v>
      </c>
      <c r="AM61" s="1">
        <f t="shared" si="8"/>
        <v>-9.6169182750973053E-2</v>
      </c>
      <c r="AN61" s="1">
        <f t="shared" si="9"/>
        <v>2.4780415683766499</v>
      </c>
      <c r="AO61">
        <f>AM61*Q61</f>
        <v>-10.528582412894066</v>
      </c>
      <c r="AQ61" s="9">
        <f>J61</f>
        <v>1.7588666580000001</v>
      </c>
      <c r="AR61" s="9">
        <v>0.243968185</v>
      </c>
      <c r="AS61" s="9">
        <v>0.24942761299999999</v>
      </c>
      <c r="AT61" s="10">
        <v>0.24635668499999999</v>
      </c>
      <c r="AU61" s="9">
        <v>0.23037490999999999</v>
      </c>
      <c r="AW61" s="10">
        <f t="shared" si="10"/>
        <v>1.7588666580000001</v>
      </c>
      <c r="AY61" s="10">
        <f>AR61*F61</f>
        <v>0</v>
      </c>
      <c r="AZ61" s="10">
        <f>AS61*H61</f>
        <v>0.77430761603805587</v>
      </c>
      <c r="BA61" s="10">
        <f>AT61*G61</f>
        <v>0</v>
      </c>
      <c r="BB61" s="10">
        <f>L61</f>
        <v>0.68601739399999995</v>
      </c>
      <c r="BC61" s="10">
        <f>K61</f>
        <v>0.35768767200000001</v>
      </c>
      <c r="BE61" s="1">
        <f t="shared" si="11"/>
        <v>-5.9146024038055689E-2</v>
      </c>
    </row>
    <row r="62" spans="2:57" x14ac:dyDescent="0.2">
      <c r="B62" s="13" t="s">
        <v>51</v>
      </c>
      <c r="C62" s="12" t="s">
        <v>48</v>
      </c>
      <c r="D62" s="12">
        <v>0</v>
      </c>
      <c r="E62" s="12">
        <v>8.5342824999999997E-2</v>
      </c>
      <c r="F62" s="12"/>
      <c r="G62" s="12"/>
      <c r="H62" s="12">
        <v>3.1043379949999999</v>
      </c>
      <c r="I62" s="24">
        <f t="shared" si="5"/>
        <v>3.1043379949999999</v>
      </c>
      <c r="J62" s="12">
        <v>1.7588666580000001</v>
      </c>
      <c r="K62" s="12">
        <v>0.35768767200000001</v>
      </c>
      <c r="L62" s="12">
        <v>0.68601739399999995</v>
      </c>
      <c r="M62" s="12">
        <v>27458.48</v>
      </c>
      <c r="N62" s="12">
        <v>191772.15</v>
      </c>
      <c r="O62" s="12">
        <v>-25.37</v>
      </c>
      <c r="Q62" s="16">
        <v>109.479795</v>
      </c>
      <c r="R62" s="16">
        <v>-41.717134999999999</v>
      </c>
      <c r="S62" s="16">
        <v>170</v>
      </c>
      <c r="T62" s="15">
        <v>104.167382</v>
      </c>
      <c r="U62" s="15">
        <v>115.52638899999999</v>
      </c>
      <c r="V62" s="15">
        <v>92.044978</v>
      </c>
      <c r="W62" s="15">
        <v>30.708172999999999</v>
      </c>
      <c r="Y62" t="str">
        <f t="shared" si="12"/>
        <v>CA_Gasoline_Gasification_Non_CCS_Herb</v>
      </c>
      <c r="Z62" t="str">
        <f t="shared" si="13"/>
        <v>Biomass_Corn</v>
      </c>
      <c r="AA62" s="11">
        <f>SUM(AD62:AI62)+AK62+AL62</f>
        <v>50.669475960948397</v>
      </c>
      <c r="AB62" s="11">
        <f>SUM(AD62:AI62)+AN62+AO62</f>
        <v>50.66947596094839</v>
      </c>
      <c r="AC62" s="5">
        <f t="shared" si="14"/>
        <v>0</v>
      </c>
      <c r="AD62">
        <f t="shared" si="15"/>
        <v>0</v>
      </c>
      <c r="AE62">
        <f t="shared" si="16"/>
        <v>0.8442129170953</v>
      </c>
      <c r="AF62" s="1" cm="1">
        <f t="array" ref="AF62">_xlfn.IFS(C62="Biomass_Corn", 1/H62*S62, C62="Biomass_Agri", 1/H62*V62, C62="Biomass_Wood", 1/H62*U62, C62="Biomass_Herb", 1/H62*T62)</f>
        <v>54.762078186656993</v>
      </c>
      <c r="AG62">
        <f>M62/H62/(0.9*8760)</f>
        <v>1.1219173819252375</v>
      </c>
      <c r="AH62">
        <f>N62/H62/(0.9*8760)</f>
        <v>7.8355578478551591</v>
      </c>
      <c r="AI62">
        <f>O62/H62</f>
        <v>-8.1724348446793407</v>
      </c>
      <c r="AJ62" s="1">
        <f t="shared" si="6"/>
        <v>1.9052701134128821E-2</v>
      </c>
      <c r="AK62" s="1">
        <f t="shared" si="7"/>
        <v>-7.8077413422656381</v>
      </c>
      <c r="AL62">
        <f>AJ62*Q62</f>
        <v>2.0858858143606906</v>
      </c>
      <c r="AM62" s="1">
        <f t="shared" si="8"/>
        <v>-9.6169182750973053E-2</v>
      </c>
      <c r="AN62" s="1">
        <f t="shared" si="9"/>
        <v>4.8067268849891196</v>
      </c>
      <c r="AO62">
        <f>AM62*Q62</f>
        <v>-10.528582412894066</v>
      </c>
      <c r="AQ62" s="9">
        <f>J62</f>
        <v>1.7588666580000001</v>
      </c>
      <c r="AR62" s="9">
        <v>0.243968185</v>
      </c>
      <c r="AS62" s="9">
        <v>0.24942761299999999</v>
      </c>
      <c r="AT62" s="10">
        <v>0.24635668499999999</v>
      </c>
      <c r="AU62" s="9">
        <v>0.23037490999999999</v>
      </c>
      <c r="AW62" s="10">
        <f t="shared" si="10"/>
        <v>1.7588666580000001</v>
      </c>
      <c r="AY62" s="10">
        <f>AR62*F62</f>
        <v>0</v>
      </c>
      <c r="AZ62" s="10">
        <f>AS62*H62</f>
        <v>0.77430761603805587</v>
      </c>
      <c r="BA62" s="10">
        <f>AT62*G62</f>
        <v>0</v>
      </c>
      <c r="BB62" s="10">
        <f>L62</f>
        <v>0.68601739399999995</v>
      </c>
      <c r="BC62" s="10">
        <f>K62</f>
        <v>0.35768767200000001</v>
      </c>
      <c r="BE62" s="1">
        <f t="shared" si="11"/>
        <v>-5.9146024038055689E-2</v>
      </c>
    </row>
    <row r="63" spans="2:57" x14ac:dyDescent="0.2">
      <c r="B63" s="13" t="s">
        <v>51</v>
      </c>
      <c r="C63" s="12" t="s">
        <v>48</v>
      </c>
      <c r="D63" s="12">
        <v>0</v>
      </c>
      <c r="E63" s="12">
        <v>8.5342824999999997E-2</v>
      </c>
      <c r="F63" s="12"/>
      <c r="G63" s="12"/>
      <c r="H63" s="12">
        <v>3.1043379949999999</v>
      </c>
      <c r="I63" s="24">
        <f t="shared" si="5"/>
        <v>3.1043379949999999</v>
      </c>
      <c r="J63" s="12">
        <v>1.7588666580000001</v>
      </c>
      <c r="K63" s="12">
        <v>0.35768767200000001</v>
      </c>
      <c r="L63" s="12">
        <v>0.68601739399999995</v>
      </c>
      <c r="M63" s="12">
        <v>27458.48</v>
      </c>
      <c r="N63" s="12">
        <v>191772.15</v>
      </c>
      <c r="O63" s="12">
        <v>-25.37</v>
      </c>
      <c r="Q63" s="16">
        <v>109.479795</v>
      </c>
      <c r="R63" s="16">
        <v>-31.70346</v>
      </c>
      <c r="S63" s="16">
        <v>170</v>
      </c>
      <c r="T63" s="15">
        <v>110.461518</v>
      </c>
      <c r="U63" s="15">
        <v>127.408748</v>
      </c>
      <c r="V63" s="15">
        <v>98.832477999999995</v>
      </c>
      <c r="W63" s="15">
        <v>25.324636999999999</v>
      </c>
      <c r="Y63" t="str">
        <f t="shared" si="12"/>
        <v>CA_Gasoline_Gasification_Non_CCS_Herb</v>
      </c>
      <c r="Z63" t="str">
        <f t="shared" si="13"/>
        <v>Biomass_Corn</v>
      </c>
      <c r="AA63" s="11">
        <f>SUM(AD63:AI63)+AK63+AL63</f>
        <v>49.367680126811536</v>
      </c>
      <c r="AB63" s="11">
        <f>SUM(AD63:AI63)+AN63+AO63</f>
        <v>49.367680126811536</v>
      </c>
      <c r="AC63" s="5">
        <f t="shared" si="14"/>
        <v>0</v>
      </c>
      <c r="AD63">
        <f t="shared" si="15"/>
        <v>0</v>
      </c>
      <c r="AE63">
        <f t="shared" si="16"/>
        <v>0.69621158107157877</v>
      </c>
      <c r="AF63" s="1" cm="1">
        <f t="array" ref="AF63">_xlfn.IFS(C63="Biomass_Corn", 1/H63*S63, C63="Biomass_Agri", 1/H63*V63, C63="Biomass_Wood", 1/H63*U63, C63="Biomass_Herb", 1/H63*T63)</f>
        <v>54.762078186656993</v>
      </c>
      <c r="AG63">
        <f>M63/H63/(0.9*8760)</f>
        <v>1.1219173819252375</v>
      </c>
      <c r="AH63">
        <f>N63/H63/(0.9*8760)</f>
        <v>7.8355578478551591</v>
      </c>
      <c r="AI63">
        <f>O63/H63</f>
        <v>-8.1724348446793407</v>
      </c>
      <c r="AJ63" s="1">
        <f t="shared" si="6"/>
        <v>1.9052701134128821E-2</v>
      </c>
      <c r="AK63" s="1">
        <f t="shared" si="7"/>
        <v>-8.9615358403787848</v>
      </c>
      <c r="AL63">
        <f>AJ63*Q63</f>
        <v>2.0858858143606906</v>
      </c>
      <c r="AM63" s="1">
        <f t="shared" si="8"/>
        <v>-9.6169182750973053E-2</v>
      </c>
      <c r="AN63" s="1">
        <f t="shared" si="9"/>
        <v>3.6529323868759724</v>
      </c>
      <c r="AO63">
        <f>AM63*Q63</f>
        <v>-10.528582412894066</v>
      </c>
      <c r="AQ63" s="9">
        <f>J63</f>
        <v>1.7588666580000001</v>
      </c>
      <c r="AR63" s="9">
        <v>0.243968185</v>
      </c>
      <c r="AS63" s="9">
        <v>0.24942761299999999</v>
      </c>
      <c r="AT63" s="10">
        <v>0.24635668499999999</v>
      </c>
      <c r="AU63" s="9">
        <v>0.23037490999999999</v>
      </c>
      <c r="AW63" s="10">
        <f t="shared" si="10"/>
        <v>1.7588666580000001</v>
      </c>
      <c r="AY63" s="10">
        <f>AR63*F63</f>
        <v>0</v>
      </c>
      <c r="AZ63" s="10">
        <f>AS63*H63</f>
        <v>0.77430761603805587</v>
      </c>
      <c r="BA63" s="10">
        <f>AT63*G63</f>
        <v>0</v>
      </c>
      <c r="BB63" s="10">
        <f>L63</f>
        <v>0.68601739399999995</v>
      </c>
      <c r="BC63" s="10">
        <f>K63</f>
        <v>0.35768767200000001</v>
      </c>
      <c r="BE63" s="1">
        <f t="shared" si="11"/>
        <v>-5.9146024038055689E-2</v>
      </c>
    </row>
    <row r="64" spans="2:57" x14ac:dyDescent="0.2">
      <c r="B64" s="13" t="s">
        <v>51</v>
      </c>
      <c r="C64" s="12" t="s">
        <v>48</v>
      </c>
      <c r="D64" s="12">
        <v>0</v>
      </c>
      <c r="E64" s="12">
        <v>8.5342824999999997E-2</v>
      </c>
      <c r="F64" s="12"/>
      <c r="G64" s="12"/>
      <c r="H64" s="12">
        <v>3.1043379949999999</v>
      </c>
      <c r="I64" s="24">
        <f t="shared" si="5"/>
        <v>3.1043379949999999</v>
      </c>
      <c r="J64" s="12">
        <v>1.7588666580000001</v>
      </c>
      <c r="K64" s="12">
        <v>0.35768767200000001</v>
      </c>
      <c r="L64" s="12">
        <v>0.68601739399999995</v>
      </c>
      <c r="M64" s="12">
        <v>27458.48</v>
      </c>
      <c r="N64" s="12">
        <v>191772.15</v>
      </c>
      <c r="O64" s="12">
        <v>-25.37</v>
      </c>
      <c r="Q64" s="16">
        <v>109.479795</v>
      </c>
      <c r="R64" s="16">
        <v>-47.70091</v>
      </c>
      <c r="S64" s="16">
        <v>170</v>
      </c>
      <c r="T64" s="15">
        <v>99.632842999999994</v>
      </c>
      <c r="U64" s="15">
        <v>113.227017</v>
      </c>
      <c r="V64" s="15">
        <v>88.855315000000004</v>
      </c>
      <c r="W64" s="15">
        <v>38.218446</v>
      </c>
      <c r="Y64" t="str">
        <f t="shared" si="12"/>
        <v>CA_Gasoline_Gasification_Non_CCS_Herb</v>
      </c>
      <c r="Z64" t="str">
        <f t="shared" si="13"/>
        <v>Biomass_Corn</v>
      </c>
      <c r="AA64" s="11">
        <f>SUM(AD64:AI64)+AK64+AL64</f>
        <v>51.565406258597271</v>
      </c>
      <c r="AB64" s="11">
        <f>SUM(AD64:AI64)+AN64+AO64</f>
        <v>51.565406258597264</v>
      </c>
      <c r="AC64" s="5">
        <f t="shared" si="14"/>
        <v>0</v>
      </c>
      <c r="AD64">
        <f t="shared" si="15"/>
        <v>0</v>
      </c>
      <c r="AE64">
        <f t="shared" si="16"/>
        <v>1.0506813864995876</v>
      </c>
      <c r="AF64" s="1" cm="1">
        <f t="array" ref="AF64">_xlfn.IFS(C64="Biomass_Corn", 1/H64*S64, C64="Biomass_Agri", 1/H64*V64, C64="Biomass_Wood", 1/H64*U64, C64="Biomass_Herb", 1/H64*T64)</f>
        <v>54.762078186656993</v>
      </c>
      <c r="AG64">
        <f>M64/H64/(0.9*8760)</f>
        <v>1.1219173819252375</v>
      </c>
      <c r="AH64">
        <f>N64/H64/(0.9*8760)</f>
        <v>7.8355578478551591</v>
      </c>
      <c r="AI64">
        <f>O64/H64</f>
        <v>-8.1724348446793407</v>
      </c>
      <c r="AJ64" s="1">
        <f t="shared" si="6"/>
        <v>1.9052701134128821E-2</v>
      </c>
      <c r="AK64" s="1">
        <f t="shared" si="7"/>
        <v>-7.1182795140210633</v>
      </c>
      <c r="AL64">
        <f>AJ64*Q64</f>
        <v>2.0858858143606906</v>
      </c>
      <c r="AM64" s="1">
        <f t="shared" si="8"/>
        <v>-9.6169182750973053E-2</v>
      </c>
      <c r="AN64" s="1">
        <f t="shared" si="9"/>
        <v>5.4961887132336953</v>
      </c>
      <c r="AO64">
        <f>AM64*Q64</f>
        <v>-10.528582412894066</v>
      </c>
      <c r="AQ64" s="9">
        <f>J64</f>
        <v>1.7588666580000001</v>
      </c>
      <c r="AR64" s="9">
        <v>0.243968185</v>
      </c>
      <c r="AS64" s="9">
        <v>0.24942761299999999</v>
      </c>
      <c r="AT64" s="10">
        <v>0.24635668499999999</v>
      </c>
      <c r="AU64" s="9">
        <v>0.23037490999999999</v>
      </c>
      <c r="AW64" s="10">
        <f t="shared" si="10"/>
        <v>1.7588666580000001</v>
      </c>
      <c r="AY64" s="10">
        <f>AR64*F64</f>
        <v>0</v>
      </c>
      <c r="AZ64" s="10">
        <f>AS64*H64</f>
        <v>0.77430761603805587</v>
      </c>
      <c r="BA64" s="10">
        <f>AT64*G64</f>
        <v>0</v>
      </c>
      <c r="BB64" s="10">
        <f>L64</f>
        <v>0.68601739399999995</v>
      </c>
      <c r="BC64" s="10">
        <f>K64</f>
        <v>0.35768767200000001</v>
      </c>
      <c r="BE64" s="1">
        <f t="shared" si="11"/>
        <v>-5.9146024038055689E-2</v>
      </c>
    </row>
    <row r="65" spans="2:57" x14ac:dyDescent="0.2">
      <c r="B65" s="13" t="s">
        <v>51</v>
      </c>
      <c r="C65" s="12" t="s">
        <v>48</v>
      </c>
      <c r="D65" s="12">
        <v>0</v>
      </c>
      <c r="E65" s="12">
        <v>8.5342824999999997E-2</v>
      </c>
      <c r="F65" s="12"/>
      <c r="G65" s="12"/>
      <c r="H65" s="12">
        <v>3.1043379949999999</v>
      </c>
      <c r="I65" s="24">
        <f t="shared" si="5"/>
        <v>3.1043379949999999</v>
      </c>
      <c r="J65" s="12">
        <v>1.7588666580000001</v>
      </c>
      <c r="K65" s="12">
        <v>0.35768767200000001</v>
      </c>
      <c r="L65" s="12">
        <v>0.68601739399999995</v>
      </c>
      <c r="M65" s="12">
        <v>27458.48</v>
      </c>
      <c r="N65" s="12">
        <v>191772.15</v>
      </c>
      <c r="O65" s="12">
        <v>-25.37</v>
      </c>
      <c r="Q65" s="16">
        <v>109.479795</v>
      </c>
      <c r="R65" s="16">
        <v>-54.115442999999999</v>
      </c>
      <c r="S65" s="16">
        <v>170</v>
      </c>
      <c r="T65" s="15">
        <v>100.77374399999999</v>
      </c>
      <c r="U65" s="15">
        <v>108.668072</v>
      </c>
      <c r="V65" s="15">
        <v>89.424565000000001</v>
      </c>
      <c r="W65" s="15">
        <v>39.359471999999997</v>
      </c>
      <c r="Y65" t="str">
        <f t="shared" si="12"/>
        <v>CA_Gasoline_Gasification_Non_CCS_Herb</v>
      </c>
      <c r="Z65" t="str">
        <f t="shared" si="13"/>
        <v>Biomass_Corn</v>
      </c>
      <c r="AA65" s="11">
        <f>SUM(AD65:AI65)+AK65+AL65</f>
        <v>52.335869320875901</v>
      </c>
      <c r="AB65" s="11">
        <f>SUM(AD65:AI65)+AN65+AO65</f>
        <v>52.335869320875894</v>
      </c>
      <c r="AC65" s="5">
        <f t="shared" si="14"/>
        <v>0</v>
      </c>
      <c r="AD65">
        <f t="shared" si="15"/>
        <v>0</v>
      </c>
      <c r="AE65">
        <f t="shared" si="16"/>
        <v>1.0820498722750709</v>
      </c>
      <c r="AF65" s="1" cm="1">
        <f t="array" ref="AF65">_xlfn.IFS(C65="Biomass_Corn", 1/H65*S65, C65="Biomass_Agri", 1/H65*V65, C65="Biomass_Wood", 1/H65*U65, C65="Biomass_Herb", 1/H65*T65)</f>
        <v>54.762078186656993</v>
      </c>
      <c r="AG65">
        <f>M65/H65/(0.9*8760)</f>
        <v>1.1219173819252375</v>
      </c>
      <c r="AH65">
        <f>N65/H65/(0.9*8760)</f>
        <v>7.8355578478551591</v>
      </c>
      <c r="AI65">
        <f>O65/H65</f>
        <v>-8.1724348446793407</v>
      </c>
      <c r="AJ65" s="1">
        <f t="shared" si="6"/>
        <v>1.9052701134128821E-2</v>
      </c>
      <c r="AK65" s="1">
        <f t="shared" si="7"/>
        <v>-6.379184937517909</v>
      </c>
      <c r="AL65">
        <f>AJ65*Q65</f>
        <v>2.0858858143606906</v>
      </c>
      <c r="AM65" s="1">
        <f t="shared" si="8"/>
        <v>-9.6169182750973053E-2</v>
      </c>
      <c r="AN65" s="1">
        <f t="shared" si="9"/>
        <v>6.2352832897368495</v>
      </c>
      <c r="AO65">
        <f>AM65*Q65</f>
        <v>-10.528582412894066</v>
      </c>
      <c r="AQ65" s="9">
        <f>J65</f>
        <v>1.7588666580000001</v>
      </c>
      <c r="AR65" s="9">
        <v>0.243968185</v>
      </c>
      <c r="AS65" s="9">
        <v>0.24942761299999999</v>
      </c>
      <c r="AT65" s="10">
        <v>0.24635668499999999</v>
      </c>
      <c r="AU65" s="9">
        <v>0.23037490999999999</v>
      </c>
      <c r="AW65" s="10">
        <f t="shared" si="10"/>
        <v>1.7588666580000001</v>
      </c>
      <c r="AY65" s="10">
        <f>AR65*F65</f>
        <v>0</v>
      </c>
      <c r="AZ65" s="10">
        <f>AS65*H65</f>
        <v>0.77430761603805587</v>
      </c>
      <c r="BA65" s="10">
        <f>AT65*G65</f>
        <v>0</v>
      </c>
      <c r="BB65" s="10">
        <f>L65</f>
        <v>0.68601739399999995</v>
      </c>
      <c r="BC65" s="10">
        <f>K65</f>
        <v>0.35768767200000001</v>
      </c>
      <c r="BE65" s="1">
        <f t="shared" si="11"/>
        <v>-5.9146024038055689E-2</v>
      </c>
    </row>
    <row r="66" spans="2:57" x14ac:dyDescent="0.2">
      <c r="B66" s="13" t="s">
        <v>51</v>
      </c>
      <c r="C66" s="12" t="s">
        <v>48</v>
      </c>
      <c r="D66" s="12">
        <v>0</v>
      </c>
      <c r="E66" s="12">
        <v>8.5342824999999997E-2</v>
      </c>
      <c r="F66" s="12"/>
      <c r="G66" s="12"/>
      <c r="H66" s="12">
        <v>3.1043379949999999</v>
      </c>
      <c r="I66" s="24">
        <f t="shared" si="5"/>
        <v>3.1043379949999999</v>
      </c>
      <c r="J66" s="12">
        <v>1.7588666580000001</v>
      </c>
      <c r="K66" s="12">
        <v>0.35768767200000001</v>
      </c>
      <c r="L66" s="12">
        <v>0.68601739399999995</v>
      </c>
      <c r="M66" s="12">
        <v>27458.48</v>
      </c>
      <c r="N66" s="12">
        <v>191772.15</v>
      </c>
      <c r="O66" s="12">
        <v>-25.37</v>
      </c>
      <c r="Q66" s="16">
        <v>109.479795</v>
      </c>
      <c r="R66" s="16">
        <v>-62.623761000000002</v>
      </c>
      <c r="S66" s="16">
        <v>170</v>
      </c>
      <c r="T66" s="15">
        <v>101.59236199999999</v>
      </c>
      <c r="U66" s="15">
        <v>107.351319</v>
      </c>
      <c r="V66" s="15">
        <v>91.706649999999996</v>
      </c>
      <c r="W66" s="15">
        <v>47.446024999999999</v>
      </c>
      <c r="Y66" t="str">
        <f t="shared" si="12"/>
        <v>CA_Gasoline_Gasification_Non_CCS_Herb</v>
      </c>
      <c r="Z66" t="str">
        <f t="shared" si="13"/>
        <v>Biomass_Corn</v>
      </c>
      <c r="AA66" s="11">
        <f>SUM(AD66:AI66)+AK66+AL66</f>
        <v>53.53852500514779</v>
      </c>
      <c r="AB66" s="11">
        <f>SUM(AD66:AI66)+AN66+AO66</f>
        <v>53.538525005147775</v>
      </c>
      <c r="AC66" s="5">
        <f t="shared" si="14"/>
        <v>0</v>
      </c>
      <c r="AD66">
        <f t="shared" si="15"/>
        <v>0</v>
      </c>
      <c r="AE66">
        <f t="shared" si="16"/>
        <v>1.3043611278934286</v>
      </c>
      <c r="AF66" s="1" cm="1">
        <f t="array" ref="AF66">_xlfn.IFS(C66="Biomass_Corn", 1/H66*S66, C66="Biomass_Agri", 1/H66*V66, C66="Biomass_Wood", 1/H66*U66, C66="Biomass_Herb", 1/H66*T66)</f>
        <v>54.762078186656993</v>
      </c>
      <c r="AG66">
        <f>M66/H66/(0.9*8760)</f>
        <v>1.1219173819252375</v>
      </c>
      <c r="AH66">
        <f>N66/H66/(0.9*8760)</f>
        <v>7.8355578478551591</v>
      </c>
      <c r="AI66">
        <f>O66/H66</f>
        <v>-8.1724348446793407</v>
      </c>
      <c r="AJ66" s="1">
        <f t="shared" si="6"/>
        <v>1.9052701134128821E-2</v>
      </c>
      <c r="AK66" s="1">
        <f t="shared" si="7"/>
        <v>-5.3988405088643852</v>
      </c>
      <c r="AL66">
        <f>AJ66*Q66</f>
        <v>2.0858858143606906</v>
      </c>
      <c r="AM66" s="1">
        <f t="shared" si="8"/>
        <v>-9.6169182750973053E-2</v>
      </c>
      <c r="AN66" s="1">
        <f t="shared" si="9"/>
        <v>7.2156277183903725</v>
      </c>
      <c r="AO66">
        <f>AM66*Q66</f>
        <v>-10.528582412894066</v>
      </c>
      <c r="AQ66" s="9">
        <f>J66</f>
        <v>1.7588666580000001</v>
      </c>
      <c r="AR66" s="9">
        <v>0.243968185</v>
      </c>
      <c r="AS66" s="9">
        <v>0.24942761299999999</v>
      </c>
      <c r="AT66" s="10">
        <v>0.24635668499999999</v>
      </c>
      <c r="AU66" s="9">
        <v>0.23037490999999999</v>
      </c>
      <c r="AW66" s="10">
        <f t="shared" si="10"/>
        <v>1.7588666580000001</v>
      </c>
      <c r="AY66" s="10">
        <f>AR66*F66</f>
        <v>0</v>
      </c>
      <c r="AZ66" s="10">
        <f>AS66*H66</f>
        <v>0.77430761603805587</v>
      </c>
      <c r="BA66" s="10">
        <f>AT66*G66</f>
        <v>0</v>
      </c>
      <c r="BB66" s="10">
        <f>L66</f>
        <v>0.68601739399999995</v>
      </c>
      <c r="BC66" s="10">
        <f>K66</f>
        <v>0.35768767200000001</v>
      </c>
      <c r="BE66" s="1">
        <f t="shared" si="11"/>
        <v>-5.9146024038055689E-2</v>
      </c>
    </row>
    <row r="67" spans="2:57" x14ac:dyDescent="0.2">
      <c r="B67" s="13" t="s">
        <v>51</v>
      </c>
      <c r="C67" s="22" t="s">
        <v>48</v>
      </c>
      <c r="D67" s="22">
        <v>0</v>
      </c>
      <c r="E67" s="22">
        <v>8.5342824999999997E-2</v>
      </c>
      <c r="F67" s="22"/>
      <c r="G67" s="22"/>
      <c r="H67" s="22">
        <v>3.1043379949999999</v>
      </c>
      <c r="I67" s="24">
        <f t="shared" si="5"/>
        <v>3.1043379949999999</v>
      </c>
      <c r="J67" s="22">
        <v>1.7588666580000001</v>
      </c>
      <c r="K67" s="22">
        <v>0.35768767200000001</v>
      </c>
      <c r="L67" s="22">
        <v>0.68601739399999995</v>
      </c>
      <c r="M67" s="22">
        <v>45179.42</v>
      </c>
      <c r="N67" s="22">
        <v>201481.25</v>
      </c>
      <c r="O67" s="22">
        <v>-25.28</v>
      </c>
      <c r="Q67" s="21">
        <v>109.479795</v>
      </c>
      <c r="R67" s="21">
        <v>-6.4959309999999997</v>
      </c>
      <c r="S67" s="21">
        <v>170</v>
      </c>
      <c r="T67" s="21">
        <v>1554.0826480000001</v>
      </c>
      <c r="U67" s="21">
        <v>159.85701800000001</v>
      </c>
      <c r="V67" s="21">
        <v>138.16451699999999</v>
      </c>
      <c r="W67" s="21">
        <v>36.550691999999998</v>
      </c>
      <c r="Y67" t="str">
        <f t="shared" si="12"/>
        <v>CA_Gasoline_Gasification_Non_CCS_Herb</v>
      </c>
      <c r="Z67" t="str">
        <f t="shared" si="13"/>
        <v>Biomass_Corn</v>
      </c>
      <c r="AA67" s="20">
        <f>SUM(AD67:AI67)+AK67+AL67</f>
        <v>47.921588987643631</v>
      </c>
      <c r="AB67" s="20">
        <f>SUM(AD67:AI67)+AN67+AO67</f>
        <v>47.921588987643631</v>
      </c>
      <c r="AC67" s="5">
        <f t="shared" si="14"/>
        <v>0</v>
      </c>
      <c r="AD67">
        <f t="shared" si="15"/>
        <v>0</v>
      </c>
      <c r="AE67">
        <f t="shared" si="16"/>
        <v>1.0048323719933401</v>
      </c>
      <c r="AF67" s="1" cm="1">
        <f t="array" ref="AF67">_xlfn.IFS(C67="Biomass_Corn", 1/H67*S67, C67="Biomass_Agri", 1/H67*V67, C67="Biomass_Wood", 1/H67*U67, C67="Biomass_Herb", 1/H67*T67)</f>
        <v>54.762078186656993</v>
      </c>
      <c r="AG67">
        <f>M67/H67/(0.9*8760)</f>
        <v>1.8459716853700829</v>
      </c>
      <c r="AH67">
        <f>N67/H67/(0.9*8760)</f>
        <v>8.2322589053372308</v>
      </c>
      <c r="AI67">
        <f>O67/H67</f>
        <v>-8.1434431562275815</v>
      </c>
      <c r="AJ67" s="1">
        <f t="shared" si="6"/>
        <v>1.9052701134128821E-2</v>
      </c>
      <c r="AK67" s="1">
        <f t="shared" si="7"/>
        <v>-11.865994819847124</v>
      </c>
      <c r="AL67">
        <f>AJ67*Q67</f>
        <v>2.0858858143606906</v>
      </c>
      <c r="AM67" s="1">
        <f t="shared" si="8"/>
        <v>-9.6169182750973053E-2</v>
      </c>
      <c r="AN67" s="1">
        <f t="shared" si="9"/>
        <v>0.7484734074076338</v>
      </c>
      <c r="AO67">
        <f>AM67*Q67</f>
        <v>-10.528582412894066</v>
      </c>
      <c r="AQ67" s="19">
        <f>J67</f>
        <v>1.7588666580000001</v>
      </c>
      <c r="AR67" s="9">
        <v>0.243968185</v>
      </c>
      <c r="AS67" s="9">
        <v>0.24942761299999999</v>
      </c>
      <c r="AT67" s="10">
        <v>0.24635668499999999</v>
      </c>
      <c r="AU67" s="19">
        <v>0.23037490999999999</v>
      </c>
      <c r="AW67" s="10">
        <f t="shared" si="10"/>
        <v>1.7588666580000001</v>
      </c>
      <c r="AY67" s="10">
        <f>AR67*F67</f>
        <v>0</v>
      </c>
      <c r="AZ67" s="10">
        <f>AS67*H67</f>
        <v>0.77430761603805587</v>
      </c>
      <c r="BA67" s="10">
        <f>AT67*G67</f>
        <v>0</v>
      </c>
      <c r="BB67" s="10">
        <f>L67</f>
        <v>0.68601739399999995</v>
      </c>
      <c r="BC67" s="10">
        <f>K67</f>
        <v>0.35768767200000001</v>
      </c>
      <c r="BE67" s="1">
        <f t="shared" si="11"/>
        <v>-5.9146024038055689E-2</v>
      </c>
    </row>
    <row r="68" spans="2:57" x14ac:dyDescent="0.2">
      <c r="B68" s="13" t="s">
        <v>51</v>
      </c>
      <c r="C68" s="22" t="s">
        <v>48</v>
      </c>
      <c r="D68" s="22">
        <v>0</v>
      </c>
      <c r="E68" s="22">
        <v>8.5342824999999997E-2</v>
      </c>
      <c r="F68" s="22"/>
      <c r="G68" s="22"/>
      <c r="H68" s="22">
        <v>3.1043379949999999</v>
      </c>
      <c r="I68" s="24">
        <f t="shared" si="5"/>
        <v>3.1043379949999999</v>
      </c>
      <c r="J68" s="22">
        <v>1.7588666580000001</v>
      </c>
      <c r="K68" s="22">
        <v>0.35768767200000001</v>
      </c>
      <c r="L68" s="22">
        <v>0.68601739399999995</v>
      </c>
      <c r="M68" s="22">
        <v>45179.42</v>
      </c>
      <c r="N68" s="22">
        <v>201481.25</v>
      </c>
      <c r="O68" s="22">
        <v>-25.28</v>
      </c>
      <c r="Q68" s="21">
        <v>109.479795</v>
      </c>
      <c r="R68" s="21">
        <v>-7.354813</v>
      </c>
      <c r="S68" s="21">
        <v>170</v>
      </c>
      <c r="T68" s="21">
        <v>138.356765</v>
      </c>
      <c r="U68" s="21">
        <v>156.77793399999999</v>
      </c>
      <c r="V68" s="21">
        <v>119.345797</v>
      </c>
      <c r="W68" s="21">
        <v>26.773821999999999</v>
      </c>
      <c r="Y68" t="str">
        <f t="shared" ref="Y68:Y75" si="17">B68</f>
        <v>CA_Gasoline_Gasification_Non_CCS_Herb</v>
      </c>
      <c r="Z68" t="str">
        <f t="shared" ref="Z68:Z75" si="18">C68</f>
        <v>Biomass_Corn</v>
      </c>
      <c r="AA68" s="20">
        <f>SUM(AD68:AI68)+AK68+AL68</f>
        <v>47.751770429482711</v>
      </c>
      <c r="AB68" s="20">
        <f>SUM(AD68:AI68)+AN68+AO68</f>
        <v>47.751770429482704</v>
      </c>
      <c r="AC68" s="5">
        <f t="shared" ref="AC68:AC75" si="19">AA68-AB68</f>
        <v>0</v>
      </c>
      <c r="AD68">
        <f t="shared" ref="AD68:AD75" si="20">D68/H68*W68*-1</f>
        <v>0</v>
      </c>
      <c r="AE68">
        <f t="shared" ref="AE68:AE75" si="21">E68/H68*W68</f>
        <v>0.73605181175742107</v>
      </c>
      <c r="AF68" s="1" cm="1">
        <f t="array" ref="AF68">_xlfn.IFS(C68="Biomass_Corn", 1/H68*S68, C68="Biomass_Agri", 1/H68*V68, C68="Biomass_Wood", 1/H68*U68, C68="Biomass_Herb", 1/H68*T68)</f>
        <v>54.762078186656993</v>
      </c>
      <c r="AG68">
        <f>M68/H68/(0.9*8760)</f>
        <v>1.8459716853700829</v>
      </c>
      <c r="AH68">
        <f>N68/H68/(0.9*8760)</f>
        <v>8.2322589053372308</v>
      </c>
      <c r="AI68">
        <f>O68/H68</f>
        <v>-8.1434431562275815</v>
      </c>
      <c r="AJ68" s="1">
        <f t="shared" si="6"/>
        <v>1.9052701134128821E-2</v>
      </c>
      <c r="AK68" s="1">
        <f t="shared" si="7"/>
        <v>-11.767032817772119</v>
      </c>
      <c r="AL68">
        <f>AJ68*Q68</f>
        <v>2.0858858143606906</v>
      </c>
      <c r="AM68" s="1">
        <f t="shared" si="8"/>
        <v>-9.6169182750973053E-2</v>
      </c>
      <c r="AN68" s="1">
        <f t="shared" si="9"/>
        <v>0.84743540948263796</v>
      </c>
      <c r="AO68">
        <f>AM68*Q68</f>
        <v>-10.528582412894066</v>
      </c>
      <c r="AQ68" s="19">
        <f>J68</f>
        <v>1.7588666580000001</v>
      </c>
      <c r="AR68" s="9">
        <v>0.243968185</v>
      </c>
      <c r="AS68" s="9">
        <v>0.24942761299999999</v>
      </c>
      <c r="AT68" s="10">
        <v>0.24635668499999999</v>
      </c>
      <c r="AU68" s="19">
        <v>0.23037490999999999</v>
      </c>
      <c r="AW68" s="10">
        <f t="shared" si="10"/>
        <v>1.7588666580000001</v>
      </c>
      <c r="AY68" s="10">
        <f>AR68*F68</f>
        <v>0</v>
      </c>
      <c r="AZ68" s="10">
        <f>AS68*H68</f>
        <v>0.77430761603805587</v>
      </c>
      <c r="BA68" s="10">
        <f>AT68*G68</f>
        <v>0</v>
      </c>
      <c r="BB68" s="10">
        <f>L68</f>
        <v>0.68601739399999995</v>
      </c>
      <c r="BC68" s="10">
        <f>K68</f>
        <v>0.35768767200000001</v>
      </c>
      <c r="BE68" s="1">
        <f t="shared" si="11"/>
        <v>-5.9146024038055689E-2</v>
      </c>
    </row>
    <row r="69" spans="2:57" x14ac:dyDescent="0.2">
      <c r="B69" s="23"/>
      <c r="C69" s="22" t="s">
        <v>48</v>
      </c>
      <c r="D69" s="22">
        <v>0</v>
      </c>
      <c r="E69" s="22">
        <v>8.5342824999999997E-2</v>
      </c>
      <c r="F69" s="22"/>
      <c r="G69" s="22"/>
      <c r="H69" s="22">
        <v>3.1043379949999999</v>
      </c>
      <c r="I69" s="24">
        <f t="shared" ref="I69:I75" si="22">F69+G69+H69</f>
        <v>3.1043379949999999</v>
      </c>
      <c r="J69" s="22">
        <v>1.7588666580000001</v>
      </c>
      <c r="K69" s="22">
        <v>0.35768767200000001</v>
      </c>
      <c r="L69" s="22">
        <v>0.68601739399999995</v>
      </c>
      <c r="M69" s="22">
        <v>45179.42</v>
      </c>
      <c r="N69" s="22">
        <v>201481.25</v>
      </c>
      <c r="O69" s="22">
        <v>-25.28</v>
      </c>
      <c r="Q69" s="21">
        <v>109.479795</v>
      </c>
      <c r="R69" s="21">
        <v>-16.598628000000001</v>
      </c>
      <c r="S69" s="21">
        <v>170</v>
      </c>
      <c r="T69" s="21">
        <v>123.651932</v>
      </c>
      <c r="U69" s="21">
        <v>141.0224</v>
      </c>
      <c r="V69" s="21">
        <v>111.7672</v>
      </c>
      <c r="W69" s="21">
        <v>27.997803999999999</v>
      </c>
      <c r="Y69">
        <f t="shared" si="17"/>
        <v>0</v>
      </c>
      <c r="Z69" t="str">
        <f t="shared" si="18"/>
        <v>Biomass_Corn</v>
      </c>
      <c r="AA69" s="20">
        <f>SUM(AD69:AI69)+AK69+AL69</f>
        <v>48.850509276499864</v>
      </c>
      <c r="AB69" s="20">
        <f>SUM(AD69:AI69)+AN69+AO69</f>
        <v>48.850509276499857</v>
      </c>
      <c r="AC69" s="5">
        <f t="shared" si="19"/>
        <v>0</v>
      </c>
      <c r="AD69">
        <f t="shared" si="20"/>
        <v>0</v>
      </c>
      <c r="AE69">
        <f t="shared" si="21"/>
        <v>0.76970088018920757</v>
      </c>
      <c r="AF69" s="1" cm="1">
        <f t="array" ref="AF69">_xlfn.IFS(C69="Biomass_Corn", 1/H69*S69, C69="Biomass_Agri", 1/H69*V69, C69="Biomass_Wood", 1/H69*U69, C69="Biomass_Herb", 1/H69*T69)</f>
        <v>54.762078186656993</v>
      </c>
      <c r="AG69">
        <f>M69/H69/(0.9*8760)</f>
        <v>1.8459716853700829</v>
      </c>
      <c r="AH69">
        <f>N69/H69/(0.9*8760)</f>
        <v>8.2322589053372308</v>
      </c>
      <c r="AI69">
        <f>O69/H69</f>
        <v>-8.1434431562275815</v>
      </c>
      <c r="AJ69" s="1">
        <f t="shared" ref="AJ69:AJ75" si="23">(AY69+AZ69+BA69+BB69+BC69-AW69)/I69</f>
        <v>1.9052701134128821E-2</v>
      </c>
      <c r="AK69" s="1">
        <f t="shared" ref="AK69:AK75" si="24">(Q69+R69)*-1*K69/I69</f>
        <v>-10.701943039186755</v>
      </c>
      <c r="AL69">
        <f>AJ69*Q69</f>
        <v>2.0858858143606906</v>
      </c>
      <c r="AM69" s="1">
        <f t="shared" ref="AM69:AM75" si="25">(SUM(AY69:BB69)-AW69)/I69</f>
        <v>-9.6169182750973053E-2</v>
      </c>
      <c r="AN69" s="1">
        <f t="shared" ref="AN69:AN75" si="26">K69/I69*-1*R69</f>
        <v>1.9125251880680012</v>
      </c>
      <c r="AO69">
        <f>AM69*Q69</f>
        <v>-10.528582412894066</v>
      </c>
      <c r="AQ69" s="19">
        <f>J69</f>
        <v>1.7588666580000001</v>
      </c>
      <c r="AR69" s="9">
        <v>0.243968185</v>
      </c>
      <c r="AS69" s="9">
        <v>0.24942761299999999</v>
      </c>
      <c r="AT69" s="10">
        <v>0.24635668499999999</v>
      </c>
      <c r="AU69" s="19">
        <v>0.23037490999999999</v>
      </c>
      <c r="AW69" s="10">
        <f t="shared" ref="AW69:AW75" si="27">AQ69</f>
        <v>1.7588666580000001</v>
      </c>
      <c r="AY69" s="10">
        <f>AR69*F69</f>
        <v>0</v>
      </c>
      <c r="AZ69" s="10">
        <f>AS69*H69</f>
        <v>0.77430761603805587</v>
      </c>
      <c r="BA69" s="10">
        <f>AT69*G69</f>
        <v>0</v>
      </c>
      <c r="BB69" s="10">
        <f>L69</f>
        <v>0.68601739399999995</v>
      </c>
      <c r="BC69" s="10">
        <f>K69</f>
        <v>0.35768767200000001</v>
      </c>
      <c r="BE69" s="1">
        <f t="shared" ref="BE69:BE75" si="28">AW69-SUM(AY69:BC69)</f>
        <v>-5.9146024038055689E-2</v>
      </c>
    </row>
    <row r="70" spans="2:57" x14ac:dyDescent="0.2">
      <c r="B70" s="23"/>
      <c r="C70" s="22" t="s">
        <v>48</v>
      </c>
      <c r="D70" s="22">
        <v>0</v>
      </c>
      <c r="E70" s="22">
        <v>8.5342824999999997E-2</v>
      </c>
      <c r="F70" s="22"/>
      <c r="G70" s="22"/>
      <c r="H70" s="22">
        <v>3.1043379949999999</v>
      </c>
      <c r="I70" s="24">
        <f t="shared" si="22"/>
        <v>3.1043379949999999</v>
      </c>
      <c r="J70" s="22">
        <v>1.7588666580000001</v>
      </c>
      <c r="K70" s="22">
        <v>0.35768767200000001</v>
      </c>
      <c r="L70" s="22">
        <v>0.68601739399999995</v>
      </c>
      <c r="M70" s="22">
        <v>45179.42</v>
      </c>
      <c r="N70" s="22">
        <v>201481.25</v>
      </c>
      <c r="O70" s="22">
        <v>-25.28</v>
      </c>
      <c r="Q70" s="21">
        <v>109.479795</v>
      </c>
      <c r="R70" s="21">
        <v>-21.506692000000001</v>
      </c>
      <c r="S70" s="21">
        <v>170</v>
      </c>
      <c r="T70" s="21">
        <v>137.93464800000001</v>
      </c>
      <c r="U70" s="21">
        <v>157.881351</v>
      </c>
      <c r="V70" s="21">
        <v>111.364845</v>
      </c>
      <c r="W70" s="21">
        <v>20.230252</v>
      </c>
      <c r="Y70">
        <f t="shared" si="17"/>
        <v>0</v>
      </c>
      <c r="Z70" t="str">
        <f t="shared" si="18"/>
        <v>Biomass_Corn</v>
      </c>
      <c r="AA70" s="20">
        <f>SUM(AD70:AI70)+AK70+AL70</f>
        <v>49.202484208653665</v>
      </c>
      <c r="AB70" s="20">
        <f>SUM(AD70:AI70)+AN70+AO70</f>
        <v>49.202484208653658</v>
      </c>
      <c r="AC70" s="5">
        <f t="shared" si="19"/>
        <v>0</v>
      </c>
      <c r="AD70">
        <f t="shared" si="20"/>
        <v>0</v>
      </c>
      <c r="AE70">
        <f t="shared" si="21"/>
        <v>0.55615943203436513</v>
      </c>
      <c r="AF70" s="1" cm="1">
        <f t="array" ref="AF70">_xlfn.IFS(C70="Biomass_Corn", 1/H70*S70, C70="Biomass_Agri", 1/H70*V70, C70="Biomass_Wood", 1/H70*U70, C70="Biomass_Herb", 1/H70*T70)</f>
        <v>54.762078186656993</v>
      </c>
      <c r="AG70">
        <f>M70/H70/(0.9*8760)</f>
        <v>1.8459716853700829</v>
      </c>
      <c r="AH70">
        <f>N70/H70/(0.9*8760)</f>
        <v>8.2322589053372308</v>
      </c>
      <c r="AI70">
        <f>O70/H70</f>
        <v>-8.1434431562275815</v>
      </c>
      <c r="AJ70" s="1">
        <f t="shared" si="23"/>
        <v>1.9052701134128821E-2</v>
      </c>
      <c r="AK70" s="1">
        <f t="shared" si="24"/>
        <v>-10.13642665887811</v>
      </c>
      <c r="AL70">
        <f>AJ70*Q70</f>
        <v>2.0858858143606906</v>
      </c>
      <c r="AM70" s="1">
        <f t="shared" si="25"/>
        <v>-9.6169182750973053E-2</v>
      </c>
      <c r="AN70" s="1">
        <f t="shared" si="26"/>
        <v>2.4780415683766499</v>
      </c>
      <c r="AO70">
        <f>AM70*Q70</f>
        <v>-10.528582412894066</v>
      </c>
      <c r="AQ70" s="19">
        <f>J70</f>
        <v>1.7588666580000001</v>
      </c>
      <c r="AR70" s="9">
        <v>0.243968185</v>
      </c>
      <c r="AS70" s="9">
        <v>0.24942761299999999</v>
      </c>
      <c r="AT70" s="10">
        <v>0.24635668499999999</v>
      </c>
      <c r="AU70" s="19">
        <v>0.23037490999999999</v>
      </c>
      <c r="AW70" s="10">
        <f t="shared" si="27"/>
        <v>1.7588666580000001</v>
      </c>
      <c r="AY70" s="10">
        <f>AR70*F70</f>
        <v>0</v>
      </c>
      <c r="AZ70" s="10">
        <f>AS70*H70</f>
        <v>0.77430761603805587</v>
      </c>
      <c r="BA70" s="10">
        <f>AT70*G70</f>
        <v>0</v>
      </c>
      <c r="BB70" s="10">
        <f>L70</f>
        <v>0.68601739399999995</v>
      </c>
      <c r="BC70" s="10">
        <f>K70</f>
        <v>0.35768767200000001</v>
      </c>
      <c r="BE70" s="1">
        <f t="shared" si="28"/>
        <v>-5.9146024038055689E-2</v>
      </c>
    </row>
    <row r="71" spans="2:57" x14ac:dyDescent="0.2">
      <c r="B71" s="23"/>
      <c r="C71" s="22" t="s">
        <v>48</v>
      </c>
      <c r="D71" s="22">
        <v>0</v>
      </c>
      <c r="E71" s="22">
        <v>8.5342824999999997E-2</v>
      </c>
      <c r="F71" s="22"/>
      <c r="G71" s="22"/>
      <c r="H71" s="22">
        <v>3.1043379949999999</v>
      </c>
      <c r="I71" s="24">
        <f t="shared" si="22"/>
        <v>3.1043379949999999</v>
      </c>
      <c r="J71" s="22">
        <v>1.7588666580000001</v>
      </c>
      <c r="K71" s="22">
        <v>0.35768767200000001</v>
      </c>
      <c r="L71" s="22">
        <v>0.68601739399999995</v>
      </c>
      <c r="M71" s="22">
        <v>45179.42</v>
      </c>
      <c r="N71" s="22">
        <v>201481.25</v>
      </c>
      <c r="O71" s="22">
        <v>-25.28</v>
      </c>
      <c r="Q71" s="21">
        <v>109.479795</v>
      </c>
      <c r="R71" s="21">
        <v>-41.717134999999999</v>
      </c>
      <c r="S71" s="21">
        <v>170</v>
      </c>
      <c r="T71" s="21">
        <v>104.167382</v>
      </c>
      <c r="U71" s="21">
        <v>115.52638899999999</v>
      </c>
      <c r="V71" s="21">
        <v>92.044978</v>
      </c>
      <c r="W71" s="21">
        <v>30.708172999999999</v>
      </c>
      <c r="Y71">
        <f t="shared" si="17"/>
        <v>0</v>
      </c>
      <c r="Z71" t="str">
        <f t="shared" si="18"/>
        <v>Biomass_Corn</v>
      </c>
      <c r="AA71" s="20">
        <f>SUM(AD71:AI71)+AK71+AL71</f>
        <v>51.819223010327079</v>
      </c>
      <c r="AB71" s="20">
        <f>SUM(AD71:AI71)+AN71+AO71</f>
        <v>51.819223010327072</v>
      </c>
      <c r="AC71" s="5">
        <f t="shared" si="19"/>
        <v>0</v>
      </c>
      <c r="AD71">
        <f t="shared" si="20"/>
        <v>0</v>
      </c>
      <c r="AE71">
        <f t="shared" si="21"/>
        <v>0.8442129170953</v>
      </c>
      <c r="AF71" s="1" cm="1">
        <f t="array" ref="AF71">_xlfn.IFS(C71="Biomass_Corn", 1/H71*S71, C71="Biomass_Agri", 1/H71*V71, C71="Biomass_Wood", 1/H71*U71, C71="Biomass_Herb", 1/H71*T71)</f>
        <v>54.762078186656993</v>
      </c>
      <c r="AG71">
        <f>M71/H71/(0.9*8760)</f>
        <v>1.8459716853700829</v>
      </c>
      <c r="AH71">
        <f>N71/H71/(0.9*8760)</f>
        <v>8.2322589053372308</v>
      </c>
      <c r="AI71">
        <f>O71/H71</f>
        <v>-8.1434431562275815</v>
      </c>
      <c r="AJ71" s="1">
        <f t="shared" si="23"/>
        <v>1.9052701134128821E-2</v>
      </c>
      <c r="AK71" s="1">
        <f t="shared" si="24"/>
        <v>-7.8077413422656381</v>
      </c>
      <c r="AL71">
        <f>AJ71*Q71</f>
        <v>2.0858858143606906</v>
      </c>
      <c r="AM71" s="1">
        <f t="shared" si="25"/>
        <v>-9.6169182750973053E-2</v>
      </c>
      <c r="AN71" s="1">
        <f t="shared" si="26"/>
        <v>4.8067268849891196</v>
      </c>
      <c r="AO71">
        <f>AM71*Q71</f>
        <v>-10.528582412894066</v>
      </c>
      <c r="AQ71" s="19">
        <f>J71</f>
        <v>1.7588666580000001</v>
      </c>
      <c r="AR71" s="9">
        <v>0.243968185</v>
      </c>
      <c r="AS71" s="9">
        <v>0.24942761299999999</v>
      </c>
      <c r="AT71" s="10">
        <v>0.24635668499999999</v>
      </c>
      <c r="AU71" s="19">
        <v>0.23037490999999999</v>
      </c>
      <c r="AW71" s="10">
        <f t="shared" si="27"/>
        <v>1.7588666580000001</v>
      </c>
      <c r="AY71" s="10">
        <f>AR71*F71</f>
        <v>0</v>
      </c>
      <c r="AZ71" s="10">
        <f>AS71*H71</f>
        <v>0.77430761603805587</v>
      </c>
      <c r="BA71" s="10">
        <f>AT71*G71</f>
        <v>0</v>
      </c>
      <c r="BB71" s="10">
        <f>L71</f>
        <v>0.68601739399999995</v>
      </c>
      <c r="BC71" s="10">
        <f>K71</f>
        <v>0.35768767200000001</v>
      </c>
      <c r="BE71" s="1">
        <f t="shared" si="28"/>
        <v>-5.9146024038055689E-2</v>
      </c>
    </row>
    <row r="72" spans="2:57" x14ac:dyDescent="0.2">
      <c r="B72" s="23"/>
      <c r="C72" s="22" t="s">
        <v>48</v>
      </c>
      <c r="D72" s="22">
        <v>0</v>
      </c>
      <c r="E72" s="22">
        <v>8.5342824999999997E-2</v>
      </c>
      <c r="F72" s="22"/>
      <c r="G72" s="22"/>
      <c r="H72" s="22">
        <v>3.1043379949999999</v>
      </c>
      <c r="I72" s="24">
        <f t="shared" si="22"/>
        <v>3.1043379949999999</v>
      </c>
      <c r="J72" s="22">
        <v>1.7588666580000001</v>
      </c>
      <c r="K72" s="22">
        <v>0.35768767200000001</v>
      </c>
      <c r="L72" s="22">
        <v>0.68601739399999995</v>
      </c>
      <c r="M72" s="22">
        <v>45179.42</v>
      </c>
      <c r="N72" s="22">
        <v>201481.25</v>
      </c>
      <c r="O72" s="22">
        <v>-25.28</v>
      </c>
      <c r="Q72" s="21">
        <v>109.479795</v>
      </c>
      <c r="R72" s="21">
        <v>-31.70346</v>
      </c>
      <c r="S72" s="21">
        <v>170</v>
      </c>
      <c r="T72" s="21">
        <v>110.461518</v>
      </c>
      <c r="U72" s="21">
        <v>127.408748</v>
      </c>
      <c r="V72" s="21">
        <v>98.832477999999995</v>
      </c>
      <c r="W72" s="21">
        <v>25.324636999999999</v>
      </c>
      <c r="Y72">
        <f t="shared" si="17"/>
        <v>0</v>
      </c>
      <c r="Z72" t="str">
        <f t="shared" si="18"/>
        <v>Biomass_Corn</v>
      </c>
      <c r="AA72" s="20">
        <f>SUM(AD72:AI72)+AK72+AL72</f>
        <v>50.517427176190203</v>
      </c>
      <c r="AB72" s="20">
        <f>SUM(AD72:AI72)+AN72+AO72</f>
        <v>50.517427176190203</v>
      </c>
      <c r="AC72" s="5">
        <f t="shared" si="19"/>
        <v>0</v>
      </c>
      <c r="AD72">
        <f t="shared" si="20"/>
        <v>0</v>
      </c>
      <c r="AE72">
        <f t="shared" si="21"/>
        <v>0.69621158107157877</v>
      </c>
      <c r="AF72" s="1" cm="1">
        <f t="array" ref="AF72">_xlfn.IFS(C72="Biomass_Corn", 1/H72*S72, C72="Biomass_Agri", 1/H72*V72, C72="Biomass_Wood", 1/H72*U72, C72="Biomass_Herb", 1/H72*T72)</f>
        <v>54.762078186656993</v>
      </c>
      <c r="AG72">
        <f>M72/H72/(0.9*8760)</f>
        <v>1.8459716853700829</v>
      </c>
      <c r="AH72">
        <f>N72/H72/(0.9*8760)</f>
        <v>8.2322589053372308</v>
      </c>
      <c r="AI72">
        <f>O72/H72</f>
        <v>-8.1434431562275815</v>
      </c>
      <c r="AJ72" s="1">
        <f t="shared" si="23"/>
        <v>1.9052701134128821E-2</v>
      </c>
      <c r="AK72" s="1">
        <f t="shared" si="24"/>
        <v>-8.9615358403787848</v>
      </c>
      <c r="AL72">
        <f>AJ72*Q72</f>
        <v>2.0858858143606906</v>
      </c>
      <c r="AM72" s="1">
        <f t="shared" si="25"/>
        <v>-9.6169182750973053E-2</v>
      </c>
      <c r="AN72" s="1">
        <f t="shared" si="26"/>
        <v>3.6529323868759724</v>
      </c>
      <c r="AO72">
        <f>AM72*Q72</f>
        <v>-10.528582412894066</v>
      </c>
      <c r="AQ72" s="19">
        <f>J72</f>
        <v>1.7588666580000001</v>
      </c>
      <c r="AR72" s="9">
        <v>0.243968185</v>
      </c>
      <c r="AS72" s="9">
        <v>0.24942761299999999</v>
      </c>
      <c r="AT72" s="10">
        <v>0.24635668499999999</v>
      </c>
      <c r="AU72" s="19">
        <v>0.23037490999999999</v>
      </c>
      <c r="AW72" s="10">
        <f t="shared" si="27"/>
        <v>1.7588666580000001</v>
      </c>
      <c r="AY72" s="10">
        <f>AR72*F72</f>
        <v>0</v>
      </c>
      <c r="AZ72" s="10">
        <f>AS72*H72</f>
        <v>0.77430761603805587</v>
      </c>
      <c r="BA72" s="10">
        <f>AT72*G72</f>
        <v>0</v>
      </c>
      <c r="BB72" s="10">
        <f>L72</f>
        <v>0.68601739399999995</v>
      </c>
      <c r="BC72" s="10">
        <f>K72</f>
        <v>0.35768767200000001</v>
      </c>
      <c r="BE72" s="1">
        <f t="shared" si="28"/>
        <v>-5.9146024038055689E-2</v>
      </c>
    </row>
    <row r="73" spans="2:57" x14ac:dyDescent="0.2">
      <c r="B73" s="23"/>
      <c r="C73" s="22" t="s">
        <v>48</v>
      </c>
      <c r="D73" s="22">
        <v>0</v>
      </c>
      <c r="E73" s="22">
        <v>8.5342824999999997E-2</v>
      </c>
      <c r="F73" s="22"/>
      <c r="G73" s="22"/>
      <c r="H73" s="22">
        <v>3.1043379949999999</v>
      </c>
      <c r="I73" s="24">
        <f t="shared" si="22"/>
        <v>3.1043379949999999</v>
      </c>
      <c r="J73" s="22">
        <v>1.7588666580000001</v>
      </c>
      <c r="K73" s="22">
        <v>0.35768767200000001</v>
      </c>
      <c r="L73" s="22">
        <v>0.68601739399999995</v>
      </c>
      <c r="M73" s="22">
        <v>45179.42</v>
      </c>
      <c r="N73" s="22">
        <v>201481.25</v>
      </c>
      <c r="O73" s="22">
        <v>-25.28</v>
      </c>
      <c r="Q73" s="21">
        <v>109.479795</v>
      </c>
      <c r="R73" s="21">
        <v>-47.70091</v>
      </c>
      <c r="S73" s="21">
        <v>170</v>
      </c>
      <c r="T73" s="21">
        <v>99.632842999999994</v>
      </c>
      <c r="U73" s="21">
        <v>113.227017</v>
      </c>
      <c r="V73" s="21">
        <v>88.855315000000004</v>
      </c>
      <c r="W73" s="21">
        <v>38.218446</v>
      </c>
      <c r="Y73">
        <f t="shared" si="17"/>
        <v>0</v>
      </c>
      <c r="Z73" t="str">
        <f t="shared" si="18"/>
        <v>Biomass_Corn</v>
      </c>
      <c r="AA73" s="20">
        <f>SUM(AD73:AI73)+AK73+AL73</f>
        <v>52.715153307975939</v>
      </c>
      <c r="AB73" s="20">
        <f>SUM(AD73:AI73)+AN73+AO73</f>
        <v>52.715153307975932</v>
      </c>
      <c r="AC73" s="5">
        <f t="shared" si="19"/>
        <v>0</v>
      </c>
      <c r="AD73">
        <f t="shared" si="20"/>
        <v>0</v>
      </c>
      <c r="AE73">
        <f t="shared" si="21"/>
        <v>1.0506813864995876</v>
      </c>
      <c r="AF73" s="1" cm="1">
        <f t="array" ref="AF73">_xlfn.IFS(C73="Biomass_Corn", 1/H73*S73, C73="Biomass_Agri", 1/H73*V73, C73="Biomass_Wood", 1/H73*U73, C73="Biomass_Herb", 1/H73*T73)</f>
        <v>54.762078186656993</v>
      </c>
      <c r="AG73">
        <f>M73/H73/(0.9*8760)</f>
        <v>1.8459716853700829</v>
      </c>
      <c r="AH73">
        <f>N73/H73/(0.9*8760)</f>
        <v>8.2322589053372308</v>
      </c>
      <c r="AI73">
        <f>O73/H73</f>
        <v>-8.1434431562275815</v>
      </c>
      <c r="AJ73" s="1">
        <f t="shared" si="23"/>
        <v>1.9052701134128821E-2</v>
      </c>
      <c r="AK73" s="1">
        <f t="shared" si="24"/>
        <v>-7.1182795140210633</v>
      </c>
      <c r="AL73">
        <f>AJ73*Q73</f>
        <v>2.0858858143606906</v>
      </c>
      <c r="AM73" s="1">
        <f t="shared" si="25"/>
        <v>-9.6169182750973053E-2</v>
      </c>
      <c r="AN73" s="1">
        <f t="shared" si="26"/>
        <v>5.4961887132336953</v>
      </c>
      <c r="AO73">
        <f>AM73*Q73</f>
        <v>-10.528582412894066</v>
      </c>
      <c r="AQ73" s="19">
        <f>J73</f>
        <v>1.7588666580000001</v>
      </c>
      <c r="AR73" s="9">
        <v>0.243968185</v>
      </c>
      <c r="AS73" s="9">
        <v>0.24942761299999999</v>
      </c>
      <c r="AT73" s="10">
        <v>0.24635668499999999</v>
      </c>
      <c r="AU73" s="19">
        <v>0.23037490999999999</v>
      </c>
      <c r="AW73" s="10">
        <f t="shared" si="27"/>
        <v>1.7588666580000001</v>
      </c>
      <c r="AY73" s="10">
        <f>AR73*F73</f>
        <v>0</v>
      </c>
      <c r="AZ73" s="10">
        <f>AS73*H73</f>
        <v>0.77430761603805587</v>
      </c>
      <c r="BA73" s="10">
        <f>AT73*G73</f>
        <v>0</v>
      </c>
      <c r="BB73" s="10">
        <f>L73</f>
        <v>0.68601739399999995</v>
      </c>
      <c r="BC73" s="10">
        <f>K73</f>
        <v>0.35768767200000001</v>
      </c>
      <c r="BE73" s="1">
        <f t="shared" si="28"/>
        <v>-5.9146024038055689E-2</v>
      </c>
    </row>
    <row r="74" spans="2:57" x14ac:dyDescent="0.2">
      <c r="B74" s="23"/>
      <c r="C74" s="22" t="s">
        <v>48</v>
      </c>
      <c r="D74" s="22">
        <v>0</v>
      </c>
      <c r="E74" s="22">
        <v>8.5342824999999997E-2</v>
      </c>
      <c r="F74" s="22"/>
      <c r="G74" s="22"/>
      <c r="H74" s="22">
        <v>3.1043379949999999</v>
      </c>
      <c r="I74" s="24">
        <f t="shared" si="22"/>
        <v>3.1043379949999999</v>
      </c>
      <c r="J74" s="22">
        <v>1.7588666580000001</v>
      </c>
      <c r="K74" s="22">
        <v>0.35768767200000001</v>
      </c>
      <c r="L74" s="22">
        <v>0.68601739399999995</v>
      </c>
      <c r="M74" s="22">
        <v>45179.42</v>
      </c>
      <c r="N74" s="22">
        <v>201481.25</v>
      </c>
      <c r="O74" s="22">
        <v>-25.28</v>
      </c>
      <c r="Q74" s="21">
        <v>109.479795</v>
      </c>
      <c r="R74" s="21">
        <v>-54.115442999999999</v>
      </c>
      <c r="S74" s="21">
        <v>170</v>
      </c>
      <c r="T74" s="21">
        <v>100.77374399999999</v>
      </c>
      <c r="U74" s="21">
        <v>108.668072</v>
      </c>
      <c r="V74" s="21">
        <v>89.424565000000001</v>
      </c>
      <c r="W74" s="21">
        <v>39.359471999999997</v>
      </c>
      <c r="Y74">
        <f t="shared" si="17"/>
        <v>0</v>
      </c>
      <c r="Z74" t="str">
        <f t="shared" si="18"/>
        <v>Biomass_Corn</v>
      </c>
      <c r="AA74" s="20">
        <f>SUM(AD74:AI74)+AK74+AL74</f>
        <v>53.485616370254576</v>
      </c>
      <c r="AB74" s="20">
        <f>SUM(AD74:AI74)+AN74+AO74</f>
        <v>53.485616370254576</v>
      </c>
      <c r="AC74" s="5">
        <f t="shared" si="19"/>
        <v>0</v>
      </c>
      <c r="AD74">
        <f t="shared" si="20"/>
        <v>0</v>
      </c>
      <c r="AE74">
        <f t="shared" si="21"/>
        <v>1.0820498722750709</v>
      </c>
      <c r="AF74" s="1" cm="1">
        <f t="array" ref="AF74">_xlfn.IFS(C74="Biomass_Corn", 1/H74*S74, C74="Biomass_Agri", 1/H74*V74, C74="Biomass_Wood", 1/H74*U74, C74="Biomass_Herb", 1/H74*T74)</f>
        <v>54.762078186656993</v>
      </c>
      <c r="AG74">
        <f>M74/H74/(0.9*8760)</f>
        <v>1.8459716853700829</v>
      </c>
      <c r="AH74">
        <f>N74/H74/(0.9*8760)</f>
        <v>8.2322589053372308</v>
      </c>
      <c r="AI74">
        <f>O74/H74</f>
        <v>-8.1434431562275815</v>
      </c>
      <c r="AJ74" s="1">
        <f t="shared" si="23"/>
        <v>1.9052701134128821E-2</v>
      </c>
      <c r="AK74" s="1">
        <f t="shared" si="24"/>
        <v>-6.379184937517909</v>
      </c>
      <c r="AL74">
        <f>AJ74*Q74</f>
        <v>2.0858858143606906</v>
      </c>
      <c r="AM74" s="1">
        <f t="shared" si="25"/>
        <v>-9.6169182750973053E-2</v>
      </c>
      <c r="AN74" s="1">
        <f t="shared" si="26"/>
        <v>6.2352832897368495</v>
      </c>
      <c r="AO74">
        <f>AM74*Q74</f>
        <v>-10.528582412894066</v>
      </c>
      <c r="AQ74" s="19">
        <f>J74</f>
        <v>1.7588666580000001</v>
      </c>
      <c r="AR74" s="9">
        <v>0.243968185</v>
      </c>
      <c r="AS74" s="9">
        <v>0.24942761299999999</v>
      </c>
      <c r="AT74" s="10">
        <v>0.24635668499999999</v>
      </c>
      <c r="AU74" s="19">
        <v>0.23037490999999999</v>
      </c>
      <c r="AW74" s="10">
        <f t="shared" si="27"/>
        <v>1.7588666580000001</v>
      </c>
      <c r="AY74" s="10">
        <f>AR74*F74</f>
        <v>0</v>
      </c>
      <c r="AZ74" s="10">
        <f>AS74*H74</f>
        <v>0.77430761603805587</v>
      </c>
      <c r="BA74" s="10">
        <f>AT74*G74</f>
        <v>0</v>
      </c>
      <c r="BB74" s="10">
        <f>L74</f>
        <v>0.68601739399999995</v>
      </c>
      <c r="BC74" s="10">
        <f>K74</f>
        <v>0.35768767200000001</v>
      </c>
      <c r="BE74" s="1">
        <f t="shared" si="28"/>
        <v>-5.9146024038055689E-2</v>
      </c>
    </row>
    <row r="75" spans="2:57" x14ac:dyDescent="0.2">
      <c r="B75" s="23"/>
      <c r="C75" s="22" t="s">
        <v>48</v>
      </c>
      <c r="D75" s="22">
        <v>0</v>
      </c>
      <c r="E75" s="22">
        <v>8.5342824999999997E-2</v>
      </c>
      <c r="F75" s="22"/>
      <c r="G75" s="22"/>
      <c r="H75" s="22">
        <v>3.1043379949999999</v>
      </c>
      <c r="I75" s="24">
        <f t="shared" si="22"/>
        <v>3.1043379949999999</v>
      </c>
      <c r="J75" s="22">
        <v>1.7588666580000001</v>
      </c>
      <c r="K75" s="22">
        <v>0.35768767200000001</v>
      </c>
      <c r="L75" s="22">
        <v>0.68601739399999995</v>
      </c>
      <c r="M75" s="22">
        <v>45179.42</v>
      </c>
      <c r="N75" s="22">
        <v>201481.25</v>
      </c>
      <c r="O75" s="22">
        <v>-25.28</v>
      </c>
      <c r="Q75" s="21">
        <v>109.479795</v>
      </c>
      <c r="R75" s="21">
        <v>-62.623761000000002</v>
      </c>
      <c r="S75" s="21">
        <v>170</v>
      </c>
      <c r="T75" s="21">
        <v>101.59236199999999</v>
      </c>
      <c r="U75" s="21">
        <v>107.351319</v>
      </c>
      <c r="V75" s="21">
        <v>91.706649999999996</v>
      </c>
      <c r="W75" s="21">
        <v>47.446024999999999</v>
      </c>
      <c r="Y75">
        <f t="shared" si="17"/>
        <v>0</v>
      </c>
      <c r="Z75" t="str">
        <f t="shared" si="18"/>
        <v>Biomass_Corn</v>
      </c>
      <c r="AA75" s="20">
        <f>SUM(AD75:AI75)+AK75+AL75</f>
        <v>27.380988115947119</v>
      </c>
      <c r="AB75" s="20">
        <f>SUM(AD75:AI75)+AN75+AO75</f>
        <v>27.380988115947119</v>
      </c>
      <c r="AC75" s="5">
        <f t="shared" si="19"/>
        <v>0</v>
      </c>
      <c r="AD75">
        <f t="shared" si="20"/>
        <v>0</v>
      </c>
      <c r="AE75">
        <f t="shared" si="21"/>
        <v>1.3043611278934286</v>
      </c>
      <c r="AF75" s="1" cm="1">
        <f t="array" ref="AF75">_xlfn.IFS(C75="Biomass_Corn", 1/H75*S75, C75="Biomass_Agri", 1/H75*V75, C75="Biomass_Wood", 1/H75*U75, C75="Biomass_Herb", 1/H75*T75)</f>
        <v>54.762078186656993</v>
      </c>
      <c r="AG75">
        <f>M75/H75/(0.9*8760)</f>
        <v>1.8459716853700829</v>
      </c>
      <c r="AH75">
        <f>N75/H75/(0.9*8760)</f>
        <v>8.2322589053372308</v>
      </c>
      <c r="AI75">
        <f>O75/H75</f>
        <v>-8.1434431562275815</v>
      </c>
      <c r="AJ75" s="1">
        <f t="shared" si="23"/>
        <v>-0.23037491186587114</v>
      </c>
      <c r="AK75" s="1">
        <f t="shared" si="24"/>
        <v>-5.3988405088643852</v>
      </c>
      <c r="AL75">
        <f>AJ75*Q75</f>
        <v>-25.221398124218638</v>
      </c>
      <c r="AM75" s="1">
        <f t="shared" si="25"/>
        <v>-0.34559679575097307</v>
      </c>
      <c r="AN75" s="1">
        <f t="shared" si="26"/>
        <v>7.2156277183903725</v>
      </c>
      <c r="AO75">
        <f>AM75*Q75</f>
        <v>-37.835866351473399</v>
      </c>
      <c r="AQ75" s="19">
        <f>J75</f>
        <v>1.7588666580000001</v>
      </c>
      <c r="AR75" s="19"/>
      <c r="AS75" s="19"/>
      <c r="AT75" s="18">
        <v>0.181048235160161</v>
      </c>
      <c r="AU75" s="19">
        <v>0.23037490999999999</v>
      </c>
      <c r="AW75" s="10">
        <f t="shared" si="27"/>
        <v>1.7588666580000001</v>
      </c>
      <c r="AY75" s="10">
        <f>AR75*F75</f>
        <v>0</v>
      </c>
      <c r="AZ75" s="10">
        <f>AS75*H75</f>
        <v>0</v>
      </c>
      <c r="BA75" s="10">
        <f>AT75*G75</f>
        <v>0</v>
      </c>
      <c r="BB75" s="10">
        <f>L75</f>
        <v>0.68601739399999995</v>
      </c>
      <c r="BC75" s="10">
        <f>K75</f>
        <v>0.35768767200000001</v>
      </c>
      <c r="BE75" s="1">
        <f t="shared" si="28"/>
        <v>0.71516159200000007</v>
      </c>
    </row>
    <row r="76" spans="2:57" x14ac:dyDescent="0.2">
      <c r="AA76" s="5"/>
      <c r="AB76" s="5"/>
      <c r="AC76" s="5"/>
      <c r="AQ76" s="8"/>
      <c r="AR76" s="8"/>
      <c r="AS76" s="8"/>
      <c r="AU76" s="8"/>
    </row>
    <row r="77" spans="2:57" x14ac:dyDescent="0.2">
      <c r="AA77" s="5"/>
      <c r="AB77" s="5"/>
      <c r="AC77" s="5"/>
      <c r="AQ77" s="8"/>
      <c r="AR77" s="8"/>
      <c r="AS77" s="8"/>
      <c r="AU77" s="8"/>
    </row>
    <row r="78" spans="2:57" x14ac:dyDescent="0.2">
      <c r="AA78" s="5"/>
      <c r="AB78" s="5"/>
      <c r="AC78" s="5"/>
      <c r="AQ78" s="8"/>
      <c r="AR78" s="8"/>
      <c r="AS78" s="8"/>
      <c r="AU78" s="8"/>
    </row>
    <row r="79" spans="2:57" x14ac:dyDescent="0.2">
      <c r="AA79" s="5"/>
      <c r="AB79" s="5"/>
      <c r="AC79" s="5"/>
      <c r="AQ79" s="8"/>
      <c r="AR79" s="8"/>
      <c r="AS79" s="8"/>
      <c r="AU79" s="8"/>
    </row>
    <row r="80" spans="2:57" x14ac:dyDescent="0.2">
      <c r="AA80" s="5"/>
      <c r="AB80" s="5"/>
      <c r="AC80" s="5"/>
      <c r="AQ80" s="8"/>
      <c r="AR80" s="8"/>
      <c r="AS80" s="8"/>
      <c r="AU80" s="8"/>
    </row>
    <row r="81" spans="27:47" x14ac:dyDescent="0.2">
      <c r="AA81" s="5"/>
      <c r="AB81" s="5"/>
      <c r="AC81" s="5"/>
      <c r="AQ81" s="8"/>
      <c r="AR81" s="8"/>
      <c r="AS81" s="8"/>
      <c r="AU81" s="8"/>
    </row>
    <row r="82" spans="27:47" x14ac:dyDescent="0.2">
      <c r="AA82" s="5"/>
      <c r="AB82" s="5"/>
      <c r="AC82" s="5"/>
      <c r="AQ82" s="8"/>
      <c r="AR82" s="8"/>
      <c r="AS82" s="8"/>
      <c r="AU82" s="8"/>
    </row>
    <row r="83" spans="27:47" x14ac:dyDescent="0.2">
      <c r="AA83" s="5"/>
      <c r="AB83" s="5"/>
      <c r="AC83" s="5"/>
      <c r="AQ83" s="8"/>
      <c r="AR83" s="8"/>
      <c r="AS83" s="8"/>
      <c r="AU83" s="8"/>
    </row>
    <row r="84" spans="27:47" x14ac:dyDescent="0.2">
      <c r="AA84" s="5"/>
      <c r="AB84" s="5"/>
      <c r="AC84" s="5"/>
      <c r="AQ84" s="8"/>
      <c r="AR84" s="8"/>
      <c r="AS84" s="8"/>
      <c r="AU84" s="8"/>
    </row>
    <row r="85" spans="27:47" x14ac:dyDescent="0.2">
      <c r="AA85" s="5"/>
      <c r="AB85" s="5"/>
      <c r="AC85" s="5"/>
      <c r="AQ85" s="8"/>
      <c r="AR85" s="8"/>
      <c r="AS85" s="8"/>
      <c r="AU85" s="8"/>
    </row>
    <row r="86" spans="27:47" x14ac:dyDescent="0.2">
      <c r="AA86" s="5"/>
      <c r="AB86" s="5"/>
      <c r="AC86" s="5"/>
      <c r="AQ86" s="8"/>
      <c r="AR86" s="8"/>
      <c r="AS86" s="8"/>
      <c r="AU86" s="8"/>
    </row>
    <row r="87" spans="27:47" x14ac:dyDescent="0.2">
      <c r="AA87" s="5"/>
      <c r="AB87" s="5"/>
      <c r="AC87" s="5"/>
      <c r="AQ87" s="8"/>
      <c r="AR87" s="8"/>
      <c r="AS87" s="8"/>
      <c r="AU87" s="8"/>
    </row>
    <row r="88" spans="27:47" x14ac:dyDescent="0.2">
      <c r="AA88" s="5"/>
      <c r="AB88" s="5"/>
      <c r="AC88" s="5"/>
      <c r="AQ88" s="8"/>
      <c r="AR88" s="8"/>
      <c r="AS88" s="8"/>
      <c r="AU88" s="8"/>
    </row>
    <row r="89" spans="27:47" x14ac:dyDescent="0.2">
      <c r="AA89" s="5"/>
      <c r="AB89" s="5"/>
      <c r="AC89" s="5"/>
      <c r="AQ89" s="8"/>
      <c r="AR89" s="8"/>
      <c r="AS89" s="8"/>
      <c r="AU89" s="8"/>
    </row>
    <row r="90" spans="27:47" x14ac:dyDescent="0.2">
      <c r="AA90" s="5"/>
      <c r="AB90" s="5"/>
      <c r="AC90" s="5"/>
      <c r="AQ90" s="8"/>
      <c r="AR90" s="8"/>
      <c r="AS90" s="8"/>
      <c r="AU90" s="8"/>
    </row>
    <row r="91" spans="27:47" x14ac:dyDescent="0.2">
      <c r="AA91" s="5"/>
      <c r="AB91" s="5"/>
      <c r="AC91" s="5"/>
      <c r="AQ91" s="8"/>
      <c r="AR91" s="8"/>
      <c r="AS91" s="8"/>
      <c r="AU91" s="8"/>
    </row>
    <row r="92" spans="27:47" x14ac:dyDescent="0.2">
      <c r="AA92" s="5"/>
      <c r="AB92" s="5"/>
      <c r="AC92" s="5"/>
      <c r="AQ92" s="8"/>
      <c r="AR92" s="8"/>
      <c r="AS92" s="8"/>
      <c r="AU92" s="8"/>
    </row>
    <row r="93" spans="27:47" x14ac:dyDescent="0.2">
      <c r="AA93" s="5"/>
      <c r="AB93" s="5"/>
      <c r="AC93" s="5"/>
      <c r="AQ93" s="8"/>
      <c r="AR93" s="8"/>
      <c r="AS93" s="8"/>
      <c r="AU93" s="8"/>
    </row>
    <row r="94" spans="27:47" x14ac:dyDescent="0.2">
      <c r="AA94" s="5"/>
      <c r="AB94" s="5"/>
      <c r="AC94" s="5"/>
      <c r="AQ94" s="8"/>
      <c r="AR94" s="8"/>
      <c r="AS94" s="8"/>
      <c r="AU94" s="8"/>
    </row>
    <row r="95" spans="27:47" x14ac:dyDescent="0.2">
      <c r="AA95" s="5"/>
      <c r="AB95" s="5"/>
      <c r="AC95" s="5"/>
      <c r="AQ95" s="8"/>
      <c r="AR95" s="8"/>
      <c r="AS95" s="8"/>
      <c r="AU95" s="8"/>
    </row>
    <row r="96" spans="27:47" x14ac:dyDescent="0.2">
      <c r="AA96" s="5"/>
      <c r="AB96" s="5"/>
      <c r="AC96" s="5"/>
      <c r="AQ96" s="8"/>
      <c r="AR96" s="8"/>
      <c r="AS96" s="8"/>
      <c r="AU96" s="8"/>
    </row>
    <row r="97" spans="27:47" x14ac:dyDescent="0.2">
      <c r="AA97" s="5"/>
      <c r="AB97" s="5"/>
      <c r="AC97" s="5"/>
      <c r="AQ97" s="8"/>
      <c r="AR97" s="8"/>
      <c r="AS97" s="8"/>
      <c r="AU97" s="8"/>
    </row>
    <row r="98" spans="27:47" x14ac:dyDescent="0.2">
      <c r="AA98" s="5"/>
      <c r="AB98" s="5"/>
      <c r="AC98" s="5"/>
      <c r="AQ98" s="8"/>
      <c r="AR98" s="8"/>
      <c r="AS98" s="8"/>
      <c r="AU98" s="8"/>
    </row>
    <row r="99" spans="27:47" x14ac:dyDescent="0.2">
      <c r="AA99" s="5"/>
      <c r="AB99" s="5"/>
      <c r="AC99" s="5"/>
      <c r="AQ99" s="8"/>
      <c r="AR99" s="8"/>
      <c r="AS99" s="8"/>
      <c r="AU99" s="8"/>
    </row>
    <row r="100" spans="27:47" x14ac:dyDescent="0.2">
      <c r="AA100" s="5"/>
      <c r="AB100" s="5"/>
      <c r="AC100" s="5"/>
      <c r="AQ100" s="8"/>
      <c r="AR100" s="8"/>
      <c r="AS100" s="8"/>
      <c r="AU100" s="8"/>
    </row>
    <row r="101" spans="27:47" x14ac:dyDescent="0.2">
      <c r="AA101" s="5"/>
      <c r="AB101" s="5"/>
      <c r="AC101" s="5"/>
      <c r="AQ101" s="8"/>
      <c r="AR101" s="8"/>
      <c r="AS101" s="8"/>
      <c r="AU101" s="8"/>
    </row>
    <row r="102" spans="27:47" x14ac:dyDescent="0.2">
      <c r="AA102" s="5"/>
      <c r="AB102" s="5"/>
      <c r="AC102" s="5"/>
      <c r="AQ102" s="8"/>
      <c r="AR102" s="8"/>
      <c r="AS102" s="8"/>
      <c r="AU102" s="8"/>
    </row>
    <row r="103" spans="27:47" x14ac:dyDescent="0.2">
      <c r="AA103" s="5"/>
      <c r="AB103" s="5"/>
      <c r="AC103" s="5"/>
      <c r="AQ103" s="8"/>
      <c r="AR103" s="8"/>
      <c r="AS103" s="8"/>
      <c r="AU103" s="8"/>
    </row>
    <row r="104" spans="27:47" x14ac:dyDescent="0.2">
      <c r="AA104" s="5"/>
      <c r="AB104" s="5"/>
      <c r="AC104" s="5"/>
      <c r="AQ104" s="8"/>
      <c r="AR104" s="8"/>
      <c r="AS104" s="8"/>
      <c r="AU104" s="8"/>
    </row>
    <row r="105" spans="27:47" x14ac:dyDescent="0.2">
      <c r="AA105" s="5"/>
      <c r="AB105" s="5"/>
      <c r="AC105" s="5"/>
    </row>
    <row r="106" spans="27:47" x14ac:dyDescent="0.2">
      <c r="AA106" s="5"/>
      <c r="AB106" s="5"/>
      <c r="AC106" s="5"/>
    </row>
    <row r="107" spans="27:47" x14ac:dyDescent="0.2">
      <c r="AA107" s="5"/>
      <c r="AB107" s="5"/>
      <c r="AC10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339BF-7F68-284A-BD1D-FC402D7FBBD8}">
  <dimension ref="B1:Z74"/>
  <sheetViews>
    <sheetView zoomScale="50" zoomScaleNormal="112" workbookViewId="0">
      <selection activeCell="BI34" sqref="BI34"/>
    </sheetView>
  </sheetViews>
  <sheetFormatPr baseColWidth="10" defaultRowHeight="16" x14ac:dyDescent="0.2"/>
  <cols>
    <col min="2" max="2" width="37.83203125" bestFit="1" customWidth="1"/>
    <col min="3" max="3" width="13.6640625" bestFit="1" customWidth="1"/>
    <col min="4" max="4" width="15.1640625" bestFit="1" customWidth="1"/>
    <col min="5" max="5" width="18.5" bestFit="1" customWidth="1"/>
    <col min="6" max="6" width="17.1640625" bestFit="1" customWidth="1"/>
    <col min="7" max="7" width="13.6640625" bestFit="1" customWidth="1"/>
    <col min="8" max="8" width="12.1640625" bestFit="1" customWidth="1"/>
    <col min="9" max="9" width="14.5" bestFit="1" customWidth="1"/>
    <col min="10" max="10" width="17.83203125" bestFit="1" customWidth="1"/>
    <col min="11" max="11" width="19.33203125" bestFit="1" customWidth="1"/>
    <col min="12" max="12" width="18.6640625" bestFit="1" customWidth="1"/>
    <col min="13" max="13" width="16.33203125" bestFit="1" customWidth="1"/>
    <col min="15" max="15" width="39" bestFit="1" customWidth="1"/>
    <col min="16" max="16" width="13.6640625" bestFit="1" customWidth="1"/>
    <col min="17" max="17" width="15.1640625" bestFit="1" customWidth="1"/>
    <col min="18" max="18" width="18.5" bestFit="1" customWidth="1"/>
    <col min="19" max="19" width="17.1640625" bestFit="1" customWidth="1"/>
    <col min="20" max="20" width="13.6640625" bestFit="1" customWidth="1"/>
    <col min="21" max="21" width="12.1640625" bestFit="1" customWidth="1"/>
    <col min="22" max="22" width="14.5" bestFit="1" customWidth="1"/>
    <col min="23" max="23" width="17.83203125" bestFit="1" customWidth="1"/>
    <col min="24" max="24" width="19.33203125" bestFit="1" customWidth="1"/>
    <col min="25" max="25" width="18.6640625" bestFit="1" customWidth="1"/>
    <col min="26" max="26" width="16.33203125" bestFit="1" customWidth="1"/>
  </cols>
  <sheetData>
    <row r="1" spans="2:26" x14ac:dyDescent="0.2">
      <c r="B1" t="s">
        <v>49</v>
      </c>
      <c r="O1" t="s">
        <v>50</v>
      </c>
    </row>
    <row r="2" spans="2:26" x14ac:dyDescent="0.2">
      <c r="B2" s="2" t="s">
        <v>11</v>
      </c>
      <c r="C2" s="4" t="s">
        <v>33</v>
      </c>
      <c r="D2" s="4" t="s">
        <v>34</v>
      </c>
      <c r="E2" s="4" t="s">
        <v>35</v>
      </c>
      <c r="F2" s="4" t="s">
        <v>36</v>
      </c>
      <c r="G2" s="4" t="s">
        <v>37</v>
      </c>
      <c r="H2" s="4" t="s">
        <v>38</v>
      </c>
      <c r="I2" s="4" t="s">
        <v>39</v>
      </c>
      <c r="J2" s="3" t="s">
        <v>40</v>
      </c>
      <c r="K2" s="3" t="s">
        <v>41</v>
      </c>
      <c r="L2" s="3" t="s">
        <v>30</v>
      </c>
      <c r="M2" s="3" t="s">
        <v>31</v>
      </c>
      <c r="O2" s="2" t="s">
        <v>11</v>
      </c>
      <c r="P2" s="4" t="s">
        <v>33</v>
      </c>
      <c r="Q2" s="4" t="s">
        <v>34</v>
      </c>
      <c r="R2" s="4" t="s">
        <v>35</v>
      </c>
      <c r="S2" s="4" t="s">
        <v>36</v>
      </c>
      <c r="T2" s="4" t="s">
        <v>37</v>
      </c>
      <c r="U2" s="4" t="s">
        <v>38</v>
      </c>
      <c r="V2" s="4" t="s">
        <v>39</v>
      </c>
      <c r="W2" s="3" t="s">
        <v>40</v>
      </c>
      <c r="X2" s="3" t="s">
        <v>41</v>
      </c>
      <c r="Y2" s="3" t="s">
        <v>30</v>
      </c>
      <c r="Z2" s="3" t="s">
        <v>31</v>
      </c>
    </row>
    <row r="3" spans="2:26" x14ac:dyDescent="0.2">
      <c r="B3" t="str">
        <f>lc_detailed!B4</f>
        <v>CA_Gasoline_Gasification_Non_CCS_Herb</v>
      </c>
      <c r="C3">
        <f>lc_detailed!AD4</f>
        <v>-2.7330397246070137</v>
      </c>
      <c r="D3">
        <f>lc_detailed!AE4</f>
        <v>0</v>
      </c>
      <c r="E3">
        <f>lc_detailed!AF4</f>
        <v>55.653727327690454</v>
      </c>
      <c r="F3" t="e">
        <f>lc_detailed!#REF!</f>
        <v>#REF!</v>
      </c>
      <c r="G3">
        <f>lc_detailed!AG4</f>
        <v>17.45471442935871</v>
      </c>
      <c r="H3">
        <f>lc_detailed!AH4</f>
        <v>9.2063495350048488</v>
      </c>
      <c r="I3">
        <f>lc_detailed!AI4</f>
        <v>0.22672309552599759</v>
      </c>
      <c r="J3">
        <f>lc_detailed!AK4</f>
        <v>0</v>
      </c>
      <c r="K3">
        <f>lc_detailed!AL4</f>
        <v>2.0863450461886095</v>
      </c>
      <c r="L3">
        <f>lc_detailed!AB4</f>
        <v>81.894819709161609</v>
      </c>
      <c r="M3" t="e">
        <f>lc_detailed!#REF!</f>
        <v>#REF!</v>
      </c>
      <c r="O3" cm="1">
        <f t="array" ref="O3:Z74">_xlfn._xlws.SORT(B3:M74, 11, 1)</f>
        <v>0</v>
      </c>
      <c r="P3">
        <v>0</v>
      </c>
      <c r="Q3">
        <v>1.3043611278934286</v>
      </c>
      <c r="R3">
        <v>54.762078186656993</v>
      </c>
      <c r="S3" t="e">
        <v>#REF!</v>
      </c>
      <c r="T3">
        <v>1.8459716853700829</v>
      </c>
      <c r="U3">
        <v>8.2322589053372308</v>
      </c>
      <c r="V3">
        <v>-8.1434431562275815</v>
      </c>
      <c r="W3">
        <v>-5.3988405088643852</v>
      </c>
      <c r="X3">
        <v>-25.221398124218638</v>
      </c>
      <c r="Y3">
        <v>27.380988115947119</v>
      </c>
      <c r="Z3" t="e">
        <v>#REF!</v>
      </c>
    </row>
    <row r="4" spans="2:26" x14ac:dyDescent="0.2">
      <c r="B4" t="str">
        <f>lc_detailed!B5</f>
        <v>CA_Gasoline_Gasification_Non_CCS_Herb</v>
      </c>
      <c r="C4">
        <f>lc_detailed!AD5</f>
        <v>-4.2472829150772933</v>
      </c>
      <c r="D4">
        <f>lc_detailed!AE5</f>
        <v>0</v>
      </c>
      <c r="E4">
        <f>lc_detailed!AF5</f>
        <v>50.579072475406548</v>
      </c>
      <c r="F4" t="e">
        <f>lc_detailed!#REF!</f>
        <v>#REF!</v>
      </c>
      <c r="G4">
        <f>lc_detailed!AG5</f>
        <v>17.388133507022271</v>
      </c>
      <c r="H4">
        <f>lc_detailed!AH5</f>
        <v>9.1712319599867627</v>
      </c>
      <c r="I4">
        <f>lc_detailed!AI5</f>
        <v>0.22585826139329454</v>
      </c>
      <c r="J4">
        <f>lc_detailed!AK5</f>
        <v>0</v>
      </c>
      <c r="K4">
        <f>lc_detailed!AL5</f>
        <v>2.0860756262246327</v>
      </c>
      <c r="L4">
        <f>lc_detailed!AB5</f>
        <v>75.203088914956226</v>
      </c>
      <c r="M4" t="e">
        <f>lc_detailed!#REF!</f>
        <v>#REF!</v>
      </c>
      <c r="O4" t="str">
        <v>CA_Gasoline_Gasification_Non_CCS_Herb</v>
      </c>
      <c r="P4">
        <v>0</v>
      </c>
      <c r="Q4">
        <v>0.73605181175742107</v>
      </c>
      <c r="R4">
        <v>54.762078186656993</v>
      </c>
      <c r="S4" t="e">
        <v>#REF!</v>
      </c>
      <c r="T4">
        <v>1.1219173819252375</v>
      </c>
      <c r="U4">
        <v>7.8355578478551591</v>
      </c>
      <c r="V4">
        <v>-8.1724348446793407</v>
      </c>
      <c r="W4">
        <v>-11.767032817772119</v>
      </c>
      <c r="X4">
        <v>2.0858858143606906</v>
      </c>
      <c r="Y4">
        <v>46.602023380104036</v>
      </c>
      <c r="Z4" t="e">
        <v>#REF!</v>
      </c>
    </row>
    <row r="5" spans="2:26" x14ac:dyDescent="0.2">
      <c r="B5" t="str">
        <f>lc_detailed!B6</f>
        <v>CA_Gasoline_Gasification_Non_CCS_Herb</v>
      </c>
      <c r="C5">
        <f>lc_detailed!AD6</f>
        <v>-3.3142741931687283</v>
      </c>
      <c r="D5">
        <f>lc_detailed!AE6</f>
        <v>0</v>
      </c>
      <c r="E5">
        <f>lc_detailed!AF6</f>
        <v>52.169771122351882</v>
      </c>
      <c r="F5" t="e">
        <f>lc_detailed!#REF!</f>
        <v>#REF!</v>
      </c>
      <c r="G5">
        <f>lc_detailed!AG6</f>
        <v>17.350687233631078</v>
      </c>
      <c r="H5">
        <f>lc_detailed!AH6</f>
        <v>9.1514812225560309</v>
      </c>
      <c r="I5">
        <f>lc_detailed!AI6</f>
        <v>0.22537186357489861</v>
      </c>
      <c r="J5">
        <f>lc_detailed!AK6</f>
        <v>0</v>
      </c>
      <c r="K5">
        <f>lc_detailed!AL6</f>
        <v>2.0853812418137778</v>
      </c>
      <c r="L5">
        <f>lc_detailed!AB6</f>
        <v>77.668418490758924</v>
      </c>
      <c r="M5" t="e">
        <f>lc_detailed!#REF!</f>
        <v>#REF!</v>
      </c>
      <c r="O5" t="str">
        <v>CA_Gasoline_Gasification_Non_CCS_Herb</v>
      </c>
      <c r="P5">
        <v>0</v>
      </c>
      <c r="Q5">
        <v>1.0048323719933401</v>
      </c>
      <c r="R5">
        <v>54.762078186656993</v>
      </c>
      <c r="S5" t="e">
        <v>#REF!</v>
      </c>
      <c r="T5">
        <v>1.1219173819252375</v>
      </c>
      <c r="U5">
        <v>7.8355578478551591</v>
      </c>
      <c r="V5">
        <v>-8.1724348446793407</v>
      </c>
      <c r="W5">
        <v>-11.865994819847124</v>
      </c>
      <c r="X5">
        <v>2.0858858143606906</v>
      </c>
      <c r="Y5">
        <v>46.771841938264949</v>
      </c>
      <c r="Z5" t="e">
        <v>#REF!</v>
      </c>
    </row>
    <row r="6" spans="2:26" x14ac:dyDescent="0.2">
      <c r="B6" t="str">
        <f>lc_detailed!B7</f>
        <v>CA_Gasoline_Gasification_Non_CCS_Herb</v>
      </c>
      <c r="C6">
        <f>lc_detailed!AD7</f>
        <v>-4.1236960660105977</v>
      </c>
      <c r="D6">
        <f>lc_detailed!AE7</f>
        <v>0</v>
      </c>
      <c r="E6">
        <f>lc_detailed!AF7</f>
        <v>50.281525611910162</v>
      </c>
      <c r="F6" t="e">
        <f>lc_detailed!#REF!</f>
        <v>#REF!</v>
      </c>
      <c r="G6">
        <f>lc_detailed!AG7</f>
        <v>17.483783597976871</v>
      </c>
      <c r="H6">
        <f>lc_detailed!AH7</f>
        <v>9.2216818355173462</v>
      </c>
      <c r="I6">
        <f>lc_detailed!AI7</f>
        <v>0.22710068130204392</v>
      </c>
      <c r="J6">
        <f>lc_detailed!AK7</f>
        <v>0</v>
      </c>
      <c r="K6">
        <f>lc_detailed!AL7</f>
        <v>2.0859156525360096</v>
      </c>
      <c r="L6">
        <f>lc_detailed!AB7</f>
        <v>75.176311313231849</v>
      </c>
      <c r="M6" t="e">
        <f>lc_detailed!#REF!</f>
        <v>#REF!</v>
      </c>
      <c r="O6" t="str">
        <v>CA_Gasoline_Gasification_Non_CCS_Herb</v>
      </c>
      <c r="P6">
        <v>0</v>
      </c>
      <c r="Q6">
        <v>0.76970088018920757</v>
      </c>
      <c r="R6">
        <v>54.762078186656993</v>
      </c>
      <c r="S6" t="e">
        <v>#REF!</v>
      </c>
      <c r="T6">
        <v>1.1219173819252375</v>
      </c>
      <c r="U6">
        <v>7.8355578478551591</v>
      </c>
      <c r="V6">
        <v>-8.1724348446793407</v>
      </c>
      <c r="W6">
        <v>-10.701943039186755</v>
      </c>
      <c r="X6">
        <v>2.0858858143606906</v>
      </c>
      <c r="Y6">
        <v>47.700762227121189</v>
      </c>
      <c r="Z6" t="e">
        <v>#REF!</v>
      </c>
    </row>
    <row r="7" spans="2:26" x14ac:dyDescent="0.2">
      <c r="B7" t="str">
        <f>lc_detailed!B8</f>
        <v>CA_Gasoline_Gasification_Non_CCS_Herb</v>
      </c>
      <c r="C7">
        <f>lc_detailed!AD8</f>
        <v>-2.1826272589443856</v>
      </c>
      <c r="D7">
        <f>lc_detailed!AE8</f>
        <v>0</v>
      </c>
      <c r="E7">
        <f>lc_detailed!AF8</f>
        <v>69.801451343555485</v>
      </c>
      <c r="F7" t="e">
        <f>lc_detailed!#REF!</f>
        <v>#REF!</v>
      </c>
      <c r="G7">
        <f>lc_detailed!AG8</f>
        <v>17.531560750666046</v>
      </c>
      <c r="H7">
        <f>lc_detailed!AH8</f>
        <v>9.2468815126145572</v>
      </c>
      <c r="I7">
        <f>lc_detailed!AI8</f>
        <v>0.22772126916654017</v>
      </c>
      <c r="J7">
        <f>lc_detailed!AK8</f>
        <v>0</v>
      </c>
      <c r="K7">
        <f>lc_detailed!AL8</f>
        <v>2.0864731661363436</v>
      </c>
      <c r="L7">
        <f>lc_detailed!AB8</f>
        <v>96.711460783194582</v>
      </c>
      <c r="M7" t="e">
        <f>lc_detailed!#REF!</f>
        <v>#REF!</v>
      </c>
      <c r="O7" t="str">
        <v>CA_Gasoline_Gasification_Non_CCS_Herb</v>
      </c>
      <c r="P7">
        <v>0</v>
      </c>
      <c r="Q7">
        <v>0.73605181175742107</v>
      </c>
      <c r="R7">
        <v>54.762078186656993</v>
      </c>
      <c r="S7" t="e">
        <v>#REF!</v>
      </c>
      <c r="T7">
        <v>1.8459716853700829</v>
      </c>
      <c r="U7">
        <v>8.2322589053372308</v>
      </c>
      <c r="V7">
        <v>-8.1434431562275815</v>
      </c>
      <c r="W7">
        <v>-11.767032817772119</v>
      </c>
      <c r="X7">
        <v>2.0858858143606906</v>
      </c>
      <c r="Y7">
        <v>47.751770429482704</v>
      </c>
      <c r="Z7" t="e">
        <v>#REF!</v>
      </c>
    </row>
    <row r="8" spans="2:26" x14ac:dyDescent="0.2">
      <c r="B8" t="str">
        <f>lc_detailed!B9</f>
        <v>CA_Gasoline_Gasification_Non_CCS_Herb</v>
      </c>
      <c r="C8">
        <f>lc_detailed!AD9</f>
        <v>-2.7334799882959251</v>
      </c>
      <c r="D8">
        <f>lc_detailed!AE9</f>
        <v>0</v>
      </c>
      <c r="E8">
        <f>lc_detailed!AF9</f>
        <v>61.366317310471054</v>
      </c>
      <c r="F8" t="e">
        <f>lc_detailed!#REF!</f>
        <v>#REF!</v>
      </c>
      <c r="G8">
        <f>lc_detailed!AG9</f>
        <v>16.686310181770139</v>
      </c>
      <c r="H8">
        <f>lc_detailed!AH9</f>
        <v>8.8010608597811508</v>
      </c>
      <c r="I8">
        <f>lc_detailed!AI9</f>
        <v>0.2167421250361237</v>
      </c>
      <c r="J8">
        <f>lc_detailed!AK9</f>
        <v>0</v>
      </c>
      <c r="K8">
        <f>lc_detailed!AL9</f>
        <v>2.0856720280512451</v>
      </c>
      <c r="L8">
        <f>lc_detailed!AB9</f>
        <v>86.422622516813774</v>
      </c>
      <c r="M8" t="e">
        <f>lc_detailed!#REF!</f>
        <v>#REF!</v>
      </c>
      <c r="O8" t="str">
        <v>CA_Gasoline_Gasification_Non_CCS_Herb</v>
      </c>
      <c r="P8">
        <v>0</v>
      </c>
      <c r="Q8">
        <v>1.0048323719933401</v>
      </c>
      <c r="R8">
        <v>54.762078186656993</v>
      </c>
      <c r="S8" t="e">
        <v>#REF!</v>
      </c>
      <c r="T8">
        <v>1.8459716853700829</v>
      </c>
      <c r="U8">
        <v>8.2322589053372308</v>
      </c>
      <c r="V8">
        <v>-8.1434431562275815</v>
      </c>
      <c r="W8">
        <v>-11.865994819847124</v>
      </c>
      <c r="X8">
        <v>2.0858858143606906</v>
      </c>
      <c r="Y8">
        <v>47.921588987643631</v>
      </c>
      <c r="Z8" t="e">
        <v>#REF!</v>
      </c>
    </row>
    <row r="9" spans="2:26" x14ac:dyDescent="0.2">
      <c r="B9" t="str">
        <f>lc_detailed!B10</f>
        <v>CA_Gasoline_Gasification_Non_CCS_Herb</v>
      </c>
      <c r="C9">
        <f>lc_detailed!AD10</f>
        <v>-4.2464947082185818</v>
      </c>
      <c r="D9">
        <f>lc_detailed!AE10</f>
        <v>0</v>
      </c>
      <c r="E9">
        <f>lc_detailed!AF10</f>
        <v>52.50426245349567</v>
      </c>
      <c r="F9" t="e">
        <f>lc_detailed!#REF!</f>
        <v>#REF!</v>
      </c>
      <c r="G9">
        <f>lc_detailed!AG10</f>
        <v>16.738714402759417</v>
      </c>
      <c r="H9">
        <f>lc_detailed!AH10</f>
        <v>8.8287010470491492</v>
      </c>
      <c r="I9">
        <f>lc_detailed!AI10</f>
        <v>0.21742281490071025</v>
      </c>
      <c r="J9">
        <f>lc_detailed!AK10</f>
        <v>0</v>
      </c>
      <c r="K9">
        <f>lc_detailed!AL10</f>
        <v>2.0860663036593108</v>
      </c>
      <c r="L9">
        <f>lc_detailed!AB10</f>
        <v>76.12867231364568</v>
      </c>
      <c r="M9" t="e">
        <f>lc_detailed!#REF!</f>
        <v>#REF!</v>
      </c>
      <c r="O9" t="str">
        <v>CA_Gasoline_Gasification_Non_CCS_Herb</v>
      </c>
      <c r="P9">
        <v>0</v>
      </c>
      <c r="Q9">
        <v>0.55615943203436513</v>
      </c>
      <c r="R9">
        <v>54.762078186656993</v>
      </c>
      <c r="S9" t="e">
        <v>#REF!</v>
      </c>
      <c r="T9">
        <v>1.1219173819252375</v>
      </c>
      <c r="U9">
        <v>7.8355578478551591</v>
      </c>
      <c r="V9">
        <v>-8.1724348446793407</v>
      </c>
      <c r="W9">
        <v>-10.13642665887811</v>
      </c>
      <c r="X9">
        <v>2.0858858143606906</v>
      </c>
      <c r="Y9">
        <v>48.052737159274997</v>
      </c>
      <c r="Z9" t="e">
        <v>#REF!</v>
      </c>
    </row>
    <row r="10" spans="2:26" x14ac:dyDescent="0.2">
      <c r="B10" t="str">
        <f>lc_detailed!B11</f>
        <v>CA_Gasoline_Gasification_Non_CCS_Herb</v>
      </c>
      <c r="C10">
        <f>lc_detailed!AD11</f>
        <v>-3.3133631799431353</v>
      </c>
      <c r="D10">
        <f>lc_detailed!AE11</f>
        <v>0</v>
      </c>
      <c r="E10">
        <f>lc_detailed!AF11</f>
        <v>55.672685171798946</v>
      </c>
      <c r="F10" t="e">
        <f>lc_detailed!#REF!</f>
        <v>#REF!</v>
      </c>
      <c r="G10">
        <f>lc_detailed!AG11</f>
        <v>16.695155510284405</v>
      </c>
      <c r="H10">
        <f>lc_detailed!AH11</f>
        <v>8.8057262575671658</v>
      </c>
      <c r="I10">
        <f>lc_detailed!AI11</f>
        <v>0.21685701893884632</v>
      </c>
      <c r="J10">
        <f>lc_detailed!AK11</f>
        <v>0</v>
      </c>
      <c r="K10">
        <f>lc_detailed!AL11</f>
        <v>2.0855349961841134</v>
      </c>
      <c r="L10">
        <f>lc_detailed!AB11</f>
        <v>80.162595774830351</v>
      </c>
      <c r="M10" t="e">
        <f>lc_detailed!#REF!</f>
        <v>#REF!</v>
      </c>
      <c r="O10">
        <v>0</v>
      </c>
      <c r="P10">
        <v>0</v>
      </c>
      <c r="Q10">
        <v>0.76970088018920757</v>
      </c>
      <c r="R10">
        <v>54.762078186656993</v>
      </c>
      <c r="S10" t="e">
        <v>#REF!</v>
      </c>
      <c r="T10">
        <v>1.8459716853700829</v>
      </c>
      <c r="U10">
        <v>8.2322589053372308</v>
      </c>
      <c r="V10">
        <v>-8.1434431562275815</v>
      </c>
      <c r="W10">
        <v>-10.701943039186755</v>
      </c>
      <c r="X10">
        <v>2.0858858143606906</v>
      </c>
      <c r="Y10">
        <v>48.850509276499857</v>
      </c>
      <c r="Z10" t="e">
        <v>#REF!</v>
      </c>
    </row>
    <row r="11" spans="2:26" x14ac:dyDescent="0.2">
      <c r="B11" t="str">
        <f>lc_detailed!B12</f>
        <v>CA_Gasoline_Gasification_Non_CCS_Herb</v>
      </c>
      <c r="C11">
        <f>lc_detailed!AD12</f>
        <v>-4.1248337198387555</v>
      </c>
      <c r="D11">
        <f>lc_detailed!AE12</f>
        <v>0</v>
      </c>
      <c r="E11">
        <f>lc_detailed!AF12</f>
        <v>54.336796717535272</v>
      </c>
      <c r="F11" t="e">
        <f>lc_detailed!#REF!</f>
        <v>#REF!</v>
      </c>
      <c r="G11">
        <f>lc_detailed!AG12</f>
        <v>16.625452154425169</v>
      </c>
      <c r="H11">
        <f>lc_detailed!AH12</f>
        <v>8.7689617799585484</v>
      </c>
      <c r="I11">
        <f>lc_detailed!AI12</f>
        <v>0.21595162683558883</v>
      </c>
      <c r="J11">
        <f>lc_detailed!AK12</f>
        <v>0</v>
      </c>
      <c r="K11">
        <f>lc_detailed!AL12</f>
        <v>2.0854168800531729</v>
      </c>
      <c r="L11">
        <f>lc_detailed!AB12</f>
        <v>77.907745438968988</v>
      </c>
      <c r="M11" t="e">
        <f>lc_detailed!#REF!</f>
        <v>#REF!</v>
      </c>
      <c r="O11">
        <v>0</v>
      </c>
      <c r="P11">
        <v>0</v>
      </c>
      <c r="Q11">
        <v>0.55615943203436513</v>
      </c>
      <c r="R11">
        <v>54.762078186656993</v>
      </c>
      <c r="S11" t="e">
        <v>#REF!</v>
      </c>
      <c r="T11">
        <v>1.8459716853700829</v>
      </c>
      <c r="U11">
        <v>8.2322589053372308</v>
      </c>
      <c r="V11">
        <v>-8.1434431562275815</v>
      </c>
      <c r="W11">
        <v>-10.13642665887811</v>
      </c>
      <c r="X11">
        <v>2.0858858143606906</v>
      </c>
      <c r="Y11">
        <v>49.202484208653658</v>
      </c>
      <c r="Z11" t="e">
        <v>#REF!</v>
      </c>
    </row>
    <row r="12" spans="2:26" x14ac:dyDescent="0.2">
      <c r="B12" t="str">
        <f>lc_detailed!B13</f>
        <v>CA_Gasoline_Gasification_Non_CCS_Herb</v>
      </c>
      <c r="C12">
        <f>lc_detailed!AD13</f>
        <v>-2.1835733922340474</v>
      </c>
      <c r="D12">
        <f>lc_detailed!AE13</f>
        <v>0</v>
      </c>
      <c r="E12">
        <f>lc_detailed!AF13</f>
        <v>76.727098702434745</v>
      </c>
      <c r="F12" t="e">
        <f>lc_detailed!#REF!</f>
        <v>#REF!</v>
      </c>
      <c r="G12">
        <f>lc_detailed!AG13</f>
        <v>16.836330465758454</v>
      </c>
      <c r="H12">
        <f>lc_detailed!AH13</f>
        <v>8.8801878588120839</v>
      </c>
      <c r="I12">
        <f>lc_detailed!AI13</f>
        <v>0.21869077124945327</v>
      </c>
      <c r="J12">
        <f>lc_detailed!AK13</f>
        <v>0</v>
      </c>
      <c r="K12">
        <f>lc_detailed!AL13</f>
        <v>2.085774224831308</v>
      </c>
      <c r="L12">
        <f>lc_detailed!AB13</f>
        <v>102.56450863085199</v>
      </c>
      <c r="M12" t="e">
        <f>lc_detailed!#REF!</f>
        <v>#REF!</v>
      </c>
      <c r="O12" t="str">
        <v>CA_Gasoline_Gasification_Non_CCS_Herb</v>
      </c>
      <c r="P12">
        <v>0</v>
      </c>
      <c r="Q12">
        <v>0.69621158107157877</v>
      </c>
      <c r="R12">
        <v>54.762078186656993</v>
      </c>
      <c r="S12" t="e">
        <v>#REF!</v>
      </c>
      <c r="T12">
        <v>1.1219173819252375</v>
      </c>
      <c r="U12">
        <v>7.8355578478551591</v>
      </c>
      <c r="V12">
        <v>-8.1724348446793407</v>
      </c>
      <c r="W12">
        <v>-8.9615358403787848</v>
      </c>
      <c r="X12">
        <v>2.0858858143606906</v>
      </c>
      <c r="Y12">
        <v>49.367680126811536</v>
      </c>
      <c r="Z12" t="e">
        <v>#REF!</v>
      </c>
    </row>
    <row r="13" spans="2:26" x14ac:dyDescent="0.2">
      <c r="B13" t="str">
        <f>lc_detailed!B14</f>
        <v>CA_Gasoline_Gasification_Non_CCS_Herb</v>
      </c>
      <c r="C13">
        <f>lc_detailed!AD14</f>
        <v>-2.7324164346314324</v>
      </c>
      <c r="D13">
        <f>lc_detailed!AE14</f>
        <v>0</v>
      </c>
      <c r="E13">
        <f>lc_detailed!AF14</f>
        <v>52.868555686316462</v>
      </c>
      <c r="F13" t="e">
        <f>lc_detailed!#REF!</f>
        <v>#REF!</v>
      </c>
      <c r="G13">
        <f>lc_detailed!AG14</f>
        <v>18.5322120463203</v>
      </c>
      <c r="H13">
        <f>lc_detailed!AH14</f>
        <v>9.7746670359888874</v>
      </c>
      <c r="I13">
        <f>lc_detailed!AI14</f>
        <v>0.24071894725580401</v>
      </c>
      <c r="J13">
        <f>lc_detailed!AK14</f>
        <v>0</v>
      </c>
      <c r="K13">
        <f>lc_detailed!AL14</f>
        <v>2.086453096294997</v>
      </c>
      <c r="L13">
        <f>lc_detailed!AB14</f>
        <v>80.770190377545021</v>
      </c>
      <c r="M13" t="e">
        <f>lc_detailed!#REF!</f>
        <v>#REF!</v>
      </c>
      <c r="O13">
        <v>0</v>
      </c>
      <c r="P13">
        <v>0</v>
      </c>
      <c r="Q13">
        <v>0.69621158107157877</v>
      </c>
      <c r="R13">
        <v>54.762078186656993</v>
      </c>
      <c r="S13" t="e">
        <v>#REF!</v>
      </c>
      <c r="T13">
        <v>1.8459716853700829</v>
      </c>
      <c r="U13">
        <v>8.2322589053372308</v>
      </c>
      <c r="V13">
        <v>-8.1434431562275815</v>
      </c>
      <c r="W13">
        <v>-8.9615358403787848</v>
      </c>
      <c r="X13">
        <v>2.0858858143606906</v>
      </c>
      <c r="Y13">
        <v>50.517427176190203</v>
      </c>
      <c r="Z13" t="e">
        <v>#REF!</v>
      </c>
    </row>
    <row r="14" spans="2:26" x14ac:dyDescent="0.2">
      <c r="B14" t="str">
        <f>lc_detailed!B15</f>
        <v>CA_Gasoline_Gasification_Non_CCS_Herb</v>
      </c>
      <c r="C14">
        <f>lc_detailed!AD15</f>
        <v>-4.2470487513953117</v>
      </c>
      <c r="D14">
        <f>lc_detailed!AE15</f>
        <v>0</v>
      </c>
      <c r="E14">
        <f>lc_detailed!AF15</f>
        <v>47.53338914580344</v>
      </c>
      <c r="F14" t="e">
        <f>lc_detailed!#REF!</f>
        <v>#REF!</v>
      </c>
      <c r="G14">
        <f>lc_detailed!AG15</f>
        <v>18.41498814617082</v>
      </c>
      <c r="H14">
        <f>lc_detailed!AH15</f>
        <v>9.7128382273309022</v>
      </c>
      <c r="I14">
        <f>lc_detailed!AI15</f>
        <v>0.23919630043055334</v>
      </c>
      <c r="J14">
        <f>lc_detailed!AK15</f>
        <v>0</v>
      </c>
      <c r="K14">
        <f>lc_detailed!AL15</f>
        <v>2.0854294881561621</v>
      </c>
      <c r="L14">
        <f>lc_detailed!AB15</f>
        <v>73.738792556496563</v>
      </c>
      <c r="M14" t="e">
        <f>lc_detailed!#REF!</f>
        <v>#REF!</v>
      </c>
      <c r="O14" t="str">
        <v>CA_Gasoline_Gasification_Non_CCS_Herb</v>
      </c>
      <c r="P14">
        <v>0</v>
      </c>
      <c r="Q14">
        <v>0.8442129170953</v>
      </c>
      <c r="R14">
        <v>54.762078186656993</v>
      </c>
      <c r="S14" t="e">
        <v>#REF!</v>
      </c>
      <c r="T14">
        <v>1.1219173819252375</v>
      </c>
      <c r="U14">
        <v>7.8355578478551591</v>
      </c>
      <c r="V14">
        <v>-8.1724348446793407</v>
      </c>
      <c r="W14">
        <v>-7.8077413422656381</v>
      </c>
      <c r="X14">
        <v>2.0858858143606906</v>
      </c>
      <c r="Y14">
        <v>50.66947596094839</v>
      </c>
      <c r="Z14" t="e">
        <v>#REF!</v>
      </c>
    </row>
    <row r="15" spans="2:26" x14ac:dyDescent="0.2">
      <c r="B15" t="str">
        <f>lc_detailed!B16</f>
        <v>CA_Gasoline_Gasification_Non_CCS_Herb</v>
      </c>
      <c r="C15">
        <f>lc_detailed!AD16</f>
        <v>-3.3145588377488719</v>
      </c>
      <c r="D15">
        <f>lc_detailed!AE16</f>
        <v>0</v>
      </c>
      <c r="E15">
        <f>lc_detailed!AF16</f>
        <v>48.869114945580044</v>
      </c>
      <c r="F15" t="e">
        <f>lc_detailed!#REF!</f>
        <v>#REF!</v>
      </c>
      <c r="G15">
        <f>lc_detailed!AG16</f>
        <v>18.393478736071767</v>
      </c>
      <c r="H15">
        <f>lc_detailed!AH16</f>
        <v>9.7014932609915725</v>
      </c>
      <c r="I15">
        <f>lc_detailed!AI16</f>
        <v>0.23891691000796392</v>
      </c>
      <c r="J15">
        <f>lc_detailed!AK16</f>
        <v>0</v>
      </c>
      <c r="K15">
        <f>lc_detailed!AL16</f>
        <v>2.0857317144597785</v>
      </c>
      <c r="L15">
        <f>lc_detailed!AB16</f>
        <v>75.974176729362256</v>
      </c>
      <c r="M15" t="e">
        <f>lc_detailed!#REF!</f>
        <v>#REF!</v>
      </c>
      <c r="O15" t="str">
        <v>CA_Gasoline_Gasification_Non_CCS_Herb</v>
      </c>
      <c r="P15">
        <v>0</v>
      </c>
      <c r="Q15">
        <v>1.0506813864995876</v>
      </c>
      <c r="R15">
        <v>54.762078186656993</v>
      </c>
      <c r="S15" t="e">
        <v>#REF!</v>
      </c>
      <c r="T15">
        <v>1.1219173819252375</v>
      </c>
      <c r="U15">
        <v>7.8355578478551591</v>
      </c>
      <c r="V15">
        <v>-8.1724348446793407</v>
      </c>
      <c r="W15">
        <v>-7.1182795140210633</v>
      </c>
      <c r="X15">
        <v>2.0858858143606906</v>
      </c>
      <c r="Y15">
        <v>51.565406258597264</v>
      </c>
      <c r="Z15" t="e">
        <v>#REF!</v>
      </c>
    </row>
    <row r="16" spans="2:26" x14ac:dyDescent="0.2">
      <c r="B16" t="str">
        <f>lc_detailed!B17</f>
        <v>CA_Gasoline_Gasification_Non_CCS_Herb</v>
      </c>
      <c r="C16">
        <f>lc_detailed!AD17</f>
        <v>-4.1235745351031508</v>
      </c>
      <c r="D16">
        <f>lc_detailed!AE17</f>
        <v>0</v>
      </c>
      <c r="E16">
        <f>lc_detailed!AF17</f>
        <v>47.36676528599606</v>
      </c>
      <c r="F16" t="e">
        <f>lc_detailed!#REF!</f>
        <v>#REF!</v>
      </c>
      <c r="G16">
        <f>lc_detailed!AG17</f>
        <v>18.467997867365622</v>
      </c>
      <c r="H16">
        <f>lc_detailed!AH17</f>
        <v>9.7407977808399302</v>
      </c>
      <c r="I16">
        <f>lc_detailed!AI17</f>
        <v>0.23988485526947068</v>
      </c>
      <c r="J16">
        <f>lc_detailed!AK17</f>
        <v>0</v>
      </c>
      <c r="K16">
        <f>lc_detailed!AL17</f>
        <v>2.0860153815076425</v>
      </c>
      <c r="L16">
        <f>lc_detailed!AB17</f>
        <v>73.777886635875561</v>
      </c>
      <c r="M16" t="e">
        <f>lc_detailed!#REF!</f>
        <v>#REF!</v>
      </c>
      <c r="O16">
        <v>0</v>
      </c>
      <c r="P16">
        <v>0</v>
      </c>
      <c r="Q16">
        <v>0.8442129170953</v>
      </c>
      <c r="R16">
        <v>54.762078186656993</v>
      </c>
      <c r="S16" t="e">
        <v>#REF!</v>
      </c>
      <c r="T16">
        <v>1.8459716853700829</v>
      </c>
      <c r="U16">
        <v>8.2322589053372308</v>
      </c>
      <c r="V16">
        <v>-8.1434431562275815</v>
      </c>
      <c r="W16">
        <v>-7.8077413422656381</v>
      </c>
      <c r="X16">
        <v>2.0858858143606906</v>
      </c>
      <c r="Y16">
        <v>51.819223010327072</v>
      </c>
      <c r="Z16" t="e">
        <v>#REF!</v>
      </c>
    </row>
    <row r="17" spans="2:26" x14ac:dyDescent="0.2">
      <c r="B17" t="str">
        <f>lc_detailed!B18</f>
        <v>CA_Gasoline_Gasification_Non_CCS_Herb</v>
      </c>
      <c r="C17">
        <f>lc_detailed!AD18</f>
        <v>-2.1829676197541801</v>
      </c>
      <c r="D17">
        <f>lc_detailed!AE18</f>
        <v>0</v>
      </c>
      <c r="E17">
        <f>lc_detailed!AF18</f>
        <v>61.656984276381351</v>
      </c>
      <c r="F17" t="e">
        <f>lc_detailed!#REF!</f>
        <v>#REF!</v>
      </c>
      <c r="G17">
        <f>lc_detailed!AG18</f>
        <v>19.18066504229386</v>
      </c>
      <c r="H17">
        <f>lc_detailed!AH18</f>
        <v>10.11668838283558</v>
      </c>
      <c r="I17">
        <f>lc_detailed!AI18</f>
        <v>0.24914184475694828</v>
      </c>
      <c r="J17">
        <f>lc_detailed!AK18</f>
        <v>0</v>
      </c>
      <c r="K17">
        <f>lc_detailed!AL18</f>
        <v>2.0857276786575407</v>
      </c>
      <c r="L17">
        <f>lc_detailed!AB18</f>
        <v>91.106239605171083</v>
      </c>
      <c r="M17" t="e">
        <f>lc_detailed!#REF!</f>
        <v>#REF!</v>
      </c>
      <c r="O17" t="str">
        <v>CA_Gasoline_Gasification_Non_CCS_Herb</v>
      </c>
      <c r="P17">
        <v>0</v>
      </c>
      <c r="Q17">
        <v>1.0820498722750709</v>
      </c>
      <c r="R17">
        <v>54.762078186656993</v>
      </c>
      <c r="S17" t="e">
        <v>#REF!</v>
      </c>
      <c r="T17">
        <v>1.1219173819252375</v>
      </c>
      <c r="U17">
        <v>7.8355578478551591</v>
      </c>
      <c r="V17">
        <v>-8.1724348446793407</v>
      </c>
      <c r="W17">
        <v>-6.379184937517909</v>
      </c>
      <c r="X17">
        <v>2.0858858143606906</v>
      </c>
      <c r="Y17">
        <v>52.335869320875894</v>
      </c>
      <c r="Z17" t="e">
        <v>#REF!</v>
      </c>
    </row>
    <row r="18" spans="2:26" x14ac:dyDescent="0.2">
      <c r="B18" t="str">
        <f>lc_detailed!B19</f>
        <v>CA_Gasoline_Gasification_Non_CCS_Herb</v>
      </c>
      <c r="C18">
        <f>lc_detailed!AD19</f>
        <v>0</v>
      </c>
      <c r="D18">
        <f>lc_detailed!AE19</f>
        <v>0</v>
      </c>
      <c r="E18">
        <f>lc_detailed!AF19</f>
        <v>55.653727327690454</v>
      </c>
      <c r="F18" t="e">
        <f>lc_detailed!#REF!</f>
        <v>#REF!</v>
      </c>
      <c r="G18">
        <f>lc_detailed!AG19</f>
        <v>18.725964591166843</v>
      </c>
      <c r="H18">
        <f>lc_detailed!AH19</f>
        <v>9.9021474929402586</v>
      </c>
      <c r="I18">
        <f>lc_detailed!AI19</f>
        <v>0.2418379685610641</v>
      </c>
      <c r="J18">
        <f>lc_detailed!AK19</f>
        <v>-10.154123280036075</v>
      </c>
      <c r="K18">
        <f>lc_detailed!AL19</f>
        <v>2.0863450301054955</v>
      </c>
      <c r="L18">
        <f>lc_detailed!AB19</f>
        <v>76.455899130428037</v>
      </c>
      <c r="M18" t="e">
        <f>lc_detailed!#REF!</f>
        <v>#REF!</v>
      </c>
      <c r="O18">
        <v>0</v>
      </c>
      <c r="P18">
        <v>0</v>
      </c>
      <c r="Q18">
        <v>1.0506813864995876</v>
      </c>
      <c r="R18">
        <v>54.762078186656993</v>
      </c>
      <c r="S18" t="e">
        <v>#REF!</v>
      </c>
      <c r="T18">
        <v>1.8459716853700829</v>
      </c>
      <c r="U18">
        <v>8.2322589053372308</v>
      </c>
      <c r="V18">
        <v>-8.1434431562275815</v>
      </c>
      <c r="W18">
        <v>-7.1182795140210633</v>
      </c>
      <c r="X18">
        <v>2.0858858143606906</v>
      </c>
      <c r="Y18">
        <v>52.715153307975932</v>
      </c>
      <c r="Z18" t="e">
        <v>#REF!</v>
      </c>
    </row>
    <row r="19" spans="2:26" x14ac:dyDescent="0.2">
      <c r="B19" t="str">
        <f>lc_detailed!B20</f>
        <v>CA_Gasoline_Gasification_Non_CCS_Herb</v>
      </c>
      <c r="C19">
        <f>lc_detailed!AD20</f>
        <v>0</v>
      </c>
      <c r="D19">
        <f>lc_detailed!AE20</f>
        <v>0</v>
      </c>
      <c r="E19">
        <f>lc_detailed!AF20</f>
        <v>50.579072475406548</v>
      </c>
      <c r="F19" t="e">
        <f>lc_detailed!#REF!</f>
        <v>#REF!</v>
      </c>
      <c r="G19">
        <f>lc_detailed!AG20</f>
        <v>18.654534491341071</v>
      </c>
      <c r="H19">
        <f>lc_detailed!AH20</f>
        <v>9.8643758000340416</v>
      </c>
      <c r="I19">
        <f>lc_detailed!AI20</f>
        <v>0.24091547881951414</v>
      </c>
      <c r="J19">
        <f>lc_detailed!AK20</f>
        <v>-7.264510933472347</v>
      </c>
      <c r="K19">
        <f>lc_detailed!AL20</f>
        <v>2.086075610141338</v>
      </c>
      <c r="L19">
        <f>lc_detailed!AB20</f>
        <v>74.16046292227017</v>
      </c>
      <c r="M19" t="e">
        <f>lc_detailed!#REF!</f>
        <v>#REF!</v>
      </c>
      <c r="O19">
        <v>0</v>
      </c>
      <c r="P19">
        <v>0</v>
      </c>
      <c r="Q19">
        <v>1.0820498722750709</v>
      </c>
      <c r="R19">
        <v>54.762078186656993</v>
      </c>
      <c r="S19" t="e">
        <v>#REF!</v>
      </c>
      <c r="T19">
        <v>1.8459716853700829</v>
      </c>
      <c r="U19">
        <v>8.2322589053372308</v>
      </c>
      <c r="V19">
        <v>-8.1434431562275815</v>
      </c>
      <c r="W19">
        <v>-6.379184937517909</v>
      </c>
      <c r="X19">
        <v>2.0858858143606906</v>
      </c>
      <c r="Y19">
        <v>53.485616370254576</v>
      </c>
      <c r="Z19" t="e">
        <v>#REF!</v>
      </c>
    </row>
    <row r="20" spans="2:26" x14ac:dyDescent="0.2">
      <c r="B20" t="str">
        <f>lc_detailed!B21</f>
        <v>CA_Gasoline_Gasification_Non_CCS_Herb</v>
      </c>
      <c r="C20">
        <f>lc_detailed!AD21</f>
        <v>0</v>
      </c>
      <c r="D20">
        <f>lc_detailed!AE21</f>
        <v>0</v>
      </c>
      <c r="E20">
        <f>lc_detailed!AF21</f>
        <v>52.169771122351882</v>
      </c>
      <c r="F20" t="e">
        <f>lc_detailed!#REF!</f>
        <v>#REF!</v>
      </c>
      <c r="G20">
        <f>lc_detailed!AG21</f>
        <v>18.614360955851129</v>
      </c>
      <c r="H20">
        <f>lc_detailed!AH21</f>
        <v>9.8431323403554991</v>
      </c>
      <c r="I20">
        <f>lc_detailed!AI21</f>
        <v>0.24039665447989184</v>
      </c>
      <c r="J20">
        <f>lc_detailed!AK21</f>
        <v>-8.892999770974674</v>
      </c>
      <c r="K20">
        <f>lc_detailed!AL21</f>
        <v>2.0853812257300803</v>
      </c>
      <c r="L20">
        <f>lc_detailed!AB21</f>
        <v>74.060042527793811</v>
      </c>
      <c r="M20" t="e">
        <f>lc_detailed!#REF!</f>
        <v>#REF!</v>
      </c>
      <c r="O20" t="str">
        <v>CA_Gasoline_Gasification_Non_CCS_Herb</v>
      </c>
      <c r="P20">
        <v>0</v>
      </c>
      <c r="Q20">
        <v>1.3043611278934286</v>
      </c>
      <c r="R20">
        <v>54.762078186656993</v>
      </c>
      <c r="S20" t="e">
        <v>#REF!</v>
      </c>
      <c r="T20">
        <v>1.1219173819252375</v>
      </c>
      <c r="U20">
        <v>7.8355578478551591</v>
      </c>
      <c r="V20">
        <v>-8.1724348446793407</v>
      </c>
      <c r="W20">
        <v>-5.3988405088643852</v>
      </c>
      <c r="X20">
        <v>2.0858858143606906</v>
      </c>
      <c r="Y20">
        <v>53.538525005147775</v>
      </c>
      <c r="Z20" t="e">
        <v>#REF!</v>
      </c>
    </row>
    <row r="21" spans="2:26" x14ac:dyDescent="0.2">
      <c r="B21" t="str">
        <f>lc_detailed!B22</f>
        <v>CA_Gasoline_Gasification_Non_CCS_Herb</v>
      </c>
      <c r="C21">
        <f>lc_detailed!AD22</f>
        <v>0</v>
      </c>
      <c r="D21">
        <f>lc_detailed!AE22</f>
        <v>0</v>
      </c>
      <c r="E21">
        <f>lc_detailed!AF22</f>
        <v>50.281525611910162</v>
      </c>
      <c r="F21" t="e">
        <f>lc_detailed!#REF!</f>
        <v>#REF!</v>
      </c>
      <c r="G21">
        <f>lc_detailed!AG22</f>
        <v>18.757150906155914</v>
      </c>
      <c r="H21">
        <f>lc_detailed!AH22</f>
        <v>9.9186385788482578</v>
      </c>
      <c r="I21">
        <f>lc_detailed!AI22</f>
        <v>0.24224072672218017</v>
      </c>
      <c r="J21">
        <f>lc_detailed!AK22</f>
        <v>-8.0455080014009788</v>
      </c>
      <c r="K21">
        <f>lc_detailed!AL22</f>
        <v>2.0859156364526106</v>
      </c>
      <c r="L21">
        <f>lc_detailed!AB22</f>
        <v>73.239963458688152</v>
      </c>
      <c r="M21" t="e">
        <f>lc_detailed!#REF!</f>
        <v>#REF!</v>
      </c>
      <c r="O21" t="str">
        <v>CA_Gasoline_Gasification_Non_CCS_Herb</v>
      </c>
      <c r="P21">
        <v>0</v>
      </c>
      <c r="Q21">
        <v>0.55615943203436513</v>
      </c>
      <c r="R21">
        <v>54.762078186656993</v>
      </c>
      <c r="S21" t="e">
        <v>#REF!</v>
      </c>
      <c r="T21">
        <v>0</v>
      </c>
      <c r="U21">
        <v>7.2208724377810398</v>
      </c>
      <c r="V21">
        <v>-8.1853200395467898</v>
      </c>
      <c r="W21">
        <v>0</v>
      </c>
      <c r="X21">
        <v>2.0858858143606906</v>
      </c>
      <c r="Y21">
        <v>56.439675831286301</v>
      </c>
      <c r="Z21" t="e">
        <v>#REF!</v>
      </c>
    </row>
    <row r="22" spans="2:26" x14ac:dyDescent="0.2">
      <c r="B22" t="str">
        <f>lc_detailed!B23</f>
        <v>CA_Gasoline_Gasification_Non_CCS_Herb</v>
      </c>
      <c r="C22">
        <f>lc_detailed!AD23</f>
        <v>0</v>
      </c>
      <c r="D22">
        <f>lc_detailed!AE23</f>
        <v>0</v>
      </c>
      <c r="E22">
        <f>lc_detailed!AF23</f>
        <v>69.801451343555485</v>
      </c>
      <c r="F22" t="e">
        <f>lc_detailed!#REF!</f>
        <v>#REF!</v>
      </c>
      <c r="G22">
        <f>lc_detailed!AG23</f>
        <v>18.808407732679495</v>
      </c>
      <c r="H22">
        <f>lc_detailed!AH23</f>
        <v>9.945742798435214</v>
      </c>
      <c r="I22">
        <f>lc_detailed!AI23</f>
        <v>0.24290268711097615</v>
      </c>
      <c r="J22">
        <f>lc_detailed!AK23</f>
        <v>-11.472195094539575</v>
      </c>
      <c r="K22">
        <f>lc_detailed!AL23</f>
        <v>2.086473150053354</v>
      </c>
      <c r="L22">
        <f>lc_detailed!AB23</f>
        <v>89.412782617294951</v>
      </c>
      <c r="M22" t="e">
        <f>lc_detailed!#REF!</f>
        <v>#REF!</v>
      </c>
      <c r="O22" t="str">
        <v>CA_Gasoline_Gasification_Non_CCS_Herb</v>
      </c>
      <c r="P22">
        <v>0</v>
      </c>
      <c r="Q22">
        <v>0.69621158107157877</v>
      </c>
      <c r="R22">
        <v>54.762078186656993</v>
      </c>
      <c r="S22" t="e">
        <v>#REF!</v>
      </c>
      <c r="T22">
        <v>0</v>
      </c>
      <c r="U22">
        <v>7.2208724377810398</v>
      </c>
      <c r="V22">
        <v>-8.1853200395467898</v>
      </c>
      <c r="W22">
        <v>0</v>
      </c>
      <c r="X22">
        <v>2.0858858143606906</v>
      </c>
      <c r="Y22">
        <v>56.579727980323518</v>
      </c>
      <c r="Z22" t="e">
        <v>#REF!</v>
      </c>
    </row>
    <row r="23" spans="2:26" x14ac:dyDescent="0.2">
      <c r="B23" t="str">
        <f>lc_detailed!B24</f>
        <v>CA_Gasoline_Gasification_Non_CCS_Herb</v>
      </c>
      <c r="C23">
        <f>lc_detailed!AD24</f>
        <v>0</v>
      </c>
      <c r="D23">
        <f>lc_detailed!AE24</f>
        <v>0</v>
      </c>
      <c r="E23">
        <f>lc_detailed!AF24</f>
        <v>61.366317310471054</v>
      </c>
      <c r="F23" t="e">
        <f>lc_detailed!#REF!</f>
        <v>#REF!</v>
      </c>
      <c r="G23">
        <f>lc_detailed!AG24</f>
        <v>17.901596436060082</v>
      </c>
      <c r="H23">
        <f>lc_detailed!AH24</f>
        <v>9.4662278894074863</v>
      </c>
      <c r="I23">
        <f>lc_detailed!AI24</f>
        <v>0.23119160003853192</v>
      </c>
      <c r="J23">
        <f>lc_detailed!AK24</f>
        <v>-10.151386379577907</v>
      </c>
      <c r="K23">
        <f>lc_detailed!AL24</f>
        <v>2.0856720119677838</v>
      </c>
      <c r="L23">
        <f>lc_detailed!AB24</f>
        <v>80.899618868367028</v>
      </c>
      <c r="M23" t="e">
        <f>lc_detailed!#REF!</f>
        <v>#REF!</v>
      </c>
      <c r="O23" t="str">
        <v>CA_Gasoline_Gasification_Non_CCS_Herb</v>
      </c>
      <c r="P23">
        <v>0</v>
      </c>
      <c r="Q23">
        <v>0.73605181175742107</v>
      </c>
      <c r="R23">
        <v>54.762078186656993</v>
      </c>
      <c r="S23" t="e">
        <v>#REF!</v>
      </c>
      <c r="T23">
        <v>0</v>
      </c>
      <c r="U23">
        <v>7.2208724377810398</v>
      </c>
      <c r="V23">
        <v>-8.1853200395467898</v>
      </c>
      <c r="W23">
        <v>0</v>
      </c>
      <c r="X23">
        <v>2.0858858143606906</v>
      </c>
      <c r="Y23">
        <v>56.619568211009359</v>
      </c>
      <c r="Z23" t="e">
        <v>#REF!</v>
      </c>
    </row>
    <row r="24" spans="2:26" x14ac:dyDescent="0.2">
      <c r="B24" t="str">
        <f>lc_detailed!B25</f>
        <v>CA_Gasoline_Gasification_Non_CCS_Herb</v>
      </c>
      <c r="C24">
        <f>lc_detailed!AD25</f>
        <v>0</v>
      </c>
      <c r="D24">
        <f>lc_detailed!AE25</f>
        <v>0</v>
      </c>
      <c r="E24">
        <f>lc_detailed!AF25</f>
        <v>52.50426245349567</v>
      </c>
      <c r="F24" t="e">
        <f>lc_detailed!#REF!</f>
        <v>#REF!</v>
      </c>
      <c r="G24">
        <f>lc_detailed!AG25</f>
        <v>17.957817326447284</v>
      </c>
      <c r="H24">
        <f>lc_detailed!AH25</f>
        <v>9.4959570681682486</v>
      </c>
      <c r="I24">
        <f>lc_detailed!AI25</f>
        <v>0.23191766922742424</v>
      </c>
      <c r="J24">
        <f>lc_detailed!AK25</f>
        <v>-7.2790092167589471</v>
      </c>
      <c r="K24">
        <f>lc_detailed!AL25</f>
        <v>2.0860662875760316</v>
      </c>
      <c r="L24">
        <f>lc_detailed!AB25</f>
        <v>74.997011588155715</v>
      </c>
      <c r="M24" t="e">
        <f>lc_detailed!#REF!</f>
        <v>#REF!</v>
      </c>
      <c r="O24" t="str">
        <v>CA_Gasoline_Gasification_Non_CCS_Herb</v>
      </c>
      <c r="P24">
        <v>0</v>
      </c>
      <c r="Q24">
        <v>0.76970088018920757</v>
      </c>
      <c r="R24">
        <v>54.762078186656993</v>
      </c>
      <c r="S24" t="e">
        <v>#REF!</v>
      </c>
      <c r="T24">
        <v>0</v>
      </c>
      <c r="U24">
        <v>7.2208724377810398</v>
      </c>
      <c r="V24">
        <v>-8.1853200395467898</v>
      </c>
      <c r="W24">
        <v>0</v>
      </c>
      <c r="X24">
        <v>2.0858858143606906</v>
      </c>
      <c r="Y24">
        <v>56.653217279441144</v>
      </c>
      <c r="Z24" t="e">
        <v>#REF!</v>
      </c>
    </row>
    <row r="25" spans="2:26" x14ac:dyDescent="0.2">
      <c r="B25" t="str">
        <f>lc_detailed!B26</f>
        <v>CA_Gasoline_Gasification_Non_CCS_Herb</v>
      </c>
      <c r="C25">
        <f>lc_detailed!AD26</f>
        <v>0</v>
      </c>
      <c r="D25">
        <f>lc_detailed!AE26</f>
        <v>0</v>
      </c>
      <c r="E25">
        <f>lc_detailed!AF26</f>
        <v>55.672685171798946</v>
      </c>
      <c r="F25" t="e">
        <f>lc_detailed!#REF!</f>
        <v>#REF!</v>
      </c>
      <c r="G25">
        <f>lc_detailed!AG26</f>
        <v>17.911085981662545</v>
      </c>
      <c r="H25">
        <f>lc_detailed!AH26</f>
        <v>9.4712458888669584</v>
      </c>
      <c r="I25">
        <f>lc_detailed!AI26</f>
        <v>0.23131415353476942</v>
      </c>
      <c r="J25">
        <f>lc_detailed!AK26</f>
        <v>-8.8507641788688645</v>
      </c>
      <c r="K25">
        <f>lc_detailed!AL26</f>
        <v>2.0855349801005141</v>
      </c>
      <c r="L25">
        <f>lc_detailed!AB26</f>
        <v>76.521101997094874</v>
      </c>
      <c r="M25" t="e">
        <f>lc_detailed!#REF!</f>
        <v>#REF!</v>
      </c>
      <c r="O25" t="str">
        <v>CA_Gasoline_Gasification_Non_CCS_Herb</v>
      </c>
      <c r="P25">
        <v>0</v>
      </c>
      <c r="Q25">
        <v>0.8442129170953</v>
      </c>
      <c r="R25">
        <v>54.762078186656993</v>
      </c>
      <c r="S25" t="e">
        <v>#REF!</v>
      </c>
      <c r="T25">
        <v>0</v>
      </c>
      <c r="U25">
        <v>7.2208724377810398</v>
      </c>
      <c r="V25">
        <v>-8.1853200395467898</v>
      </c>
      <c r="W25">
        <v>0</v>
      </c>
      <c r="X25">
        <v>2.0858858143606906</v>
      </c>
      <c r="Y25">
        <v>56.727729316347236</v>
      </c>
      <c r="Z25" t="e">
        <v>#REF!</v>
      </c>
    </row>
    <row r="26" spans="2:26" x14ac:dyDescent="0.2">
      <c r="B26" t="str">
        <f>lc_detailed!B27</f>
        <v>CA_Gasoline_Gasification_Non_CCS_Herb</v>
      </c>
      <c r="C26">
        <f>lc_detailed!AD27</f>
        <v>0</v>
      </c>
      <c r="D26">
        <f>lc_detailed!AE27</f>
        <v>0</v>
      </c>
      <c r="E26">
        <f>lc_detailed!AF27</f>
        <v>54.336796717535272</v>
      </c>
      <c r="F26" t="e">
        <f>lc_detailed!#REF!</f>
        <v>#REF!</v>
      </c>
      <c r="G26">
        <f>lc_detailed!AG27</f>
        <v>17.836306037310653</v>
      </c>
      <c r="H26">
        <f>lc_detailed!AH27</f>
        <v>9.4317028236816505</v>
      </c>
      <c r="I26">
        <f>lc_detailed!AI27</f>
        <v>0.23034840195796139</v>
      </c>
      <c r="J26">
        <f>lc_detailed!AK27</f>
        <v>-8.1386486701517278</v>
      </c>
      <c r="K26">
        <f>lc_detailed!AL27</f>
        <v>2.0854168639694692</v>
      </c>
      <c r="L26">
        <f>lc_detailed!AB27</f>
        <v>75.78192217430329</v>
      </c>
      <c r="M26" t="e">
        <f>lc_detailed!#REF!</f>
        <v>#REF!</v>
      </c>
      <c r="O26" t="str">
        <v>CA_Gasoline_Gasification_Non_CCS_Herb</v>
      </c>
      <c r="P26">
        <v>0</v>
      </c>
      <c r="Q26">
        <v>1.0048323719933401</v>
      </c>
      <c r="R26">
        <v>54.762078186656993</v>
      </c>
      <c r="S26" t="e">
        <v>#REF!</v>
      </c>
      <c r="T26">
        <v>0</v>
      </c>
      <c r="U26">
        <v>7.2208724377810398</v>
      </c>
      <c r="V26">
        <v>-8.1853200395467898</v>
      </c>
      <c r="W26">
        <v>0</v>
      </c>
      <c r="X26">
        <v>2.0858858143606906</v>
      </c>
      <c r="Y26">
        <v>56.888348771245276</v>
      </c>
      <c r="Z26" t="e">
        <v>#REF!</v>
      </c>
    </row>
    <row r="27" spans="2:26" x14ac:dyDescent="0.2">
      <c r="B27" t="str">
        <f>lc_detailed!B28</f>
        <v>CA_Gasoline_Gasification_Non_CCS_Herb</v>
      </c>
      <c r="C27">
        <f>lc_detailed!AD28</f>
        <v>0</v>
      </c>
      <c r="D27">
        <f>lc_detailed!AE28</f>
        <v>0</v>
      </c>
      <c r="E27">
        <f>lc_detailed!AF28</f>
        <v>76.727098702434745</v>
      </c>
      <c r="F27" t="e">
        <f>lc_detailed!#REF!</f>
        <v>#REF!</v>
      </c>
      <c r="G27">
        <f>lc_detailed!AG28</f>
        <v>18.062542897676021</v>
      </c>
      <c r="H27">
        <f>lc_detailed!AH28</f>
        <v>9.551335152834632</v>
      </c>
      <c r="I27">
        <f>lc_detailed!AI28</f>
        <v>0.23327015599941681</v>
      </c>
      <c r="J27">
        <f>lc_detailed!AK28</f>
        <v>-11.789119139782237</v>
      </c>
      <c r="K27">
        <f>lc_detailed!AL28</f>
        <v>2.0857742087478477</v>
      </c>
      <c r="L27">
        <f>lc_detailed!AB28</f>
        <v>94.870901977910435</v>
      </c>
      <c r="M27" t="e">
        <f>lc_detailed!#REF!</f>
        <v>#REF!</v>
      </c>
      <c r="O27" t="str">
        <v>CA_Gasoline_Gasification_Non_CCS_Herb</v>
      </c>
      <c r="P27">
        <v>0</v>
      </c>
      <c r="Q27">
        <v>1.0506813864995876</v>
      </c>
      <c r="R27">
        <v>54.762078186656993</v>
      </c>
      <c r="S27" t="e">
        <v>#REF!</v>
      </c>
      <c r="T27">
        <v>0</v>
      </c>
      <c r="U27">
        <v>7.2208724377810398</v>
      </c>
      <c r="V27">
        <v>-8.1853200395467898</v>
      </c>
      <c r="W27">
        <v>0</v>
      </c>
      <c r="X27">
        <v>2.0858858143606906</v>
      </c>
      <c r="Y27">
        <v>56.934197785751529</v>
      </c>
      <c r="Z27" t="e">
        <v>#REF!</v>
      </c>
    </row>
    <row r="28" spans="2:26" x14ac:dyDescent="0.2">
      <c r="B28" t="str">
        <f>lc_detailed!B29</f>
        <v>CA_Gasoline_Gasification_Non_CCS_Herb</v>
      </c>
      <c r="C28">
        <f>lc_detailed!AD29</f>
        <v>0</v>
      </c>
      <c r="D28">
        <f>lc_detailed!AE29</f>
        <v>0</v>
      </c>
      <c r="E28">
        <f>lc_detailed!AF29</f>
        <v>52.868555686316462</v>
      </c>
      <c r="F28" t="e">
        <f>lc_detailed!#REF!</f>
        <v>#REF!</v>
      </c>
      <c r="G28">
        <f>lc_detailed!AG29</f>
        <v>19.881937798517143</v>
      </c>
      <c r="H28">
        <f>lc_detailed!AH29</f>
        <v>10.513417323198794</v>
      </c>
      <c r="I28">
        <f>lc_detailed!AI29</f>
        <v>0.25676687707285761</v>
      </c>
      <c r="J28">
        <f>lc_detailed!AK29</f>
        <v>-10.811496455239345</v>
      </c>
      <c r="K28">
        <f>lc_detailed!AL29</f>
        <v>2.0864530802119519</v>
      </c>
      <c r="L28">
        <f>lc_detailed!AB29</f>
        <v>74.795634310077887</v>
      </c>
      <c r="M28" t="e">
        <f>lc_detailed!#REF!</f>
        <v>#REF!</v>
      </c>
      <c r="O28" t="str">
        <v>CA_Gasoline_Gasification_Non_CCS_Herb</v>
      </c>
      <c r="P28">
        <v>0</v>
      </c>
      <c r="Q28">
        <v>1.0820498722750709</v>
      </c>
      <c r="R28">
        <v>54.762078186656993</v>
      </c>
      <c r="S28" t="e">
        <v>#REF!</v>
      </c>
      <c r="T28">
        <v>0</v>
      </c>
      <c r="U28">
        <v>7.2208724377810398</v>
      </c>
      <c r="V28">
        <v>-8.1853200395467898</v>
      </c>
      <c r="W28">
        <v>0</v>
      </c>
      <c r="X28">
        <v>2.0858858143606906</v>
      </c>
      <c r="Y28">
        <v>56.96556627152701</v>
      </c>
      <c r="Z28" t="e">
        <v>#REF!</v>
      </c>
    </row>
    <row r="29" spans="2:26" x14ac:dyDescent="0.2">
      <c r="B29" t="str">
        <f>lc_detailed!B30</f>
        <v>CA_Gasoline_Gasification_Non_CCS_Herb</v>
      </c>
      <c r="C29">
        <f>lc_detailed!AD30</f>
        <v>0</v>
      </c>
      <c r="D29">
        <f>lc_detailed!AE30</f>
        <v>0</v>
      </c>
      <c r="E29">
        <f>lc_detailed!AF30</f>
        <v>47.53338914580344</v>
      </c>
      <c r="F29" t="e">
        <f>lc_detailed!#REF!</f>
        <v>#REF!</v>
      </c>
      <c r="G29">
        <f>lc_detailed!AG30</f>
        <v>19.756176325172991</v>
      </c>
      <c r="H29">
        <f>lc_detailed!AH30</f>
        <v>10.446915613664926</v>
      </c>
      <c r="I29">
        <f>lc_detailed!AI30</f>
        <v>0.2551427204592569</v>
      </c>
      <c r="J29">
        <f>lc_detailed!AK30</f>
        <v>-7.6789565147141294</v>
      </c>
      <c r="K29">
        <f>lc_detailed!AL30</f>
        <v>2.0854294720725233</v>
      </c>
      <c r="L29">
        <f>lc_detailed!AB30</f>
        <v>72.398096762459019</v>
      </c>
      <c r="M29" t="e">
        <f>lc_detailed!#REF!</f>
        <v>#REF!</v>
      </c>
      <c r="O29" t="str">
        <v>CA_Gasoline_Gasification_Non_CCS_Herb</v>
      </c>
      <c r="P29">
        <v>0</v>
      </c>
      <c r="Q29">
        <v>1.3043611278934286</v>
      </c>
      <c r="R29">
        <v>54.762078186656993</v>
      </c>
      <c r="S29" t="e">
        <v>#REF!</v>
      </c>
      <c r="T29">
        <v>0</v>
      </c>
      <c r="U29">
        <v>7.2208724377810398</v>
      </c>
      <c r="V29">
        <v>-8.1853200395467898</v>
      </c>
      <c r="W29">
        <v>0</v>
      </c>
      <c r="X29">
        <v>2.0858858143606906</v>
      </c>
      <c r="Y29">
        <v>57.187877527145368</v>
      </c>
      <c r="Z29" t="e">
        <v>#REF!</v>
      </c>
    </row>
    <row r="30" spans="2:26" x14ac:dyDescent="0.2">
      <c r="B30" t="str">
        <f>lc_detailed!B31</f>
        <v>CA_Gasoline_Gasification_Non_CCS_Herb</v>
      </c>
      <c r="C30">
        <f>lc_detailed!AD31</f>
        <v>0</v>
      </c>
      <c r="D30">
        <f>lc_detailed!AE31</f>
        <v>0</v>
      </c>
      <c r="E30">
        <f>lc_detailed!AF31</f>
        <v>48.869114945580044</v>
      </c>
      <c r="F30" t="e">
        <f>lc_detailed!#REF!</f>
        <v>#REF!</v>
      </c>
      <c r="G30">
        <f>lc_detailed!AG31</f>
        <v>19.733100356011654</v>
      </c>
      <c r="H30">
        <f>lc_detailed!AH31</f>
        <v>10.434713216876997</v>
      </c>
      <c r="I30">
        <f>lc_detailed!AI31</f>
        <v>0.25484470400849479</v>
      </c>
      <c r="J30">
        <f>lc_detailed!AK31</f>
        <v>-9.3986419893153954</v>
      </c>
      <c r="K30">
        <f>lc_detailed!AL31</f>
        <v>2.0857316983763274</v>
      </c>
      <c r="L30">
        <f>lc_detailed!AB31</f>
        <v>71.978862931538117</v>
      </c>
      <c r="M30" t="e">
        <f>lc_detailed!#REF!</f>
        <v>#REF!</v>
      </c>
      <c r="O30" t="str">
        <v>CA_Gasoline_Gasification_Non_CCS_Herb</v>
      </c>
      <c r="P30">
        <v>0</v>
      </c>
      <c r="Q30">
        <v>3.5655528289290683</v>
      </c>
      <c r="R30">
        <v>52.868555686316462</v>
      </c>
      <c r="S30" t="e">
        <v>#REF!</v>
      </c>
      <c r="T30">
        <v>35.292665333437341</v>
      </c>
      <c r="U30">
        <v>18.94822877590039</v>
      </c>
      <c r="V30">
        <v>0.89333475981598376</v>
      </c>
      <c r="W30">
        <v>-45.533764379187978</v>
      </c>
      <c r="X30">
        <v>2.0864530802119652</v>
      </c>
      <c r="Y30">
        <v>68.121026085423253</v>
      </c>
      <c r="Z30" t="e">
        <v>#REF!</v>
      </c>
    </row>
    <row r="31" spans="2:26" x14ac:dyDescent="0.2">
      <c r="B31" t="str">
        <f>lc_detailed!B32</f>
        <v>CA_Gasoline_Gasification_Non_CCS_Herb</v>
      </c>
      <c r="C31">
        <f>lc_detailed!AD32</f>
        <v>0</v>
      </c>
      <c r="D31">
        <f>lc_detailed!AE32</f>
        <v>0</v>
      </c>
      <c r="E31">
        <f>lc_detailed!AF32</f>
        <v>47.36676528599606</v>
      </c>
      <c r="F31" t="e">
        <f>lc_detailed!#REF!</f>
        <v>#REF!</v>
      </c>
      <c r="G31">
        <f>lc_detailed!AG32</f>
        <v>19.813046815154298</v>
      </c>
      <c r="H31">
        <f>lc_detailed!AH32</f>
        <v>10.476988295744883</v>
      </c>
      <c r="I31">
        <f>lc_detailed!AI32</f>
        <v>0.25587717895410206</v>
      </c>
      <c r="J31">
        <f>lc_detailed!AK32</f>
        <v>-8.4736654520709855</v>
      </c>
      <c r="K31">
        <f>lc_detailed!AL32</f>
        <v>2.0860153654243563</v>
      </c>
      <c r="L31">
        <f>lc_detailed!AB32</f>
        <v>71.525027489202728</v>
      </c>
      <c r="M31" t="e">
        <f>lc_detailed!#REF!</f>
        <v>#REF!</v>
      </c>
      <c r="O31" t="str">
        <v>CA_Gasoline_Gasification_Non_CCS_Herb</v>
      </c>
      <c r="P31">
        <v>0</v>
      </c>
      <c r="Q31">
        <v>3.3582448903667879</v>
      </c>
      <c r="R31">
        <v>55.653727327690454</v>
      </c>
      <c r="S31" t="e">
        <v>#REF!</v>
      </c>
      <c r="T31">
        <v>33.240683481624224</v>
      </c>
      <c r="U31">
        <v>17.846543164887237</v>
      </c>
      <c r="V31">
        <v>0.8413945989520355</v>
      </c>
      <c r="W31">
        <v>-42.765167507068689</v>
      </c>
      <c r="X31">
        <v>2.0863450301055204</v>
      </c>
      <c r="Y31">
        <v>70.261770986557565</v>
      </c>
      <c r="Z31" t="e">
        <v>#REF!</v>
      </c>
    </row>
    <row r="32" spans="2:26" x14ac:dyDescent="0.2">
      <c r="B32" t="str">
        <f>lc_detailed!B33</f>
        <v>CA_Gasoline_Gasification_Non_CCS_Herb</v>
      </c>
      <c r="C32">
        <f>lc_detailed!AD33</f>
        <v>0</v>
      </c>
      <c r="D32">
        <f>lc_detailed!AE33</f>
        <v>0</v>
      </c>
      <c r="E32">
        <f>lc_detailed!AF33</f>
        <v>61.656984276381351</v>
      </c>
      <c r="F32" t="e">
        <f>lc_detailed!#REF!</f>
        <v>#REF!</v>
      </c>
      <c r="G32">
        <f>lc_detailed!AG33</f>
        <v>20.577618492164735</v>
      </c>
      <c r="H32">
        <f>lc_detailed!AH33</f>
        <v>10.881287976961479</v>
      </c>
      <c r="I32">
        <f>lc_detailed!AI33</f>
        <v>0.26575130107407818</v>
      </c>
      <c r="J32">
        <f>lc_detailed!AK33</f>
        <v>-12.133809597520065</v>
      </c>
      <c r="K32">
        <f>lc_detailed!AL33</f>
        <v>2.085727662574079</v>
      </c>
      <c r="L32">
        <f>lc_detailed!AB33</f>
        <v>83.333560111635649</v>
      </c>
      <c r="M32" t="e">
        <f>lc_detailed!#REF!</f>
        <v>#REF!</v>
      </c>
      <c r="O32" t="str">
        <v>CA_Gasoline_Gasification_Non_CCS_Herb</v>
      </c>
      <c r="P32">
        <v>0</v>
      </c>
      <c r="Q32">
        <v>4.2911553669232809</v>
      </c>
      <c r="R32">
        <v>48.869114945580044</v>
      </c>
      <c r="S32" t="e">
        <v>#REF!</v>
      </c>
      <c r="T32">
        <v>35.028462210951822</v>
      </c>
      <c r="U32">
        <v>18.806381138130178</v>
      </c>
      <c r="V32">
        <v>0.88664719936288827</v>
      </c>
      <c r="W32">
        <v>-39.583377897556339</v>
      </c>
      <c r="X32">
        <v>2.0857316983762755</v>
      </c>
      <c r="Y32">
        <v>70.384114661768123</v>
      </c>
      <c r="Z32" t="e">
        <v>#REF!</v>
      </c>
    </row>
    <row r="33" spans="2:26" x14ac:dyDescent="0.2">
      <c r="B33" t="str">
        <f>lc_detailed!B34</f>
        <v>CA_Gasoline_Gasification_Non_CCS_Herb</v>
      </c>
      <c r="C33">
        <f>lc_detailed!AD34</f>
        <v>0</v>
      </c>
      <c r="D33">
        <f>lc_detailed!AE34</f>
        <v>3.3582448903667879</v>
      </c>
      <c r="E33">
        <f>lc_detailed!AF34</f>
        <v>55.653727327690454</v>
      </c>
      <c r="F33" t="e">
        <f>lc_detailed!#REF!</f>
        <v>#REF!</v>
      </c>
      <c r="G33">
        <f>lc_detailed!AG34</f>
        <v>33.240683481624224</v>
      </c>
      <c r="H33">
        <f>lc_detailed!AH34</f>
        <v>17.846543164887237</v>
      </c>
      <c r="I33">
        <f>lc_detailed!AI34</f>
        <v>0.8413945989520355</v>
      </c>
      <c r="J33">
        <f>lc_detailed!AK34</f>
        <v>-42.765167507068689</v>
      </c>
      <c r="K33">
        <f>lc_detailed!AL34</f>
        <v>2.0863450301055204</v>
      </c>
      <c r="L33">
        <f>lc_detailed!AB34</f>
        <v>70.261770986557565</v>
      </c>
      <c r="M33" t="e">
        <f>lc_detailed!#REF!</f>
        <v>#REF!</v>
      </c>
      <c r="O33" t="str">
        <v>CA_Gasoline_Gasification_Non_CCS_Herb</v>
      </c>
      <c r="P33">
        <v>0</v>
      </c>
      <c r="Q33">
        <v>0</v>
      </c>
      <c r="R33">
        <v>47.36676528599606</v>
      </c>
      <c r="S33" t="e">
        <v>#REF!</v>
      </c>
      <c r="T33">
        <v>19.813046815154298</v>
      </c>
      <c r="U33">
        <v>10.476988295744883</v>
      </c>
      <c r="V33">
        <v>0.25587717895410206</v>
      </c>
      <c r="W33">
        <v>-8.4736654520709855</v>
      </c>
      <c r="X33">
        <v>2.0860153654243563</v>
      </c>
      <c r="Y33">
        <v>71.525027489202728</v>
      </c>
      <c r="Z33" t="e">
        <v>#REF!</v>
      </c>
    </row>
    <row r="34" spans="2:26" x14ac:dyDescent="0.2">
      <c r="B34" t="str">
        <f>lc_detailed!B35</f>
        <v>CA_Gasoline_Gasification_Non_CCS_Herb</v>
      </c>
      <c r="C34">
        <f>lc_detailed!AD35</f>
        <v>0</v>
      </c>
      <c r="D34">
        <f>lc_detailed!AE35</f>
        <v>5.1994644802248535</v>
      </c>
      <c r="E34">
        <f>lc_detailed!AF35</f>
        <v>50.579072475406548</v>
      </c>
      <c r="F34" t="e">
        <f>lc_detailed!#REF!</f>
        <v>#REF!</v>
      </c>
      <c r="G34">
        <f>lc_detailed!AG35</f>
        <v>33.113887057984215</v>
      </c>
      <c r="H34">
        <f>lc_detailed!AH35</f>
        <v>17.778467613766406</v>
      </c>
      <c r="I34">
        <f>lc_detailed!AI35</f>
        <v>0.83818510339289298</v>
      </c>
      <c r="J34">
        <f>lc_detailed!AK35</f>
        <v>-30.595258532824619</v>
      </c>
      <c r="K34">
        <f>lc_detailed!AL35</f>
        <v>2.0860756101413624</v>
      </c>
      <c r="L34">
        <f>lc_detailed!AB35</f>
        <v>78.999893808091656</v>
      </c>
      <c r="M34" t="e">
        <f>lc_detailed!#REF!</f>
        <v>#REF!</v>
      </c>
      <c r="O34" t="str">
        <v>CA_Gasoline_Gasification_Non_CCS_Herb</v>
      </c>
      <c r="P34">
        <v>0</v>
      </c>
      <c r="Q34">
        <v>0</v>
      </c>
      <c r="R34">
        <v>48.869114945580044</v>
      </c>
      <c r="S34" t="e">
        <v>#REF!</v>
      </c>
      <c r="T34">
        <v>19.733100356011654</v>
      </c>
      <c r="U34">
        <v>10.434713216876997</v>
      </c>
      <c r="V34">
        <v>0.25484470400849479</v>
      </c>
      <c r="W34">
        <v>-9.3986419893153954</v>
      </c>
      <c r="X34">
        <v>2.0857316983763274</v>
      </c>
      <c r="Y34">
        <v>71.978862931538117</v>
      </c>
      <c r="Z34" t="e">
        <v>#REF!</v>
      </c>
    </row>
    <row r="35" spans="2:26" x14ac:dyDescent="0.2">
      <c r="B35" t="str">
        <f>lc_detailed!B36</f>
        <v>CA_Gasoline_Gasification_Non_CCS_Herb</v>
      </c>
      <c r="C35">
        <f>lc_detailed!AD36</f>
        <v>0</v>
      </c>
      <c r="D35">
        <f>lc_detailed!AE36</f>
        <v>4.0478745598237085</v>
      </c>
      <c r="E35">
        <f>lc_detailed!AF36</f>
        <v>52.169771122351882</v>
      </c>
      <c r="F35" t="e">
        <f>lc_detailed!#REF!</f>
        <v>#REF!</v>
      </c>
      <c r="G35">
        <f>lc_detailed!AG36</f>
        <v>33.042574535146869</v>
      </c>
      <c r="H35">
        <f>lc_detailed!AH36</f>
        <v>17.740180735046923</v>
      </c>
      <c r="I35">
        <f>lc_detailed!AI36</f>
        <v>0.83638002704462366</v>
      </c>
      <c r="J35">
        <f>lc_detailed!AK36</f>
        <v>-37.453812048331194</v>
      </c>
      <c r="K35">
        <f>lc_detailed!AL36</f>
        <v>2.0853812257300803</v>
      </c>
      <c r="L35">
        <f>lc_detailed!AB36</f>
        <v>72.468350156812903</v>
      </c>
      <c r="M35" t="e">
        <f>lc_detailed!#REF!</f>
        <v>#REF!</v>
      </c>
      <c r="O35" t="str">
        <v>CA_Gasoline_Gasification_Non_CCS_Herb</v>
      </c>
      <c r="P35">
        <v>0</v>
      </c>
      <c r="Q35">
        <v>0</v>
      </c>
      <c r="R35">
        <v>47.53338914580344</v>
      </c>
      <c r="S35" t="e">
        <v>#REF!</v>
      </c>
      <c r="T35">
        <v>19.756176325172991</v>
      </c>
      <c r="U35">
        <v>10.446915613664926</v>
      </c>
      <c r="V35">
        <v>0.2551427204592569</v>
      </c>
      <c r="W35">
        <v>-7.6789565147141294</v>
      </c>
      <c r="X35">
        <v>2.0854294720725233</v>
      </c>
      <c r="Y35">
        <v>72.398096762459019</v>
      </c>
      <c r="Z35" t="e">
        <v>#REF!</v>
      </c>
    </row>
    <row r="36" spans="2:26" x14ac:dyDescent="0.2">
      <c r="B36" t="str">
        <f>lc_detailed!B37</f>
        <v>CA_Gasoline_Gasification_Non_CCS_Herb</v>
      </c>
      <c r="C36">
        <f>lc_detailed!AD37</f>
        <v>0</v>
      </c>
      <c r="D36">
        <f>lc_detailed!AE37</f>
        <v>5.076505166389099</v>
      </c>
      <c r="E36">
        <f>lc_detailed!AF37</f>
        <v>50.281525611910162</v>
      </c>
      <c r="F36" t="e">
        <f>lc_detailed!#REF!</f>
        <v>#REF!</v>
      </c>
      <c r="G36">
        <f>lc_detailed!AG37</f>
        <v>33.296042681972118</v>
      </c>
      <c r="H36">
        <f>lc_detailed!AH37</f>
        <v>17.876264887039209</v>
      </c>
      <c r="I36">
        <f>lc_detailed!AI37</f>
        <v>0.84279586172091847</v>
      </c>
      <c r="J36">
        <f>lc_detailed!AK37</f>
        <v>-33.884510545173519</v>
      </c>
      <c r="K36">
        <f>lc_detailed!AL37</f>
        <v>2.0859156364526226</v>
      </c>
      <c r="L36">
        <f>lc_detailed!AB37</f>
        <v>75.574539300310619</v>
      </c>
      <c r="M36" t="e">
        <f>lc_detailed!#REF!</f>
        <v>#REF!</v>
      </c>
      <c r="O36" t="str">
        <v>CA_Gasoline_Gasification_Non_CCS_Herb</v>
      </c>
      <c r="P36">
        <v>0</v>
      </c>
      <c r="Q36">
        <v>4.0478745598237085</v>
      </c>
      <c r="R36">
        <v>52.169771122351882</v>
      </c>
      <c r="S36" t="e">
        <v>#REF!</v>
      </c>
      <c r="T36">
        <v>33.042574535146869</v>
      </c>
      <c r="U36">
        <v>17.740180735046923</v>
      </c>
      <c r="V36">
        <v>0.83638002704462366</v>
      </c>
      <c r="W36">
        <v>-37.453812048331194</v>
      </c>
      <c r="X36">
        <v>2.0853812257300803</v>
      </c>
      <c r="Y36">
        <v>72.468350156812903</v>
      </c>
      <c r="Z36" t="e">
        <v>#REF!</v>
      </c>
    </row>
    <row r="37" spans="2:26" x14ac:dyDescent="0.2">
      <c r="B37" t="str">
        <f>lc_detailed!B38</f>
        <v>CA_Gasoline_Gasification_Non_CCS_Herb</v>
      </c>
      <c r="C37">
        <f>lc_detailed!AD38</f>
        <v>0</v>
      </c>
      <c r="D37">
        <f>lc_detailed!AE38</f>
        <v>2.6945004434998232</v>
      </c>
      <c r="E37">
        <f>lc_detailed!AF38</f>
        <v>69.801451343555485</v>
      </c>
      <c r="F37" t="e">
        <f>lc_detailed!#REF!</f>
        <v>#REF!</v>
      </c>
      <c r="G37">
        <f>lc_detailed!AG38</f>
        <v>33.387029287145261</v>
      </c>
      <c r="H37">
        <f>lc_detailed!AH38</f>
        <v>17.925114555775615</v>
      </c>
      <c r="I37">
        <f>lc_detailed!AI38</f>
        <v>0.84509893224027122</v>
      </c>
      <c r="J37">
        <f>lc_detailed!AK38</f>
        <v>-48.316366796170506</v>
      </c>
      <c r="K37">
        <f>lc_detailed!AL38</f>
        <v>2.0864731500533784</v>
      </c>
      <c r="L37">
        <f>lc_detailed!AB38</f>
        <v>78.423300916099308</v>
      </c>
      <c r="M37" t="e">
        <f>lc_detailed!#REF!</f>
        <v>#REF!</v>
      </c>
      <c r="O37" t="str">
        <v>CA_Gasoline_Gasification_Non_CCS_Herb</v>
      </c>
      <c r="P37">
        <v>0</v>
      </c>
      <c r="Q37">
        <v>2.9479583248809655</v>
      </c>
      <c r="R37">
        <v>61.656984276381351</v>
      </c>
      <c r="S37" t="e">
        <v>#REF!</v>
      </c>
      <c r="T37">
        <v>36.527576444650514</v>
      </c>
      <c r="U37">
        <v>19.611238441849292</v>
      </c>
      <c r="V37">
        <v>0.92459306832023025</v>
      </c>
      <c r="W37">
        <v>-51.102826470212008</v>
      </c>
      <c r="X37">
        <v>2.0857276625740924</v>
      </c>
      <c r="Y37">
        <v>72.651251748444423</v>
      </c>
      <c r="Z37" t="e">
        <v>#REF!</v>
      </c>
    </row>
    <row r="38" spans="2:26" x14ac:dyDescent="0.2">
      <c r="B38" t="str">
        <f>lc_detailed!B39</f>
        <v>CA_Gasoline_Gasification_Non_CCS_Herb</v>
      </c>
      <c r="C38">
        <f>lc_detailed!AD39</f>
        <v>0</v>
      </c>
      <c r="D38">
        <f>lc_detailed!AE39</f>
        <v>3.2104057693863788</v>
      </c>
      <c r="E38">
        <f>lc_detailed!AF39</f>
        <v>61.366317310471054</v>
      </c>
      <c r="F38" t="e">
        <f>lc_detailed!#REF!</f>
        <v>#REF!</v>
      </c>
      <c r="G38">
        <f>lc_detailed!AG39</f>
        <v>31.777337720030705</v>
      </c>
      <c r="H38">
        <f>lc_detailed!AH39</f>
        <v>17.06088954516337</v>
      </c>
      <c r="I38">
        <f>lc_detailed!AI39</f>
        <v>0.8043541084673923</v>
      </c>
      <c r="J38">
        <f>lc_detailed!AK39</f>
        <v>-42.753640760414562</v>
      </c>
      <c r="K38">
        <f>lc_detailed!AL39</f>
        <v>2.0856720119677368</v>
      </c>
      <c r="L38">
        <f>lc_detailed!AB39</f>
        <v>73.551335705072063</v>
      </c>
      <c r="M38" t="e">
        <f>lc_detailed!#REF!</f>
        <v>#REF!</v>
      </c>
      <c r="O38" t="str">
        <v>CA_Gasoline_Gasification_Non_CCS_Herb</v>
      </c>
      <c r="P38">
        <v>0</v>
      </c>
      <c r="Q38">
        <v>0</v>
      </c>
      <c r="R38">
        <v>50.281525611910162</v>
      </c>
      <c r="S38" t="e">
        <v>#REF!</v>
      </c>
      <c r="T38">
        <v>18.757150906155914</v>
      </c>
      <c r="U38">
        <v>9.9186385788482578</v>
      </c>
      <c r="V38">
        <v>0.24224072672218017</v>
      </c>
      <c r="W38">
        <v>-8.0455080014009788</v>
      </c>
      <c r="X38">
        <v>2.0859156364526106</v>
      </c>
      <c r="Y38">
        <v>73.239963458688152</v>
      </c>
      <c r="Z38" t="e">
        <v>#REF!</v>
      </c>
    </row>
    <row r="39" spans="2:26" x14ac:dyDescent="0.2">
      <c r="B39" t="str">
        <f>lc_detailed!B40</f>
        <v>CA_Gasoline_Gasification_Non_CCS_Herb</v>
      </c>
      <c r="C39">
        <f>lc_detailed!AD40</f>
        <v>0</v>
      </c>
      <c r="D39">
        <f>lc_detailed!AE40</f>
        <v>5.0052727595303663</v>
      </c>
      <c r="E39">
        <f>lc_detailed!AF40</f>
        <v>52.50426245349567</v>
      </c>
      <c r="F39" t="e">
        <f>lc_detailed!#REF!</f>
        <v>#REF!</v>
      </c>
      <c r="G39">
        <f>lc_detailed!AG40</f>
        <v>31.877136094278278</v>
      </c>
      <c r="H39">
        <f>lc_detailed!AH40</f>
        <v>17.114470152035651</v>
      </c>
      <c r="I39">
        <f>lc_detailed!AI40</f>
        <v>0.80688022418708016</v>
      </c>
      <c r="J39">
        <f>lc_detailed!AK40</f>
        <v>-30.656319591097915</v>
      </c>
      <c r="K39">
        <f>lc_detailed!AL40</f>
        <v>2.0860662875760552</v>
      </c>
      <c r="L39">
        <f>lc_detailed!AB40</f>
        <v>78.737768380005207</v>
      </c>
      <c r="M39" t="e">
        <f>lc_detailed!#REF!</f>
        <v>#REF!</v>
      </c>
      <c r="O39" t="str">
        <v>CA_Gasoline_Gasification_Non_CCS_Herb</v>
      </c>
      <c r="P39">
        <v>0</v>
      </c>
      <c r="Q39">
        <v>3.2104057693863788</v>
      </c>
      <c r="R39">
        <v>61.366317310471054</v>
      </c>
      <c r="S39" t="e">
        <v>#REF!</v>
      </c>
      <c r="T39">
        <v>31.777337720030705</v>
      </c>
      <c r="U39">
        <v>17.06088954516337</v>
      </c>
      <c r="V39">
        <v>0.8043541084673923</v>
      </c>
      <c r="W39">
        <v>-42.753640760414562</v>
      </c>
      <c r="X39">
        <v>2.0856720119677368</v>
      </c>
      <c r="Y39">
        <v>73.551335705072063</v>
      </c>
      <c r="Z39" t="e">
        <v>#REF!</v>
      </c>
    </row>
    <row r="40" spans="2:26" x14ac:dyDescent="0.2">
      <c r="B40" t="str">
        <f>lc_detailed!B41</f>
        <v>CA_Gasoline_Gasification_Non_CCS_Herb</v>
      </c>
      <c r="C40">
        <f>lc_detailed!AD41</f>
        <v>0</v>
      </c>
      <c r="D40">
        <f>lc_detailed!AE41</f>
        <v>3.8949405491783522</v>
      </c>
      <c r="E40">
        <f>lc_detailed!AF41</f>
        <v>55.672685171798946</v>
      </c>
      <c r="F40" t="e">
        <f>lc_detailed!#REF!</f>
        <v>#REF!</v>
      </c>
      <c r="G40">
        <f>lc_detailed!AG41</f>
        <v>31.794182725809723</v>
      </c>
      <c r="H40">
        <f>lc_detailed!AH41</f>
        <v>17.069933436300992</v>
      </c>
      <c r="I40">
        <f>lc_detailed!AI41</f>
        <v>0.80478049250638517</v>
      </c>
      <c r="J40">
        <f>lc_detailed!AK41</f>
        <v>-37.275932371144641</v>
      </c>
      <c r="K40">
        <f>lc_detailed!AL41</f>
        <v>2.0855349801005021</v>
      </c>
      <c r="L40">
        <f>lc_detailed!AB41</f>
        <v>74.046124984550261</v>
      </c>
      <c r="M40" t="e">
        <f>lc_detailed!#REF!</f>
        <v>#REF!</v>
      </c>
      <c r="O40" t="str">
        <v>CA_Gasoline_Gasification_Non_CCS_Herb</v>
      </c>
      <c r="P40">
        <v>-4.2470487513953117</v>
      </c>
      <c r="Q40">
        <v>0</v>
      </c>
      <c r="R40">
        <v>47.53338914580344</v>
      </c>
      <c r="S40" t="e">
        <v>#REF!</v>
      </c>
      <c r="T40">
        <v>18.41498814617082</v>
      </c>
      <c r="U40">
        <v>9.7128382273309022</v>
      </c>
      <c r="V40">
        <v>0.23919630043055334</v>
      </c>
      <c r="W40">
        <v>0</v>
      </c>
      <c r="X40">
        <v>2.0854294881561621</v>
      </c>
      <c r="Y40">
        <v>73.738792556496563</v>
      </c>
      <c r="Z40" t="e">
        <v>#REF!</v>
      </c>
    </row>
    <row r="41" spans="2:26" x14ac:dyDescent="0.2">
      <c r="B41" t="str">
        <f>lc_detailed!B42</f>
        <v>CA_Gasoline_Gasification_Non_CCS_Herb</v>
      </c>
      <c r="C41">
        <f>lc_detailed!AD42</f>
        <v>0</v>
      </c>
      <c r="D41">
        <f>lc_detailed!AE42</f>
        <v>4.8272842821767918</v>
      </c>
      <c r="E41">
        <f>lc_detailed!AF42</f>
        <v>54.336796717535272</v>
      </c>
      <c r="F41" t="e">
        <f>lc_detailed!#REF!</f>
        <v>#REF!</v>
      </c>
      <c r="G41">
        <f>lc_detailed!AG42</f>
        <v>31.661439953127818</v>
      </c>
      <c r="H41">
        <f>lc_detailed!AH42</f>
        <v>16.998665358320466</v>
      </c>
      <c r="I41">
        <f>lc_detailed!AI42</f>
        <v>0.80142048181207404</v>
      </c>
      <c r="J41">
        <f>lc_detailed!AK42</f>
        <v>-34.276782353481927</v>
      </c>
      <c r="K41">
        <f>lc_detailed!AL42</f>
        <v>2.0854168639695043</v>
      </c>
      <c r="L41">
        <f>lc_detailed!AB42</f>
        <v>76.434241303459999</v>
      </c>
      <c r="M41" t="e">
        <f>lc_detailed!#REF!</f>
        <v>#REF!</v>
      </c>
      <c r="O41" t="str">
        <v>CA_Gasoline_Gasification_Non_CCS_Herb</v>
      </c>
      <c r="P41">
        <v>-4.1235745351031508</v>
      </c>
      <c r="Q41">
        <v>0</v>
      </c>
      <c r="R41">
        <v>47.36676528599606</v>
      </c>
      <c r="S41" t="e">
        <v>#REF!</v>
      </c>
      <c r="T41">
        <v>18.467997867365622</v>
      </c>
      <c r="U41">
        <v>9.7407977808399302</v>
      </c>
      <c r="V41">
        <v>0.23988485526947068</v>
      </c>
      <c r="W41">
        <v>0</v>
      </c>
      <c r="X41">
        <v>2.0860153815076425</v>
      </c>
      <c r="Y41">
        <v>73.777886635875561</v>
      </c>
      <c r="Z41" t="e">
        <v>#REF!</v>
      </c>
    </row>
    <row r="42" spans="2:26" x14ac:dyDescent="0.2">
      <c r="B42" t="str">
        <f>lc_detailed!B43</f>
        <v>CA_Gasoline_Gasification_Non_CCS_Herb</v>
      </c>
      <c r="C42">
        <f>lc_detailed!AD43</f>
        <v>0</v>
      </c>
      <c r="D42">
        <f>lc_detailed!AE43</f>
        <v>2.5876475319045533</v>
      </c>
      <c r="E42">
        <f>lc_detailed!AF43</f>
        <v>76.727098702434745</v>
      </c>
      <c r="F42" t="e">
        <f>lc_detailed!#REF!</f>
        <v>#REF!</v>
      </c>
      <c r="G42">
        <f>lc_detailed!AG43</f>
        <v>32.063035707016454</v>
      </c>
      <c r="H42">
        <f>lc_detailed!AH43</f>
        <v>17.214277530090971</v>
      </c>
      <c r="I42">
        <f>lc_detailed!AI43</f>
        <v>0.81158575108130426</v>
      </c>
      <c r="J42">
        <f>lc_detailed!AK43</f>
        <v>-49.651126037125074</v>
      </c>
      <c r="K42">
        <f>lc_detailed!AL43</f>
        <v>2.0857742087478601</v>
      </c>
      <c r="L42">
        <f>lc_detailed!AB43</f>
        <v>81.838293394150838</v>
      </c>
      <c r="M42" t="e">
        <f>lc_detailed!#REF!</f>
        <v>#REF!</v>
      </c>
      <c r="O42" t="str">
        <v>CA_Gasoline_Gasification_Non_CCS_Herb</v>
      </c>
      <c r="P42">
        <v>0</v>
      </c>
      <c r="Q42">
        <v>3.8949405491783522</v>
      </c>
      <c r="R42">
        <v>55.672685171798946</v>
      </c>
      <c r="S42" t="e">
        <v>#REF!</v>
      </c>
      <c r="T42">
        <v>31.794182725809723</v>
      </c>
      <c r="U42">
        <v>17.069933436300992</v>
      </c>
      <c r="V42">
        <v>0.80478049250638517</v>
      </c>
      <c r="W42">
        <v>-37.275932371144641</v>
      </c>
      <c r="X42">
        <v>2.0855349801005021</v>
      </c>
      <c r="Y42">
        <v>74.046124984550261</v>
      </c>
      <c r="Z42" t="e">
        <v>#REF!</v>
      </c>
    </row>
    <row r="43" spans="2:26" x14ac:dyDescent="0.2">
      <c r="B43" t="str">
        <f>lc_detailed!B44</f>
        <v>CA_Gasoline_Gasification_Non_CCS_Herb</v>
      </c>
      <c r="C43">
        <f>lc_detailed!AD44</f>
        <v>0</v>
      </c>
      <c r="D43">
        <f>lc_detailed!AE44</f>
        <v>3.5655528289290683</v>
      </c>
      <c r="E43">
        <f>lc_detailed!AF44</f>
        <v>52.868555686316462</v>
      </c>
      <c r="F43" t="e">
        <f>lc_detailed!#REF!</f>
        <v>#REF!</v>
      </c>
      <c r="G43">
        <f>lc_detailed!AG44</f>
        <v>35.292665333437341</v>
      </c>
      <c r="H43">
        <f>lc_detailed!AH44</f>
        <v>18.94822877590039</v>
      </c>
      <c r="I43">
        <f>lc_detailed!AI44</f>
        <v>0.89333475981598376</v>
      </c>
      <c r="J43">
        <f>lc_detailed!AK44</f>
        <v>-45.533764379187978</v>
      </c>
      <c r="K43">
        <f>lc_detailed!AL44</f>
        <v>2.0864530802119652</v>
      </c>
      <c r="L43">
        <f>lc_detailed!AB44</f>
        <v>68.121026085423253</v>
      </c>
      <c r="M43" t="e">
        <f>lc_detailed!#REF!</f>
        <v>#REF!</v>
      </c>
      <c r="O43" t="str">
        <v>CA_Gasoline_Gasification_Non_CCS_Herb</v>
      </c>
      <c r="P43">
        <v>0</v>
      </c>
      <c r="Q43">
        <v>0</v>
      </c>
      <c r="R43">
        <v>52.169771122351882</v>
      </c>
      <c r="S43" t="e">
        <v>#REF!</v>
      </c>
      <c r="T43">
        <v>18.614360955851129</v>
      </c>
      <c r="U43">
        <v>9.8431323403554991</v>
      </c>
      <c r="V43">
        <v>0.24039665447989184</v>
      </c>
      <c r="W43">
        <v>-8.892999770974674</v>
      </c>
      <c r="X43">
        <v>2.0853812257300803</v>
      </c>
      <c r="Y43">
        <v>74.060042527793811</v>
      </c>
      <c r="Z43" t="e">
        <v>#REF!</v>
      </c>
    </row>
    <row r="44" spans="2:26" x14ac:dyDescent="0.2">
      <c r="B44" t="str">
        <f>lc_detailed!B45</f>
        <v>CA_Gasoline_Gasification_Non_CCS_Herb</v>
      </c>
      <c r="C44">
        <f>lc_detailed!AD45</f>
        <v>0</v>
      </c>
      <c r="D44">
        <f>lc_detailed!AE45</f>
        <v>5.506518381119438</v>
      </c>
      <c r="E44">
        <f>lc_detailed!AF45</f>
        <v>47.53338914580344</v>
      </c>
      <c r="F44" t="e">
        <f>lc_detailed!#REF!</f>
        <v>#REF!</v>
      </c>
      <c r="G44">
        <f>lc_detailed!AG45</f>
        <v>35.069424639519347</v>
      </c>
      <c r="H44">
        <f>lc_detailed!AH45</f>
        <v>18.828373398005734</v>
      </c>
      <c r="I44">
        <f>lc_detailed!AI45</f>
        <v>0.88768404826449798</v>
      </c>
      <c r="J44">
        <f>lc_detailed!AK45</f>
        <v>-32.340740069297212</v>
      </c>
      <c r="K44">
        <f>lc_detailed!AL45</f>
        <v>2.0854294720725233</v>
      </c>
      <c r="L44">
        <f>lc_detailed!AB45</f>
        <v>77.570079015487778</v>
      </c>
      <c r="M44" t="e">
        <f>lc_detailed!#REF!</f>
        <v>#REF!</v>
      </c>
      <c r="O44" t="str">
        <v>CA_Gasoline_Gasification_Non_CCS_Herb</v>
      </c>
      <c r="P44">
        <v>0</v>
      </c>
      <c r="Q44">
        <v>5.3622767669918439</v>
      </c>
      <c r="R44">
        <v>47.36676528599606</v>
      </c>
      <c r="S44" t="e">
        <v>#REF!</v>
      </c>
      <c r="T44">
        <v>35.170376125767767</v>
      </c>
      <c r="U44">
        <v>18.88257309753622</v>
      </c>
      <c r="V44">
        <v>0.89023935177781333</v>
      </c>
      <c r="W44">
        <v>-35.687741074519352</v>
      </c>
      <c r="X44">
        <v>2.0860153654243301</v>
      </c>
      <c r="Y44">
        <v>74.070504918974677</v>
      </c>
      <c r="Z44" t="e">
        <v>#REF!</v>
      </c>
    </row>
    <row r="45" spans="2:26" x14ac:dyDescent="0.2">
      <c r="B45" t="str">
        <f>lc_detailed!B46</f>
        <v>CA_Gasoline_Gasification_Non_CCS_Herb</v>
      </c>
      <c r="C45">
        <f>lc_detailed!AD46</f>
        <v>0</v>
      </c>
      <c r="D45">
        <f>lc_detailed!AE46</f>
        <v>4.2911553669232809</v>
      </c>
      <c r="E45">
        <f>lc_detailed!AF46</f>
        <v>48.869114945580044</v>
      </c>
      <c r="F45" t="e">
        <f>lc_detailed!#REF!</f>
        <v>#REF!</v>
      </c>
      <c r="G45">
        <f>lc_detailed!AG46</f>
        <v>35.028462210951822</v>
      </c>
      <c r="H45">
        <f>lc_detailed!AH46</f>
        <v>18.806381138130178</v>
      </c>
      <c r="I45">
        <f>lc_detailed!AI46</f>
        <v>0.88664719936288827</v>
      </c>
      <c r="J45">
        <f>lc_detailed!AK46</f>
        <v>-39.583377897556339</v>
      </c>
      <c r="K45">
        <f>lc_detailed!AL46</f>
        <v>2.0857316983762755</v>
      </c>
      <c r="L45">
        <f>lc_detailed!AB46</f>
        <v>70.384114661768123</v>
      </c>
      <c r="M45" t="e">
        <f>lc_detailed!#REF!</f>
        <v>#REF!</v>
      </c>
      <c r="O45" t="str">
        <v>CA_Gasoline_Gasification_Non_CCS_Herb</v>
      </c>
      <c r="P45">
        <v>0</v>
      </c>
      <c r="Q45">
        <v>0</v>
      </c>
      <c r="R45">
        <v>50.579072475406548</v>
      </c>
      <c r="S45" t="e">
        <v>#REF!</v>
      </c>
      <c r="T45">
        <v>18.654534491341071</v>
      </c>
      <c r="U45">
        <v>9.8643758000340416</v>
      </c>
      <c r="V45">
        <v>0.24091547881951414</v>
      </c>
      <c r="W45">
        <v>-7.264510933472347</v>
      </c>
      <c r="X45">
        <v>2.086075610141338</v>
      </c>
      <c r="Y45">
        <v>74.16046292227017</v>
      </c>
      <c r="Z45" t="e">
        <v>#REF!</v>
      </c>
    </row>
    <row r="46" spans="2:26" x14ac:dyDescent="0.2">
      <c r="B46" t="str">
        <f>lc_detailed!B47</f>
        <v>CA_Gasoline_Gasification_Non_CCS_Herb</v>
      </c>
      <c r="C46">
        <f>lc_detailed!AD47</f>
        <v>0</v>
      </c>
      <c r="D46">
        <f>lc_detailed!AE47</f>
        <v>5.3622767669918439</v>
      </c>
      <c r="E46">
        <f>lc_detailed!AF47</f>
        <v>47.36676528599606</v>
      </c>
      <c r="F46" t="e">
        <f>lc_detailed!#REF!</f>
        <v>#REF!</v>
      </c>
      <c r="G46">
        <f>lc_detailed!AG47</f>
        <v>35.170376125767767</v>
      </c>
      <c r="H46">
        <f>lc_detailed!AH47</f>
        <v>18.88257309753622</v>
      </c>
      <c r="I46">
        <f>lc_detailed!AI47</f>
        <v>0.89023935177781333</v>
      </c>
      <c r="J46">
        <f>lc_detailed!AK47</f>
        <v>-35.687741074519352</v>
      </c>
      <c r="K46">
        <f>lc_detailed!AL47</f>
        <v>2.0860153654243301</v>
      </c>
      <c r="L46">
        <f>lc_detailed!AB47</f>
        <v>74.070504918974677</v>
      </c>
      <c r="M46" t="e">
        <f>lc_detailed!#REF!</f>
        <v>#REF!</v>
      </c>
      <c r="O46" t="str">
        <v>CA_Gasoline_Gasification_Non_CCS_Herb</v>
      </c>
      <c r="P46">
        <v>0</v>
      </c>
      <c r="Q46">
        <v>0</v>
      </c>
      <c r="R46">
        <v>52.868555686316462</v>
      </c>
      <c r="S46" t="e">
        <v>#REF!</v>
      </c>
      <c r="T46">
        <v>19.881937798517143</v>
      </c>
      <c r="U46">
        <v>10.513417323198794</v>
      </c>
      <c r="V46">
        <v>0.25676687707285761</v>
      </c>
      <c r="W46">
        <v>-10.811496455239345</v>
      </c>
      <c r="X46">
        <v>2.0864530802119519</v>
      </c>
      <c r="Y46">
        <v>74.795634310077887</v>
      </c>
      <c r="Z46" t="e">
        <v>#REF!</v>
      </c>
    </row>
    <row r="47" spans="2:26" x14ac:dyDescent="0.2">
      <c r="B47" t="str">
        <f>lc_detailed!B48</f>
        <v>CA_Gasoline_Gasification_Non_CCS_Herb</v>
      </c>
      <c r="C47">
        <f>lc_detailed!AD48</f>
        <v>0</v>
      </c>
      <c r="D47">
        <f>lc_detailed!AE48</f>
        <v>2.9479583248809655</v>
      </c>
      <c r="E47">
        <f>lc_detailed!AF48</f>
        <v>61.656984276381351</v>
      </c>
      <c r="F47" t="e">
        <f>lc_detailed!#REF!</f>
        <v>#REF!</v>
      </c>
      <c r="G47">
        <f>lc_detailed!AG48</f>
        <v>36.527576444650514</v>
      </c>
      <c r="H47">
        <f>lc_detailed!AH48</f>
        <v>19.611238441849292</v>
      </c>
      <c r="I47">
        <f>lc_detailed!AI48</f>
        <v>0.92459306832023025</v>
      </c>
      <c r="J47">
        <f>lc_detailed!AK48</f>
        <v>-51.102826470212008</v>
      </c>
      <c r="K47">
        <f>lc_detailed!AL48</f>
        <v>2.0857276625740924</v>
      </c>
      <c r="L47">
        <f>lc_detailed!AB48</f>
        <v>72.651251748444423</v>
      </c>
      <c r="M47" t="e">
        <f>lc_detailed!#REF!</f>
        <v>#REF!</v>
      </c>
      <c r="O47" t="str">
        <v>CA_Gasoline_Gasification_Non_CCS_Herb</v>
      </c>
      <c r="P47">
        <v>0</v>
      </c>
      <c r="Q47">
        <v>0</v>
      </c>
      <c r="R47">
        <v>52.50426245349567</v>
      </c>
      <c r="S47" t="e">
        <v>#REF!</v>
      </c>
      <c r="T47">
        <v>17.957817326447284</v>
      </c>
      <c r="U47">
        <v>9.4959570681682486</v>
      </c>
      <c r="V47">
        <v>0.23191766922742424</v>
      </c>
      <c r="W47">
        <v>-7.2790092167589471</v>
      </c>
      <c r="X47">
        <v>2.0860662875760316</v>
      </c>
      <c r="Y47">
        <v>74.997011588155715</v>
      </c>
      <c r="Z47" t="e">
        <v>#REF!</v>
      </c>
    </row>
    <row r="48" spans="2:26" x14ac:dyDescent="0.2">
      <c r="B48" t="str">
        <f>lc_detailed!B49</f>
        <v>CA_Gasoline_Gasification_Non_CCS_Herb</v>
      </c>
      <c r="C48">
        <f>lc_detailed!AD49</f>
        <v>0</v>
      </c>
      <c r="D48">
        <f>lc_detailed!AE49</f>
        <v>1.0048323719933401</v>
      </c>
      <c r="E48">
        <f>lc_detailed!AF49</f>
        <v>54.762078186656993</v>
      </c>
      <c r="F48" t="e">
        <f>lc_detailed!#REF!</f>
        <v>#REF!</v>
      </c>
      <c r="G48">
        <f>lc_detailed!AG49</f>
        <v>0</v>
      </c>
      <c r="H48">
        <f>lc_detailed!AH49</f>
        <v>7.2208724377810398</v>
      </c>
      <c r="I48">
        <f>lc_detailed!AI49</f>
        <v>-8.1853200395467898</v>
      </c>
      <c r="J48">
        <f>lc_detailed!AK49</f>
        <v>0</v>
      </c>
      <c r="K48">
        <f>lc_detailed!AL49</f>
        <v>2.0858858143606906</v>
      </c>
      <c r="L48">
        <f>lc_detailed!AB49</f>
        <v>56.888348771245276</v>
      </c>
      <c r="M48" t="e">
        <f>lc_detailed!#REF!</f>
        <v>#REF!</v>
      </c>
      <c r="O48" t="str">
        <v>CA_Gasoline_Gasification_Non_CCS_Herb</v>
      </c>
      <c r="P48">
        <v>-4.1236960660105977</v>
      </c>
      <c r="Q48">
        <v>0</v>
      </c>
      <c r="R48">
        <v>50.281525611910162</v>
      </c>
      <c r="S48" t="e">
        <v>#REF!</v>
      </c>
      <c r="T48">
        <v>17.483783597976871</v>
      </c>
      <c r="U48">
        <v>9.2216818355173462</v>
      </c>
      <c r="V48">
        <v>0.22710068130204392</v>
      </c>
      <c r="W48">
        <v>0</v>
      </c>
      <c r="X48">
        <v>2.0859156525360096</v>
      </c>
      <c r="Y48">
        <v>75.176311313231849</v>
      </c>
      <c r="Z48" t="e">
        <v>#REF!</v>
      </c>
    </row>
    <row r="49" spans="2:26" x14ac:dyDescent="0.2">
      <c r="B49" t="str">
        <f>lc_detailed!B50</f>
        <v>CA_Gasoline_Gasification_Non_CCS_Herb</v>
      </c>
      <c r="C49">
        <f>lc_detailed!AD50</f>
        <v>0</v>
      </c>
      <c r="D49">
        <f>lc_detailed!AE50</f>
        <v>0.73605181175742107</v>
      </c>
      <c r="E49">
        <f>lc_detailed!AF50</f>
        <v>54.762078186656993</v>
      </c>
      <c r="F49" t="e">
        <f>lc_detailed!#REF!</f>
        <v>#REF!</v>
      </c>
      <c r="G49">
        <f>lc_detailed!AG50</f>
        <v>0</v>
      </c>
      <c r="H49">
        <f>lc_detailed!AH50</f>
        <v>7.2208724377810398</v>
      </c>
      <c r="I49">
        <f>lc_detailed!AI50</f>
        <v>-8.1853200395467898</v>
      </c>
      <c r="J49">
        <f>lc_detailed!AK50</f>
        <v>0</v>
      </c>
      <c r="K49">
        <f>lc_detailed!AL50</f>
        <v>2.0858858143606906</v>
      </c>
      <c r="L49">
        <f>lc_detailed!AB50</f>
        <v>56.619568211009359</v>
      </c>
      <c r="M49" t="e">
        <f>lc_detailed!#REF!</f>
        <v>#REF!</v>
      </c>
      <c r="O49" t="str">
        <v>CA_Gasoline_Gasification_Non_CCS_Herb</v>
      </c>
      <c r="P49">
        <v>-4.2472829150772933</v>
      </c>
      <c r="Q49">
        <v>0</v>
      </c>
      <c r="R49">
        <v>50.579072475406548</v>
      </c>
      <c r="S49" t="e">
        <v>#REF!</v>
      </c>
      <c r="T49">
        <v>17.388133507022271</v>
      </c>
      <c r="U49">
        <v>9.1712319599867627</v>
      </c>
      <c r="V49">
        <v>0.22585826139329454</v>
      </c>
      <c r="W49">
        <v>0</v>
      </c>
      <c r="X49">
        <v>2.0860756262246327</v>
      </c>
      <c r="Y49">
        <v>75.203088914956226</v>
      </c>
      <c r="Z49" t="e">
        <v>#REF!</v>
      </c>
    </row>
    <row r="50" spans="2:26" x14ac:dyDescent="0.2">
      <c r="B50" t="str">
        <f>lc_detailed!B51</f>
        <v>CA_Gasoline_Gasification_Non_CCS_Herb</v>
      </c>
      <c r="C50">
        <f>lc_detailed!AD51</f>
        <v>0</v>
      </c>
      <c r="D50">
        <f>lc_detailed!AE51</f>
        <v>0.76970088018920757</v>
      </c>
      <c r="E50">
        <f>lc_detailed!AF51</f>
        <v>54.762078186656993</v>
      </c>
      <c r="F50" t="e">
        <f>lc_detailed!#REF!</f>
        <v>#REF!</v>
      </c>
      <c r="G50">
        <f>lc_detailed!AG51</f>
        <v>0</v>
      </c>
      <c r="H50">
        <f>lc_detailed!AH51</f>
        <v>7.2208724377810398</v>
      </c>
      <c r="I50">
        <f>lc_detailed!AI51</f>
        <v>-8.1853200395467898</v>
      </c>
      <c r="J50">
        <f>lc_detailed!AK51</f>
        <v>0</v>
      </c>
      <c r="K50">
        <f>lc_detailed!AL51</f>
        <v>2.0858858143606906</v>
      </c>
      <c r="L50">
        <f>lc_detailed!AB51</f>
        <v>56.653217279441144</v>
      </c>
      <c r="M50" t="e">
        <f>lc_detailed!#REF!</f>
        <v>#REF!</v>
      </c>
      <c r="O50" t="str">
        <v>CA_Gasoline_Gasification_Non_CCS_Herb</v>
      </c>
      <c r="P50">
        <v>0</v>
      </c>
      <c r="Q50">
        <v>5.076505166389099</v>
      </c>
      <c r="R50">
        <v>50.281525611910162</v>
      </c>
      <c r="S50" t="e">
        <v>#REF!</v>
      </c>
      <c r="T50">
        <v>33.296042681972118</v>
      </c>
      <c r="U50">
        <v>17.876264887039209</v>
      </c>
      <c r="V50">
        <v>0.84279586172091847</v>
      </c>
      <c r="W50">
        <v>-33.884510545173519</v>
      </c>
      <c r="X50">
        <v>2.0859156364526226</v>
      </c>
      <c r="Y50">
        <v>75.574539300310619</v>
      </c>
      <c r="Z50" t="e">
        <v>#REF!</v>
      </c>
    </row>
    <row r="51" spans="2:26" x14ac:dyDescent="0.2">
      <c r="B51" t="str">
        <f>lc_detailed!B52</f>
        <v>CA_Gasoline_Gasification_Non_CCS_Herb</v>
      </c>
      <c r="C51">
        <f>lc_detailed!AD52</f>
        <v>0</v>
      </c>
      <c r="D51">
        <f>lc_detailed!AE52</f>
        <v>0.55615943203436513</v>
      </c>
      <c r="E51">
        <f>lc_detailed!AF52</f>
        <v>54.762078186656993</v>
      </c>
      <c r="F51" t="e">
        <f>lc_detailed!#REF!</f>
        <v>#REF!</v>
      </c>
      <c r="G51">
        <f>lc_detailed!AG52</f>
        <v>0</v>
      </c>
      <c r="H51">
        <f>lc_detailed!AH52</f>
        <v>7.2208724377810398</v>
      </c>
      <c r="I51">
        <f>lc_detailed!AI52</f>
        <v>-8.1853200395467898</v>
      </c>
      <c r="J51">
        <f>lc_detailed!AK52</f>
        <v>0</v>
      </c>
      <c r="K51">
        <f>lc_detailed!AL52</f>
        <v>2.0858858143606906</v>
      </c>
      <c r="L51">
        <f>lc_detailed!AB52</f>
        <v>56.439675831286301</v>
      </c>
      <c r="M51" t="e">
        <f>lc_detailed!#REF!</f>
        <v>#REF!</v>
      </c>
      <c r="O51" t="str">
        <v>CA_Gasoline_Gasification_Non_CCS_Herb</v>
      </c>
      <c r="P51">
        <v>0</v>
      </c>
      <c r="Q51">
        <v>0</v>
      </c>
      <c r="R51">
        <v>54.336796717535272</v>
      </c>
      <c r="S51" t="e">
        <v>#REF!</v>
      </c>
      <c r="T51">
        <v>17.836306037310653</v>
      </c>
      <c r="U51">
        <v>9.4317028236816505</v>
      </c>
      <c r="V51">
        <v>0.23034840195796139</v>
      </c>
      <c r="W51">
        <v>-8.1386486701517278</v>
      </c>
      <c r="X51">
        <v>2.0854168639694692</v>
      </c>
      <c r="Y51">
        <v>75.78192217430329</v>
      </c>
      <c r="Z51" t="e">
        <v>#REF!</v>
      </c>
    </row>
    <row r="52" spans="2:26" x14ac:dyDescent="0.2">
      <c r="B52" t="str">
        <f>lc_detailed!B53</f>
        <v>CA_Gasoline_Gasification_Non_CCS_Herb</v>
      </c>
      <c r="C52">
        <f>lc_detailed!AD53</f>
        <v>0</v>
      </c>
      <c r="D52">
        <f>lc_detailed!AE53</f>
        <v>0.8442129170953</v>
      </c>
      <c r="E52">
        <f>lc_detailed!AF53</f>
        <v>54.762078186656993</v>
      </c>
      <c r="F52" t="e">
        <f>lc_detailed!#REF!</f>
        <v>#REF!</v>
      </c>
      <c r="G52">
        <f>lc_detailed!AG53</f>
        <v>0</v>
      </c>
      <c r="H52">
        <f>lc_detailed!AH53</f>
        <v>7.2208724377810398</v>
      </c>
      <c r="I52">
        <f>lc_detailed!AI53</f>
        <v>-8.1853200395467898</v>
      </c>
      <c r="J52">
        <f>lc_detailed!AK53</f>
        <v>0</v>
      </c>
      <c r="K52">
        <f>lc_detailed!AL53</f>
        <v>2.0858858143606906</v>
      </c>
      <c r="L52">
        <f>lc_detailed!AB53</f>
        <v>56.727729316347236</v>
      </c>
      <c r="M52" t="e">
        <f>lc_detailed!#REF!</f>
        <v>#REF!</v>
      </c>
      <c r="O52" t="str">
        <v>CA_Gasoline_Gasification_Non_CCS_Herb</v>
      </c>
      <c r="P52">
        <v>-3.3145588377488719</v>
      </c>
      <c r="Q52">
        <v>0</v>
      </c>
      <c r="R52">
        <v>48.869114945580044</v>
      </c>
      <c r="S52" t="e">
        <v>#REF!</v>
      </c>
      <c r="T52">
        <v>18.393478736071767</v>
      </c>
      <c r="U52">
        <v>9.7014932609915725</v>
      </c>
      <c r="V52">
        <v>0.23891691000796392</v>
      </c>
      <c r="W52">
        <v>0</v>
      </c>
      <c r="X52">
        <v>2.0857317144597785</v>
      </c>
      <c r="Y52">
        <v>75.974176729362256</v>
      </c>
      <c r="Z52" t="e">
        <v>#REF!</v>
      </c>
    </row>
    <row r="53" spans="2:26" x14ac:dyDescent="0.2">
      <c r="B53" t="str">
        <f>lc_detailed!B54</f>
        <v>CA_Gasoline_Gasification_Non_CCS_Herb</v>
      </c>
      <c r="C53">
        <f>lc_detailed!AD54</f>
        <v>0</v>
      </c>
      <c r="D53">
        <f>lc_detailed!AE54</f>
        <v>0.69621158107157877</v>
      </c>
      <c r="E53">
        <f>lc_detailed!AF54</f>
        <v>54.762078186656993</v>
      </c>
      <c r="F53" t="e">
        <f>lc_detailed!#REF!</f>
        <v>#REF!</v>
      </c>
      <c r="G53">
        <f>lc_detailed!AG54</f>
        <v>0</v>
      </c>
      <c r="H53">
        <f>lc_detailed!AH54</f>
        <v>7.2208724377810398</v>
      </c>
      <c r="I53">
        <f>lc_detailed!AI54</f>
        <v>-8.1853200395467898</v>
      </c>
      <c r="J53">
        <f>lc_detailed!AK54</f>
        <v>0</v>
      </c>
      <c r="K53">
        <f>lc_detailed!AL54</f>
        <v>2.0858858143606906</v>
      </c>
      <c r="L53">
        <f>lc_detailed!AB54</f>
        <v>56.579727980323518</v>
      </c>
      <c r="M53" t="e">
        <f>lc_detailed!#REF!</f>
        <v>#REF!</v>
      </c>
      <c r="O53" t="str">
        <v>CA_Gasoline_Gasification_Non_CCS_Herb</v>
      </c>
      <c r="P53">
        <v>-4.2464947082185818</v>
      </c>
      <c r="Q53">
        <v>0</v>
      </c>
      <c r="R53">
        <v>52.50426245349567</v>
      </c>
      <c r="S53" t="e">
        <v>#REF!</v>
      </c>
      <c r="T53">
        <v>16.738714402759417</v>
      </c>
      <c r="U53">
        <v>8.8287010470491492</v>
      </c>
      <c r="V53">
        <v>0.21742281490071025</v>
      </c>
      <c r="W53">
        <v>0</v>
      </c>
      <c r="X53">
        <v>2.0860663036593108</v>
      </c>
      <c r="Y53">
        <v>76.12867231364568</v>
      </c>
      <c r="Z53" t="e">
        <v>#REF!</v>
      </c>
    </row>
    <row r="54" spans="2:26" x14ac:dyDescent="0.2">
      <c r="B54" t="str">
        <f>lc_detailed!B55</f>
        <v>CA_Gasoline_Gasification_Non_CCS_Herb</v>
      </c>
      <c r="C54">
        <f>lc_detailed!AD55</f>
        <v>0</v>
      </c>
      <c r="D54">
        <f>lc_detailed!AE55</f>
        <v>1.0506813864995876</v>
      </c>
      <c r="E54">
        <f>lc_detailed!AF55</f>
        <v>54.762078186656993</v>
      </c>
      <c r="F54" t="e">
        <f>lc_detailed!#REF!</f>
        <v>#REF!</v>
      </c>
      <c r="G54">
        <f>lc_detailed!AG55</f>
        <v>0</v>
      </c>
      <c r="H54">
        <f>lc_detailed!AH55</f>
        <v>7.2208724377810398</v>
      </c>
      <c r="I54">
        <f>lc_detailed!AI55</f>
        <v>-8.1853200395467898</v>
      </c>
      <c r="J54">
        <f>lc_detailed!AK55</f>
        <v>0</v>
      </c>
      <c r="K54">
        <f>lc_detailed!AL55</f>
        <v>2.0858858143606906</v>
      </c>
      <c r="L54">
        <f>lc_detailed!AB55</f>
        <v>56.934197785751529</v>
      </c>
      <c r="M54" t="e">
        <f>lc_detailed!#REF!</f>
        <v>#REF!</v>
      </c>
      <c r="O54" t="str">
        <v>CA_Gasoline_Gasification_Non_CCS_Herb</v>
      </c>
      <c r="P54">
        <v>0</v>
      </c>
      <c r="Q54">
        <v>4.8272842821767918</v>
      </c>
      <c r="R54">
        <v>54.336796717535272</v>
      </c>
      <c r="S54" t="e">
        <v>#REF!</v>
      </c>
      <c r="T54">
        <v>31.661439953127818</v>
      </c>
      <c r="U54">
        <v>16.998665358320466</v>
      </c>
      <c r="V54">
        <v>0.80142048181207404</v>
      </c>
      <c r="W54">
        <v>-34.276782353481927</v>
      </c>
      <c r="X54">
        <v>2.0854168639695043</v>
      </c>
      <c r="Y54">
        <v>76.434241303459999</v>
      </c>
      <c r="Z54" t="e">
        <v>#REF!</v>
      </c>
    </row>
    <row r="55" spans="2:26" x14ac:dyDescent="0.2">
      <c r="B55" t="str">
        <f>lc_detailed!B56</f>
        <v>CA_Gasoline_Gasification_Non_CCS_Herb</v>
      </c>
      <c r="C55">
        <f>lc_detailed!AD56</f>
        <v>0</v>
      </c>
      <c r="D55">
        <f>lc_detailed!AE56</f>
        <v>1.0820498722750709</v>
      </c>
      <c r="E55">
        <f>lc_detailed!AF56</f>
        <v>54.762078186656993</v>
      </c>
      <c r="F55" t="e">
        <f>lc_detailed!#REF!</f>
        <v>#REF!</v>
      </c>
      <c r="G55">
        <f>lc_detailed!AG56</f>
        <v>0</v>
      </c>
      <c r="H55">
        <f>lc_detailed!AH56</f>
        <v>7.2208724377810398</v>
      </c>
      <c r="I55">
        <f>lc_detailed!AI56</f>
        <v>-8.1853200395467898</v>
      </c>
      <c r="J55">
        <f>lc_detailed!AK56</f>
        <v>0</v>
      </c>
      <c r="K55">
        <f>lc_detailed!AL56</f>
        <v>2.0858858143606906</v>
      </c>
      <c r="L55">
        <f>lc_detailed!AB56</f>
        <v>56.96556627152701</v>
      </c>
      <c r="M55" t="e">
        <f>lc_detailed!#REF!</f>
        <v>#REF!</v>
      </c>
      <c r="O55" t="str">
        <v>CA_Gasoline_Gasification_Non_CCS_Herb</v>
      </c>
      <c r="P55">
        <v>0</v>
      </c>
      <c r="Q55">
        <v>0</v>
      </c>
      <c r="R55">
        <v>55.653727327690454</v>
      </c>
      <c r="S55" t="e">
        <v>#REF!</v>
      </c>
      <c r="T55">
        <v>18.725964591166843</v>
      </c>
      <c r="U55">
        <v>9.9021474929402586</v>
      </c>
      <c r="V55">
        <v>0.2418379685610641</v>
      </c>
      <c r="W55">
        <v>-10.154123280036075</v>
      </c>
      <c r="X55">
        <v>2.0863450301054955</v>
      </c>
      <c r="Y55">
        <v>76.455899130428037</v>
      </c>
      <c r="Z55" t="e">
        <v>#REF!</v>
      </c>
    </row>
    <row r="56" spans="2:26" x14ac:dyDescent="0.2">
      <c r="B56" t="str">
        <f>lc_detailed!B57</f>
        <v>CA_Gasoline_Gasification_Non_CCS_Herb</v>
      </c>
      <c r="C56">
        <f>lc_detailed!AD57</f>
        <v>0</v>
      </c>
      <c r="D56">
        <f>lc_detailed!AE57</f>
        <v>1.3043611278934286</v>
      </c>
      <c r="E56">
        <f>lc_detailed!AF57</f>
        <v>54.762078186656993</v>
      </c>
      <c r="F56" t="e">
        <f>lc_detailed!#REF!</f>
        <v>#REF!</v>
      </c>
      <c r="G56">
        <f>lc_detailed!AG57</f>
        <v>0</v>
      </c>
      <c r="H56">
        <f>lc_detailed!AH57</f>
        <v>7.2208724377810398</v>
      </c>
      <c r="I56">
        <f>lc_detailed!AI57</f>
        <v>-8.1853200395467898</v>
      </c>
      <c r="J56">
        <f>lc_detailed!AK57</f>
        <v>0</v>
      </c>
      <c r="K56">
        <f>lc_detailed!AL57</f>
        <v>2.0858858143606906</v>
      </c>
      <c r="L56">
        <f>lc_detailed!AB57</f>
        <v>57.187877527145368</v>
      </c>
      <c r="M56" t="e">
        <f>lc_detailed!#REF!</f>
        <v>#REF!</v>
      </c>
      <c r="O56" t="str">
        <v>CA_Gasoline_Gasification_Non_CCS_Herb</v>
      </c>
      <c r="P56">
        <v>0</v>
      </c>
      <c r="Q56">
        <v>0</v>
      </c>
      <c r="R56">
        <v>55.672685171798946</v>
      </c>
      <c r="S56" t="e">
        <v>#REF!</v>
      </c>
      <c r="T56">
        <v>17.911085981662545</v>
      </c>
      <c r="U56">
        <v>9.4712458888669584</v>
      </c>
      <c r="V56">
        <v>0.23131415353476942</v>
      </c>
      <c r="W56">
        <v>-8.8507641788688645</v>
      </c>
      <c r="X56">
        <v>2.0855349801005141</v>
      </c>
      <c r="Y56">
        <v>76.521101997094874</v>
      </c>
      <c r="Z56" t="e">
        <v>#REF!</v>
      </c>
    </row>
    <row r="57" spans="2:26" x14ac:dyDescent="0.2">
      <c r="B57" t="str">
        <f>lc_detailed!B58</f>
        <v>CA_Gasoline_Gasification_Non_CCS_Herb</v>
      </c>
      <c r="C57">
        <f>lc_detailed!AD58</f>
        <v>0</v>
      </c>
      <c r="D57">
        <f>lc_detailed!AE58</f>
        <v>1.0048323719933401</v>
      </c>
      <c r="E57">
        <f>lc_detailed!AF58</f>
        <v>54.762078186656993</v>
      </c>
      <c r="F57" t="e">
        <f>lc_detailed!#REF!</f>
        <v>#REF!</v>
      </c>
      <c r="G57">
        <f>lc_detailed!AG58</f>
        <v>1.1219173819252375</v>
      </c>
      <c r="H57">
        <f>lc_detailed!AH58</f>
        <v>7.8355578478551591</v>
      </c>
      <c r="I57">
        <f>lc_detailed!AI58</f>
        <v>-8.1724348446793407</v>
      </c>
      <c r="J57">
        <f>lc_detailed!AK58</f>
        <v>-11.865994819847124</v>
      </c>
      <c r="K57">
        <f>lc_detailed!AL58</f>
        <v>2.0858858143606906</v>
      </c>
      <c r="L57">
        <f>lc_detailed!AB58</f>
        <v>46.771841938264949</v>
      </c>
      <c r="M57" t="e">
        <f>lc_detailed!#REF!</f>
        <v>#REF!</v>
      </c>
      <c r="O57" t="str">
        <v>CA_Gasoline_Gasification_Non_CCS_Herb</v>
      </c>
      <c r="P57">
        <v>0</v>
      </c>
      <c r="Q57">
        <v>5.506518381119438</v>
      </c>
      <c r="R57">
        <v>47.53338914580344</v>
      </c>
      <c r="S57" t="e">
        <v>#REF!</v>
      </c>
      <c r="T57">
        <v>35.069424639519347</v>
      </c>
      <c r="U57">
        <v>18.828373398005734</v>
      </c>
      <c r="V57">
        <v>0.88768404826449798</v>
      </c>
      <c r="W57">
        <v>-32.340740069297212</v>
      </c>
      <c r="X57">
        <v>2.0854294720725233</v>
      </c>
      <c r="Y57">
        <v>77.570079015487778</v>
      </c>
      <c r="Z57" t="e">
        <v>#REF!</v>
      </c>
    </row>
    <row r="58" spans="2:26" x14ac:dyDescent="0.2">
      <c r="B58" t="str">
        <f>lc_detailed!B59</f>
        <v>CA_Gasoline_Gasification_Non_CCS_Herb</v>
      </c>
      <c r="C58">
        <f>lc_detailed!AD59</f>
        <v>0</v>
      </c>
      <c r="D58">
        <f>lc_detailed!AE59</f>
        <v>0.73605181175742107</v>
      </c>
      <c r="E58">
        <f>lc_detailed!AF59</f>
        <v>54.762078186656993</v>
      </c>
      <c r="F58" t="e">
        <f>lc_detailed!#REF!</f>
        <v>#REF!</v>
      </c>
      <c r="G58">
        <f>lc_detailed!AG59</f>
        <v>1.1219173819252375</v>
      </c>
      <c r="H58">
        <f>lc_detailed!AH59</f>
        <v>7.8355578478551591</v>
      </c>
      <c r="I58">
        <f>lc_detailed!AI59</f>
        <v>-8.1724348446793407</v>
      </c>
      <c r="J58">
        <f>lc_detailed!AK59</f>
        <v>-11.767032817772119</v>
      </c>
      <c r="K58">
        <f>lc_detailed!AL59</f>
        <v>2.0858858143606906</v>
      </c>
      <c r="L58">
        <f>lc_detailed!AB59</f>
        <v>46.602023380104036</v>
      </c>
      <c r="M58" t="e">
        <f>lc_detailed!#REF!</f>
        <v>#REF!</v>
      </c>
      <c r="O58" t="str">
        <v>CA_Gasoline_Gasification_Non_CCS_Herb</v>
      </c>
      <c r="P58">
        <v>-3.3142741931687283</v>
      </c>
      <c r="Q58">
        <v>0</v>
      </c>
      <c r="R58">
        <v>52.169771122351882</v>
      </c>
      <c r="S58" t="e">
        <v>#REF!</v>
      </c>
      <c r="T58">
        <v>17.350687233631078</v>
      </c>
      <c r="U58">
        <v>9.1514812225560309</v>
      </c>
      <c r="V58">
        <v>0.22537186357489861</v>
      </c>
      <c r="W58">
        <v>0</v>
      </c>
      <c r="X58">
        <v>2.0853812418137778</v>
      </c>
      <c r="Y58">
        <v>77.668418490758924</v>
      </c>
      <c r="Z58" t="e">
        <v>#REF!</v>
      </c>
    </row>
    <row r="59" spans="2:26" x14ac:dyDescent="0.2">
      <c r="B59" t="str">
        <f>lc_detailed!B60</f>
        <v>CA_Gasoline_Gasification_Non_CCS_Herb</v>
      </c>
      <c r="C59">
        <f>lc_detailed!AD60</f>
        <v>0</v>
      </c>
      <c r="D59">
        <f>lc_detailed!AE60</f>
        <v>0.76970088018920757</v>
      </c>
      <c r="E59">
        <f>lc_detailed!AF60</f>
        <v>54.762078186656993</v>
      </c>
      <c r="F59" t="e">
        <f>lc_detailed!#REF!</f>
        <v>#REF!</v>
      </c>
      <c r="G59">
        <f>lc_detailed!AG60</f>
        <v>1.1219173819252375</v>
      </c>
      <c r="H59">
        <f>lc_detailed!AH60</f>
        <v>7.8355578478551591</v>
      </c>
      <c r="I59">
        <f>lc_detailed!AI60</f>
        <v>-8.1724348446793407</v>
      </c>
      <c r="J59">
        <f>lc_detailed!AK60</f>
        <v>-10.701943039186755</v>
      </c>
      <c r="K59">
        <f>lc_detailed!AL60</f>
        <v>2.0858858143606906</v>
      </c>
      <c r="L59">
        <f>lc_detailed!AB60</f>
        <v>47.700762227121189</v>
      </c>
      <c r="M59" t="e">
        <f>lc_detailed!#REF!</f>
        <v>#REF!</v>
      </c>
      <c r="O59" t="str">
        <v>CA_Gasoline_Gasification_Non_CCS_Herb</v>
      </c>
      <c r="P59">
        <v>-4.1248337198387555</v>
      </c>
      <c r="Q59">
        <v>0</v>
      </c>
      <c r="R59">
        <v>54.336796717535272</v>
      </c>
      <c r="S59" t="e">
        <v>#REF!</v>
      </c>
      <c r="T59">
        <v>16.625452154425169</v>
      </c>
      <c r="U59">
        <v>8.7689617799585484</v>
      </c>
      <c r="V59">
        <v>0.21595162683558883</v>
      </c>
      <c r="W59">
        <v>0</v>
      </c>
      <c r="X59">
        <v>2.0854168800531729</v>
      </c>
      <c r="Y59">
        <v>77.907745438968988</v>
      </c>
      <c r="Z59" t="e">
        <v>#REF!</v>
      </c>
    </row>
    <row r="60" spans="2:26" x14ac:dyDescent="0.2">
      <c r="B60" t="str">
        <f>lc_detailed!B61</f>
        <v>CA_Gasoline_Gasification_Non_CCS_Herb</v>
      </c>
      <c r="C60">
        <f>lc_detailed!AD61</f>
        <v>0</v>
      </c>
      <c r="D60">
        <f>lc_detailed!AE61</f>
        <v>0.55615943203436513</v>
      </c>
      <c r="E60">
        <f>lc_detailed!AF61</f>
        <v>54.762078186656993</v>
      </c>
      <c r="F60" t="e">
        <f>lc_detailed!#REF!</f>
        <v>#REF!</v>
      </c>
      <c r="G60">
        <f>lc_detailed!AG61</f>
        <v>1.1219173819252375</v>
      </c>
      <c r="H60">
        <f>lc_detailed!AH61</f>
        <v>7.8355578478551591</v>
      </c>
      <c r="I60">
        <f>lc_detailed!AI61</f>
        <v>-8.1724348446793407</v>
      </c>
      <c r="J60">
        <f>lc_detailed!AK61</f>
        <v>-10.13642665887811</v>
      </c>
      <c r="K60">
        <f>lc_detailed!AL61</f>
        <v>2.0858858143606906</v>
      </c>
      <c r="L60">
        <f>lc_detailed!AB61</f>
        <v>48.052737159274997</v>
      </c>
      <c r="M60" t="e">
        <f>lc_detailed!#REF!</f>
        <v>#REF!</v>
      </c>
      <c r="O60" t="str">
        <v>CA_Gasoline_Gasification_Non_CCS_Herb</v>
      </c>
      <c r="P60">
        <v>0</v>
      </c>
      <c r="Q60">
        <v>2.6945004434998232</v>
      </c>
      <c r="R60">
        <v>69.801451343555485</v>
      </c>
      <c r="S60" t="e">
        <v>#REF!</v>
      </c>
      <c r="T60">
        <v>33.387029287145261</v>
      </c>
      <c r="U60">
        <v>17.925114555775615</v>
      </c>
      <c r="V60">
        <v>0.84509893224027122</v>
      </c>
      <c r="W60">
        <v>-48.316366796170506</v>
      </c>
      <c r="X60">
        <v>2.0864731500533784</v>
      </c>
      <c r="Y60">
        <v>78.423300916099308</v>
      </c>
      <c r="Z60" t="e">
        <v>#REF!</v>
      </c>
    </row>
    <row r="61" spans="2:26" x14ac:dyDescent="0.2">
      <c r="B61" t="str">
        <f>lc_detailed!B62</f>
        <v>CA_Gasoline_Gasification_Non_CCS_Herb</v>
      </c>
      <c r="C61">
        <f>lc_detailed!AD62</f>
        <v>0</v>
      </c>
      <c r="D61">
        <f>lc_detailed!AE62</f>
        <v>0.8442129170953</v>
      </c>
      <c r="E61">
        <f>lc_detailed!AF62</f>
        <v>54.762078186656993</v>
      </c>
      <c r="F61" t="e">
        <f>lc_detailed!#REF!</f>
        <v>#REF!</v>
      </c>
      <c r="G61">
        <f>lc_detailed!AG62</f>
        <v>1.1219173819252375</v>
      </c>
      <c r="H61">
        <f>lc_detailed!AH62</f>
        <v>7.8355578478551591</v>
      </c>
      <c r="I61">
        <f>lc_detailed!AI62</f>
        <v>-8.1724348446793407</v>
      </c>
      <c r="J61">
        <f>lc_detailed!AK62</f>
        <v>-7.8077413422656381</v>
      </c>
      <c r="K61">
        <f>lc_detailed!AL62</f>
        <v>2.0858858143606906</v>
      </c>
      <c r="L61">
        <f>lc_detailed!AB62</f>
        <v>50.66947596094839</v>
      </c>
      <c r="M61" t="e">
        <f>lc_detailed!#REF!</f>
        <v>#REF!</v>
      </c>
      <c r="O61" t="str">
        <v>CA_Gasoline_Gasification_Non_CCS_Herb</v>
      </c>
      <c r="P61">
        <v>0</v>
      </c>
      <c r="Q61">
        <v>5.0052727595303663</v>
      </c>
      <c r="R61">
        <v>52.50426245349567</v>
      </c>
      <c r="S61" t="e">
        <v>#REF!</v>
      </c>
      <c r="T61">
        <v>31.877136094278278</v>
      </c>
      <c r="U61">
        <v>17.114470152035651</v>
      </c>
      <c r="V61">
        <v>0.80688022418708016</v>
      </c>
      <c r="W61">
        <v>-30.656319591097915</v>
      </c>
      <c r="X61">
        <v>2.0860662875760552</v>
      </c>
      <c r="Y61">
        <v>78.737768380005207</v>
      </c>
      <c r="Z61" t="e">
        <v>#REF!</v>
      </c>
    </row>
    <row r="62" spans="2:26" x14ac:dyDescent="0.2">
      <c r="B62" t="str">
        <f>lc_detailed!B63</f>
        <v>CA_Gasoline_Gasification_Non_CCS_Herb</v>
      </c>
      <c r="C62">
        <f>lc_detailed!AD63</f>
        <v>0</v>
      </c>
      <c r="D62">
        <f>lc_detailed!AE63</f>
        <v>0.69621158107157877</v>
      </c>
      <c r="E62">
        <f>lc_detailed!AF63</f>
        <v>54.762078186656993</v>
      </c>
      <c r="F62" t="e">
        <f>lc_detailed!#REF!</f>
        <v>#REF!</v>
      </c>
      <c r="G62">
        <f>lc_detailed!AG63</f>
        <v>1.1219173819252375</v>
      </c>
      <c r="H62">
        <f>lc_detailed!AH63</f>
        <v>7.8355578478551591</v>
      </c>
      <c r="I62">
        <f>lc_detailed!AI63</f>
        <v>-8.1724348446793407</v>
      </c>
      <c r="J62">
        <f>lc_detailed!AK63</f>
        <v>-8.9615358403787848</v>
      </c>
      <c r="K62">
        <f>lc_detailed!AL63</f>
        <v>2.0858858143606906</v>
      </c>
      <c r="L62">
        <f>lc_detailed!AB63</f>
        <v>49.367680126811536</v>
      </c>
      <c r="M62" t="e">
        <f>lc_detailed!#REF!</f>
        <v>#REF!</v>
      </c>
      <c r="O62" t="str">
        <v>CA_Gasoline_Gasification_Non_CCS_Herb</v>
      </c>
      <c r="P62">
        <v>0</v>
      </c>
      <c r="Q62">
        <v>5.1994644802248535</v>
      </c>
      <c r="R62">
        <v>50.579072475406548</v>
      </c>
      <c r="S62" t="e">
        <v>#REF!</v>
      </c>
      <c r="T62">
        <v>33.113887057984215</v>
      </c>
      <c r="U62">
        <v>17.778467613766406</v>
      </c>
      <c r="V62">
        <v>0.83818510339289298</v>
      </c>
      <c r="W62">
        <v>-30.595258532824619</v>
      </c>
      <c r="X62">
        <v>2.0860756101413624</v>
      </c>
      <c r="Y62">
        <v>78.999893808091656</v>
      </c>
      <c r="Z62" t="e">
        <v>#REF!</v>
      </c>
    </row>
    <row r="63" spans="2:26" x14ac:dyDescent="0.2">
      <c r="B63" t="str">
        <f>lc_detailed!B64</f>
        <v>CA_Gasoline_Gasification_Non_CCS_Herb</v>
      </c>
      <c r="C63">
        <f>lc_detailed!AD64</f>
        <v>0</v>
      </c>
      <c r="D63">
        <f>lc_detailed!AE64</f>
        <v>1.0506813864995876</v>
      </c>
      <c r="E63">
        <f>lc_detailed!AF64</f>
        <v>54.762078186656993</v>
      </c>
      <c r="F63" t="e">
        <f>lc_detailed!#REF!</f>
        <v>#REF!</v>
      </c>
      <c r="G63">
        <f>lc_detailed!AG64</f>
        <v>1.1219173819252375</v>
      </c>
      <c r="H63">
        <f>lc_detailed!AH64</f>
        <v>7.8355578478551591</v>
      </c>
      <c r="I63">
        <f>lc_detailed!AI64</f>
        <v>-8.1724348446793407</v>
      </c>
      <c r="J63">
        <f>lc_detailed!AK64</f>
        <v>-7.1182795140210633</v>
      </c>
      <c r="K63">
        <f>lc_detailed!AL64</f>
        <v>2.0858858143606906</v>
      </c>
      <c r="L63">
        <f>lc_detailed!AB64</f>
        <v>51.565406258597264</v>
      </c>
      <c r="M63" t="e">
        <f>lc_detailed!#REF!</f>
        <v>#REF!</v>
      </c>
      <c r="O63" t="str">
        <v>CA_Gasoline_Gasification_Non_CCS_Herb</v>
      </c>
      <c r="P63">
        <v>-3.3133631799431353</v>
      </c>
      <c r="Q63">
        <v>0</v>
      </c>
      <c r="R63">
        <v>55.672685171798946</v>
      </c>
      <c r="S63" t="e">
        <v>#REF!</v>
      </c>
      <c r="T63">
        <v>16.695155510284405</v>
      </c>
      <c r="U63">
        <v>8.8057262575671658</v>
      </c>
      <c r="V63">
        <v>0.21685701893884632</v>
      </c>
      <c r="W63">
        <v>0</v>
      </c>
      <c r="X63">
        <v>2.0855349961841134</v>
      </c>
      <c r="Y63">
        <v>80.162595774830351</v>
      </c>
      <c r="Z63" t="e">
        <v>#REF!</v>
      </c>
    </row>
    <row r="64" spans="2:26" x14ac:dyDescent="0.2">
      <c r="B64" t="str">
        <f>lc_detailed!B65</f>
        <v>CA_Gasoline_Gasification_Non_CCS_Herb</v>
      </c>
      <c r="C64">
        <f>lc_detailed!AD65</f>
        <v>0</v>
      </c>
      <c r="D64">
        <f>lc_detailed!AE65</f>
        <v>1.0820498722750709</v>
      </c>
      <c r="E64">
        <f>lc_detailed!AF65</f>
        <v>54.762078186656993</v>
      </c>
      <c r="F64" t="e">
        <f>lc_detailed!#REF!</f>
        <v>#REF!</v>
      </c>
      <c r="G64">
        <f>lc_detailed!AG65</f>
        <v>1.1219173819252375</v>
      </c>
      <c r="H64">
        <f>lc_detailed!AH65</f>
        <v>7.8355578478551591</v>
      </c>
      <c r="I64">
        <f>lc_detailed!AI65</f>
        <v>-8.1724348446793407</v>
      </c>
      <c r="J64">
        <f>lc_detailed!AK65</f>
        <v>-6.379184937517909</v>
      </c>
      <c r="K64">
        <f>lc_detailed!AL65</f>
        <v>2.0858858143606906</v>
      </c>
      <c r="L64">
        <f>lc_detailed!AB65</f>
        <v>52.335869320875894</v>
      </c>
      <c r="M64" t="e">
        <f>lc_detailed!#REF!</f>
        <v>#REF!</v>
      </c>
      <c r="O64" t="str">
        <v>CA_Gasoline_Gasification_Non_CCS_Herb</v>
      </c>
      <c r="P64">
        <v>-2.7324164346314324</v>
      </c>
      <c r="Q64">
        <v>0</v>
      </c>
      <c r="R64">
        <v>52.868555686316462</v>
      </c>
      <c r="S64" t="e">
        <v>#REF!</v>
      </c>
      <c r="T64">
        <v>18.5322120463203</v>
      </c>
      <c r="U64">
        <v>9.7746670359888874</v>
      </c>
      <c r="V64">
        <v>0.24071894725580401</v>
      </c>
      <c r="W64">
        <v>0</v>
      </c>
      <c r="X64">
        <v>2.086453096294997</v>
      </c>
      <c r="Y64">
        <v>80.770190377545021</v>
      </c>
      <c r="Z64" t="e">
        <v>#REF!</v>
      </c>
    </row>
    <row r="65" spans="2:26" x14ac:dyDescent="0.2">
      <c r="B65" t="str">
        <f>lc_detailed!B66</f>
        <v>CA_Gasoline_Gasification_Non_CCS_Herb</v>
      </c>
      <c r="C65">
        <f>lc_detailed!AD66</f>
        <v>0</v>
      </c>
      <c r="D65">
        <f>lc_detailed!AE66</f>
        <v>1.3043611278934286</v>
      </c>
      <c r="E65">
        <f>lc_detailed!AF66</f>
        <v>54.762078186656993</v>
      </c>
      <c r="F65" t="e">
        <f>lc_detailed!#REF!</f>
        <v>#REF!</v>
      </c>
      <c r="G65">
        <f>lc_detailed!AG66</f>
        <v>1.1219173819252375</v>
      </c>
      <c r="H65">
        <f>lc_detailed!AH66</f>
        <v>7.8355578478551591</v>
      </c>
      <c r="I65">
        <f>lc_detailed!AI66</f>
        <v>-8.1724348446793407</v>
      </c>
      <c r="J65">
        <f>lc_detailed!AK66</f>
        <v>-5.3988405088643852</v>
      </c>
      <c r="K65">
        <f>lc_detailed!AL66</f>
        <v>2.0858858143606906</v>
      </c>
      <c r="L65">
        <f>lc_detailed!AB66</f>
        <v>53.538525005147775</v>
      </c>
      <c r="M65" t="e">
        <f>lc_detailed!#REF!</f>
        <v>#REF!</v>
      </c>
      <c r="O65" t="str">
        <v>CA_Gasoline_Gasification_Non_CCS_Herb</v>
      </c>
      <c r="P65">
        <v>0</v>
      </c>
      <c r="Q65">
        <v>0</v>
      </c>
      <c r="R65">
        <v>61.366317310471054</v>
      </c>
      <c r="S65" t="e">
        <v>#REF!</v>
      </c>
      <c r="T65">
        <v>17.901596436060082</v>
      </c>
      <c r="U65">
        <v>9.4662278894074863</v>
      </c>
      <c r="V65">
        <v>0.23119160003853192</v>
      </c>
      <c r="W65">
        <v>-10.151386379577907</v>
      </c>
      <c r="X65">
        <v>2.0856720119677838</v>
      </c>
      <c r="Y65">
        <v>80.899618868367028</v>
      </c>
      <c r="Z65" t="e">
        <v>#REF!</v>
      </c>
    </row>
    <row r="66" spans="2:26" x14ac:dyDescent="0.2">
      <c r="B66" t="str">
        <f>lc_detailed!B67</f>
        <v>CA_Gasoline_Gasification_Non_CCS_Herb</v>
      </c>
      <c r="C66">
        <f>lc_detailed!AD67</f>
        <v>0</v>
      </c>
      <c r="D66">
        <f>lc_detailed!AE67</f>
        <v>1.0048323719933401</v>
      </c>
      <c r="E66">
        <f>lc_detailed!AF67</f>
        <v>54.762078186656993</v>
      </c>
      <c r="F66" t="e">
        <f>lc_detailed!#REF!</f>
        <v>#REF!</v>
      </c>
      <c r="G66">
        <f>lc_detailed!AG67</f>
        <v>1.8459716853700829</v>
      </c>
      <c r="H66">
        <f>lc_detailed!AH67</f>
        <v>8.2322589053372308</v>
      </c>
      <c r="I66">
        <f>lc_detailed!AI67</f>
        <v>-8.1434431562275815</v>
      </c>
      <c r="J66">
        <f>lc_detailed!AK67</f>
        <v>-11.865994819847124</v>
      </c>
      <c r="K66">
        <f>lc_detailed!AL67</f>
        <v>2.0858858143606906</v>
      </c>
      <c r="L66">
        <f>lc_detailed!AB67</f>
        <v>47.921588987643631</v>
      </c>
      <c r="M66" t="e">
        <f>lc_detailed!#REF!</f>
        <v>#REF!</v>
      </c>
      <c r="O66" t="str">
        <v>CA_Gasoline_Gasification_Non_CCS_Herb</v>
      </c>
      <c r="P66">
        <v>0</v>
      </c>
      <c r="Q66">
        <v>2.5876475319045533</v>
      </c>
      <c r="R66">
        <v>76.727098702434745</v>
      </c>
      <c r="S66" t="e">
        <v>#REF!</v>
      </c>
      <c r="T66">
        <v>32.063035707016454</v>
      </c>
      <c r="U66">
        <v>17.214277530090971</v>
      </c>
      <c r="V66">
        <v>0.81158575108130426</v>
      </c>
      <c r="W66">
        <v>-49.651126037125074</v>
      </c>
      <c r="X66">
        <v>2.0857742087478601</v>
      </c>
      <c r="Y66">
        <v>81.838293394150838</v>
      </c>
      <c r="Z66" t="e">
        <v>#REF!</v>
      </c>
    </row>
    <row r="67" spans="2:26" x14ac:dyDescent="0.2">
      <c r="B67" t="str">
        <f>lc_detailed!B68</f>
        <v>CA_Gasoline_Gasification_Non_CCS_Herb</v>
      </c>
      <c r="C67">
        <f>lc_detailed!AD68</f>
        <v>0</v>
      </c>
      <c r="D67">
        <f>lc_detailed!AE68</f>
        <v>0.73605181175742107</v>
      </c>
      <c r="E67">
        <f>lc_detailed!AF68</f>
        <v>54.762078186656993</v>
      </c>
      <c r="F67" t="e">
        <f>lc_detailed!#REF!</f>
        <v>#REF!</v>
      </c>
      <c r="G67">
        <f>lc_detailed!AG68</f>
        <v>1.8459716853700829</v>
      </c>
      <c r="H67">
        <f>lc_detailed!AH68</f>
        <v>8.2322589053372308</v>
      </c>
      <c r="I67">
        <f>lc_detailed!AI68</f>
        <v>-8.1434431562275815</v>
      </c>
      <c r="J67">
        <f>lc_detailed!AK68</f>
        <v>-11.767032817772119</v>
      </c>
      <c r="K67">
        <f>lc_detailed!AL68</f>
        <v>2.0858858143606906</v>
      </c>
      <c r="L67">
        <f>lc_detailed!AB68</f>
        <v>47.751770429482704</v>
      </c>
      <c r="M67" t="e">
        <f>lc_detailed!#REF!</f>
        <v>#REF!</v>
      </c>
      <c r="O67" t="str">
        <v>CA_Gasoline_Gasification_Non_CCS_Herb</v>
      </c>
      <c r="P67">
        <v>-2.7330397246070137</v>
      </c>
      <c r="Q67">
        <v>0</v>
      </c>
      <c r="R67">
        <v>55.653727327690454</v>
      </c>
      <c r="S67" t="e">
        <v>#REF!</v>
      </c>
      <c r="T67">
        <v>17.45471442935871</v>
      </c>
      <c r="U67">
        <v>9.2063495350048488</v>
      </c>
      <c r="V67">
        <v>0.22672309552599759</v>
      </c>
      <c r="W67">
        <v>0</v>
      </c>
      <c r="X67">
        <v>2.0863450461886095</v>
      </c>
      <c r="Y67">
        <v>81.894819709161609</v>
      </c>
      <c r="Z67" t="e">
        <v>#REF!</v>
      </c>
    </row>
    <row r="68" spans="2:26" x14ac:dyDescent="0.2">
      <c r="B68">
        <f>lc_detailed!B69</f>
        <v>0</v>
      </c>
      <c r="C68">
        <f>lc_detailed!AD69</f>
        <v>0</v>
      </c>
      <c r="D68">
        <f>lc_detailed!AE69</f>
        <v>0.76970088018920757</v>
      </c>
      <c r="E68">
        <f>lc_detailed!AF69</f>
        <v>54.762078186656993</v>
      </c>
      <c r="F68" t="e">
        <f>lc_detailed!#REF!</f>
        <v>#REF!</v>
      </c>
      <c r="G68">
        <f>lc_detailed!AG69</f>
        <v>1.8459716853700829</v>
      </c>
      <c r="H68">
        <f>lc_detailed!AH69</f>
        <v>8.2322589053372308</v>
      </c>
      <c r="I68">
        <f>lc_detailed!AI69</f>
        <v>-8.1434431562275815</v>
      </c>
      <c r="J68">
        <f>lc_detailed!AK69</f>
        <v>-10.701943039186755</v>
      </c>
      <c r="K68">
        <f>lc_detailed!AL69</f>
        <v>2.0858858143606906</v>
      </c>
      <c r="L68">
        <f>lc_detailed!AB69</f>
        <v>48.850509276499857</v>
      </c>
      <c r="M68" t="e">
        <f>lc_detailed!#REF!</f>
        <v>#REF!</v>
      </c>
      <c r="O68" t="str">
        <v>CA_Gasoline_Gasification_Non_CCS_Herb</v>
      </c>
      <c r="P68">
        <v>0</v>
      </c>
      <c r="Q68">
        <v>0</v>
      </c>
      <c r="R68">
        <v>61.656984276381351</v>
      </c>
      <c r="S68" t="e">
        <v>#REF!</v>
      </c>
      <c r="T68">
        <v>20.577618492164735</v>
      </c>
      <c r="U68">
        <v>10.881287976961479</v>
      </c>
      <c r="V68">
        <v>0.26575130107407818</v>
      </c>
      <c r="W68">
        <v>-12.133809597520065</v>
      </c>
      <c r="X68">
        <v>2.085727662574079</v>
      </c>
      <c r="Y68">
        <v>83.333560111635649</v>
      </c>
      <c r="Z68" t="e">
        <v>#REF!</v>
      </c>
    </row>
    <row r="69" spans="2:26" x14ac:dyDescent="0.2">
      <c r="B69">
        <f>lc_detailed!B70</f>
        <v>0</v>
      </c>
      <c r="C69">
        <f>lc_detailed!AD70</f>
        <v>0</v>
      </c>
      <c r="D69">
        <f>lc_detailed!AE70</f>
        <v>0.55615943203436513</v>
      </c>
      <c r="E69">
        <f>lc_detailed!AF70</f>
        <v>54.762078186656993</v>
      </c>
      <c r="F69" t="e">
        <f>lc_detailed!#REF!</f>
        <v>#REF!</v>
      </c>
      <c r="G69">
        <f>lc_detailed!AG70</f>
        <v>1.8459716853700829</v>
      </c>
      <c r="H69">
        <f>lc_detailed!AH70</f>
        <v>8.2322589053372308</v>
      </c>
      <c r="I69">
        <f>lc_detailed!AI70</f>
        <v>-8.1434431562275815</v>
      </c>
      <c r="J69">
        <f>lc_detailed!AK70</f>
        <v>-10.13642665887811</v>
      </c>
      <c r="K69">
        <f>lc_detailed!AL70</f>
        <v>2.0858858143606906</v>
      </c>
      <c r="L69">
        <f>lc_detailed!AB70</f>
        <v>49.202484208653658</v>
      </c>
      <c r="M69" t="e">
        <f>lc_detailed!#REF!</f>
        <v>#REF!</v>
      </c>
      <c r="O69" t="str">
        <v>CA_Gasoline_Gasification_Non_CCS_Herb</v>
      </c>
      <c r="P69">
        <v>-2.7334799882959251</v>
      </c>
      <c r="Q69">
        <v>0</v>
      </c>
      <c r="R69">
        <v>61.366317310471054</v>
      </c>
      <c r="S69" t="e">
        <v>#REF!</v>
      </c>
      <c r="T69">
        <v>16.686310181770139</v>
      </c>
      <c r="U69">
        <v>8.8010608597811508</v>
      </c>
      <c r="V69">
        <v>0.2167421250361237</v>
      </c>
      <c r="W69">
        <v>0</v>
      </c>
      <c r="X69">
        <v>2.0856720280512451</v>
      </c>
      <c r="Y69">
        <v>86.422622516813774</v>
      </c>
      <c r="Z69" t="e">
        <v>#REF!</v>
      </c>
    </row>
    <row r="70" spans="2:26" x14ac:dyDescent="0.2">
      <c r="B70">
        <f>lc_detailed!B71</f>
        <v>0</v>
      </c>
      <c r="C70">
        <f>lc_detailed!AD71</f>
        <v>0</v>
      </c>
      <c r="D70">
        <f>lc_detailed!AE71</f>
        <v>0.8442129170953</v>
      </c>
      <c r="E70">
        <f>lc_detailed!AF71</f>
        <v>54.762078186656993</v>
      </c>
      <c r="F70" t="e">
        <f>lc_detailed!#REF!</f>
        <v>#REF!</v>
      </c>
      <c r="G70">
        <f>lc_detailed!AG71</f>
        <v>1.8459716853700829</v>
      </c>
      <c r="H70">
        <f>lc_detailed!AH71</f>
        <v>8.2322589053372308</v>
      </c>
      <c r="I70">
        <f>lc_detailed!AI71</f>
        <v>-8.1434431562275815</v>
      </c>
      <c r="J70">
        <f>lc_detailed!AK71</f>
        <v>-7.8077413422656381</v>
      </c>
      <c r="K70">
        <f>lc_detailed!AL71</f>
        <v>2.0858858143606906</v>
      </c>
      <c r="L70">
        <f>lc_detailed!AB71</f>
        <v>51.819223010327072</v>
      </c>
      <c r="M70" t="e">
        <f>lc_detailed!#REF!</f>
        <v>#REF!</v>
      </c>
      <c r="O70" t="str">
        <v>CA_Gasoline_Gasification_Non_CCS_Herb</v>
      </c>
      <c r="P70">
        <v>0</v>
      </c>
      <c r="Q70">
        <v>0</v>
      </c>
      <c r="R70">
        <v>69.801451343555485</v>
      </c>
      <c r="S70" t="e">
        <v>#REF!</v>
      </c>
      <c r="T70">
        <v>18.808407732679495</v>
      </c>
      <c r="U70">
        <v>9.945742798435214</v>
      </c>
      <c r="V70">
        <v>0.24290268711097615</v>
      </c>
      <c r="W70">
        <v>-11.472195094539575</v>
      </c>
      <c r="X70">
        <v>2.086473150053354</v>
      </c>
      <c r="Y70">
        <v>89.412782617294951</v>
      </c>
      <c r="Z70" t="e">
        <v>#REF!</v>
      </c>
    </row>
    <row r="71" spans="2:26" x14ac:dyDescent="0.2">
      <c r="B71">
        <f>lc_detailed!B72</f>
        <v>0</v>
      </c>
      <c r="C71">
        <f>lc_detailed!AD72</f>
        <v>0</v>
      </c>
      <c r="D71">
        <f>lc_detailed!AE72</f>
        <v>0.69621158107157877</v>
      </c>
      <c r="E71">
        <f>lc_detailed!AF72</f>
        <v>54.762078186656993</v>
      </c>
      <c r="F71" t="e">
        <f>lc_detailed!#REF!</f>
        <v>#REF!</v>
      </c>
      <c r="G71">
        <f>lc_detailed!AG72</f>
        <v>1.8459716853700829</v>
      </c>
      <c r="H71">
        <f>lc_detailed!AH72</f>
        <v>8.2322589053372308</v>
      </c>
      <c r="I71">
        <f>lc_detailed!AI72</f>
        <v>-8.1434431562275815</v>
      </c>
      <c r="J71">
        <f>lc_detailed!AK72</f>
        <v>-8.9615358403787848</v>
      </c>
      <c r="K71">
        <f>lc_detailed!AL72</f>
        <v>2.0858858143606906</v>
      </c>
      <c r="L71">
        <f>lc_detailed!AB72</f>
        <v>50.517427176190203</v>
      </c>
      <c r="M71" t="e">
        <f>lc_detailed!#REF!</f>
        <v>#REF!</v>
      </c>
      <c r="O71" t="str">
        <v>CA_Gasoline_Gasification_Non_CCS_Herb</v>
      </c>
      <c r="P71">
        <v>-2.1829676197541801</v>
      </c>
      <c r="Q71">
        <v>0</v>
      </c>
      <c r="R71">
        <v>61.656984276381351</v>
      </c>
      <c r="S71" t="e">
        <v>#REF!</v>
      </c>
      <c r="T71">
        <v>19.18066504229386</v>
      </c>
      <c r="U71">
        <v>10.11668838283558</v>
      </c>
      <c r="V71">
        <v>0.24914184475694828</v>
      </c>
      <c r="W71">
        <v>0</v>
      </c>
      <c r="X71">
        <v>2.0857276786575407</v>
      </c>
      <c r="Y71">
        <v>91.106239605171083</v>
      </c>
      <c r="Z71" t="e">
        <v>#REF!</v>
      </c>
    </row>
    <row r="72" spans="2:26" x14ac:dyDescent="0.2">
      <c r="B72">
        <f>lc_detailed!B73</f>
        <v>0</v>
      </c>
      <c r="C72">
        <f>lc_detailed!AD73</f>
        <v>0</v>
      </c>
      <c r="D72">
        <f>lc_detailed!AE73</f>
        <v>1.0506813864995876</v>
      </c>
      <c r="E72">
        <f>lc_detailed!AF73</f>
        <v>54.762078186656993</v>
      </c>
      <c r="F72" t="e">
        <f>lc_detailed!#REF!</f>
        <v>#REF!</v>
      </c>
      <c r="G72">
        <f>lc_detailed!AG73</f>
        <v>1.8459716853700829</v>
      </c>
      <c r="H72">
        <f>lc_detailed!AH73</f>
        <v>8.2322589053372308</v>
      </c>
      <c r="I72">
        <f>lc_detailed!AI73</f>
        <v>-8.1434431562275815</v>
      </c>
      <c r="J72">
        <f>lc_detailed!AK73</f>
        <v>-7.1182795140210633</v>
      </c>
      <c r="K72">
        <f>lc_detailed!AL73</f>
        <v>2.0858858143606906</v>
      </c>
      <c r="L72">
        <f>lc_detailed!AB73</f>
        <v>52.715153307975932</v>
      </c>
      <c r="M72" t="e">
        <f>lc_detailed!#REF!</f>
        <v>#REF!</v>
      </c>
      <c r="O72" t="str">
        <v>CA_Gasoline_Gasification_Non_CCS_Herb</v>
      </c>
      <c r="P72">
        <v>0</v>
      </c>
      <c r="Q72">
        <v>0</v>
      </c>
      <c r="R72">
        <v>76.727098702434745</v>
      </c>
      <c r="S72" t="e">
        <v>#REF!</v>
      </c>
      <c r="T72">
        <v>18.062542897676021</v>
      </c>
      <c r="U72">
        <v>9.551335152834632</v>
      </c>
      <c r="V72">
        <v>0.23327015599941681</v>
      </c>
      <c r="W72">
        <v>-11.789119139782237</v>
      </c>
      <c r="X72">
        <v>2.0857742087478477</v>
      </c>
      <c r="Y72">
        <v>94.870901977910435</v>
      </c>
      <c r="Z72" t="e">
        <v>#REF!</v>
      </c>
    </row>
    <row r="73" spans="2:26" x14ac:dyDescent="0.2">
      <c r="B73">
        <f>lc_detailed!B74</f>
        <v>0</v>
      </c>
      <c r="C73">
        <f>lc_detailed!AD74</f>
        <v>0</v>
      </c>
      <c r="D73">
        <f>lc_detailed!AE74</f>
        <v>1.0820498722750709</v>
      </c>
      <c r="E73">
        <f>lc_detailed!AF74</f>
        <v>54.762078186656993</v>
      </c>
      <c r="F73" t="e">
        <f>lc_detailed!#REF!</f>
        <v>#REF!</v>
      </c>
      <c r="G73">
        <f>lc_detailed!AG74</f>
        <v>1.8459716853700829</v>
      </c>
      <c r="H73">
        <f>lc_detailed!AH74</f>
        <v>8.2322589053372308</v>
      </c>
      <c r="I73">
        <f>lc_detailed!AI74</f>
        <v>-8.1434431562275815</v>
      </c>
      <c r="J73">
        <f>lc_detailed!AK74</f>
        <v>-6.379184937517909</v>
      </c>
      <c r="K73">
        <f>lc_detailed!AL74</f>
        <v>2.0858858143606906</v>
      </c>
      <c r="L73">
        <f>lc_detailed!AB74</f>
        <v>53.485616370254576</v>
      </c>
      <c r="M73" t="e">
        <f>lc_detailed!#REF!</f>
        <v>#REF!</v>
      </c>
      <c r="O73" t="str">
        <v>CA_Gasoline_Gasification_Non_CCS_Herb</v>
      </c>
      <c r="P73">
        <v>-2.1826272589443856</v>
      </c>
      <c r="Q73">
        <v>0</v>
      </c>
      <c r="R73">
        <v>69.801451343555485</v>
      </c>
      <c r="S73" t="e">
        <v>#REF!</v>
      </c>
      <c r="T73">
        <v>17.531560750666046</v>
      </c>
      <c r="U73">
        <v>9.2468815126145572</v>
      </c>
      <c r="V73">
        <v>0.22772126916654017</v>
      </c>
      <c r="W73">
        <v>0</v>
      </c>
      <c r="X73">
        <v>2.0864731661363436</v>
      </c>
      <c r="Y73">
        <v>96.711460783194582</v>
      </c>
      <c r="Z73" t="e">
        <v>#REF!</v>
      </c>
    </row>
    <row r="74" spans="2:26" x14ac:dyDescent="0.2">
      <c r="B74">
        <f>lc_detailed!B75</f>
        <v>0</v>
      </c>
      <c r="C74">
        <f>lc_detailed!AD75</f>
        <v>0</v>
      </c>
      <c r="D74">
        <f>lc_detailed!AE75</f>
        <v>1.3043611278934286</v>
      </c>
      <c r="E74">
        <f>lc_detailed!AF75</f>
        <v>54.762078186656993</v>
      </c>
      <c r="F74" t="e">
        <f>lc_detailed!#REF!</f>
        <v>#REF!</v>
      </c>
      <c r="G74">
        <f>lc_detailed!AG75</f>
        <v>1.8459716853700829</v>
      </c>
      <c r="H74">
        <f>lc_detailed!AH75</f>
        <v>8.2322589053372308</v>
      </c>
      <c r="I74">
        <f>lc_detailed!AI75</f>
        <v>-8.1434431562275815</v>
      </c>
      <c r="J74">
        <f>lc_detailed!AK75</f>
        <v>-5.3988405088643852</v>
      </c>
      <c r="K74">
        <f>lc_detailed!AL75</f>
        <v>-25.221398124218638</v>
      </c>
      <c r="L74">
        <f>lc_detailed!AB75</f>
        <v>27.380988115947119</v>
      </c>
      <c r="M74" t="e">
        <f>lc_detailed!#REF!</f>
        <v>#REF!</v>
      </c>
      <c r="O74" t="str">
        <v>CA_Gasoline_Gasification_Non_CCS_Herb</v>
      </c>
      <c r="P74">
        <v>-2.1835733922340474</v>
      </c>
      <c r="Q74">
        <v>0</v>
      </c>
      <c r="R74">
        <v>76.727098702434745</v>
      </c>
      <c r="S74" t="e">
        <v>#REF!</v>
      </c>
      <c r="T74">
        <v>16.836330465758454</v>
      </c>
      <c r="U74">
        <v>8.8801878588120839</v>
      </c>
      <c r="V74">
        <v>0.21869077124945327</v>
      </c>
      <c r="W74">
        <v>0</v>
      </c>
      <c r="X74">
        <v>2.085774224831308</v>
      </c>
      <c r="Y74">
        <v>102.56450863085199</v>
      </c>
      <c r="Z74" t="e">
        <v>#REF!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2026-06-24T07:25:13Z</dcterms:modified>
</cp:coreProperties>
</file>