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bio_liquid_fuels_lcoe/"/>
    </mc:Choice>
  </mc:AlternateContent>
  <xr:revisionPtr revIDLastSave="0" documentId="13_ncr:1_{C480B591-5288-C743-891F-63A49AF69F97}" xr6:coauthVersionLast="47" xr6:coauthVersionMax="47" xr10:uidLastSave="{00000000-0000-0000-0000-000000000000}"/>
  <bookViews>
    <workbookView xWindow="0" yWindow="740" windowWidth="29400" windowHeight="175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4" i="1" l="1"/>
  <c r="AZ4" i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3" i="2"/>
  <c r="AK4" i="1"/>
  <c r="J3" i="2" s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4" i="1"/>
  <c r="BC4" i="1"/>
  <c r="BB4" i="1"/>
  <c r="BB5" i="1"/>
  <c r="AG75" i="1"/>
  <c r="G74" i="2" s="1"/>
  <c r="AF75" i="1"/>
  <c r="F74" i="2" s="1"/>
  <c r="AE42" i="1" a="1"/>
  <c r="AE42" i="1" s="1"/>
  <c r="E41" i="2" s="1"/>
  <c r="AE43" i="1" a="1"/>
  <c r="AE43" i="1" s="1"/>
  <c r="E42" i="2" s="1"/>
  <c r="AE44" i="1" a="1"/>
  <c r="AE44" i="1" s="1"/>
  <c r="E43" i="2" s="1"/>
  <c r="AE45" i="1" a="1"/>
  <c r="AE45" i="1" s="1"/>
  <c r="E44" i="2" s="1"/>
  <c r="AE46" i="1" a="1"/>
  <c r="AE46" i="1" s="1"/>
  <c r="E45" i="2" s="1"/>
  <c r="AE47" i="1" a="1"/>
  <c r="AE47" i="1" s="1"/>
  <c r="E46" i="2" s="1"/>
  <c r="AE48" i="1" a="1"/>
  <c r="AE48" i="1" s="1"/>
  <c r="E47" i="2" s="1"/>
  <c r="AE49" i="1" a="1"/>
  <c r="AE49" i="1" s="1"/>
  <c r="E48" i="2" s="1"/>
  <c r="AE50" i="1" a="1"/>
  <c r="AE50" i="1" s="1"/>
  <c r="E49" i="2" s="1"/>
  <c r="AE51" i="1" a="1"/>
  <c r="AE51" i="1" s="1"/>
  <c r="E50" i="2" s="1"/>
  <c r="AE52" i="1" a="1"/>
  <c r="AE52" i="1" s="1"/>
  <c r="E51" i="2" s="1"/>
  <c r="AE53" i="1" a="1"/>
  <c r="AE53" i="1" s="1"/>
  <c r="E52" i="2" s="1"/>
  <c r="AE54" i="1" a="1"/>
  <c r="AE54" i="1" s="1"/>
  <c r="E53" i="2" s="1"/>
  <c r="AE55" i="1" a="1"/>
  <c r="AE55" i="1" s="1"/>
  <c r="E54" i="2" s="1"/>
  <c r="AE56" i="1" a="1"/>
  <c r="AE56" i="1" s="1"/>
  <c r="E55" i="2" s="1"/>
  <c r="AE57" i="1" a="1"/>
  <c r="AE57" i="1" s="1"/>
  <c r="E56" i="2" s="1"/>
  <c r="AE58" i="1" a="1"/>
  <c r="AE58" i="1" s="1"/>
  <c r="E57" i="2" s="1"/>
  <c r="AE59" i="1" a="1"/>
  <c r="AE59" i="1" s="1"/>
  <c r="E58" i="2" s="1"/>
  <c r="AE60" i="1" a="1"/>
  <c r="AE60" i="1" s="1"/>
  <c r="E59" i="2" s="1"/>
  <c r="AE61" i="1" a="1"/>
  <c r="AE61" i="1" s="1"/>
  <c r="E60" i="2" s="1"/>
  <c r="AE62" i="1" a="1"/>
  <c r="AE62" i="1" s="1"/>
  <c r="E61" i="2" s="1"/>
  <c r="AE63" i="1" a="1"/>
  <c r="AE63" i="1" s="1"/>
  <c r="E62" i="2" s="1"/>
  <c r="AE64" i="1" a="1"/>
  <c r="AE64" i="1" s="1"/>
  <c r="E63" i="2" s="1"/>
  <c r="AE65" i="1" a="1"/>
  <c r="AE65" i="1" s="1"/>
  <c r="E64" i="2" s="1"/>
  <c r="AE66" i="1" a="1"/>
  <c r="AE66" i="1" s="1"/>
  <c r="E65" i="2" s="1"/>
  <c r="AE67" i="1" a="1"/>
  <c r="AE67" i="1" s="1"/>
  <c r="E66" i="2" s="1"/>
  <c r="AE68" i="1" a="1"/>
  <c r="AE68" i="1" s="1"/>
  <c r="E67" i="2" s="1"/>
  <c r="AE69" i="1" a="1"/>
  <c r="AE69" i="1" s="1"/>
  <c r="E68" i="2" s="1"/>
  <c r="AE70" i="1" a="1"/>
  <c r="AE70" i="1" s="1"/>
  <c r="E69" i="2" s="1"/>
  <c r="AE71" i="1" a="1"/>
  <c r="AE71" i="1" s="1"/>
  <c r="E70" i="2" s="1"/>
  <c r="AE72" i="1" a="1"/>
  <c r="AE72" i="1" s="1"/>
  <c r="E71" i="2" s="1"/>
  <c r="AE73" i="1" a="1"/>
  <c r="AE73" i="1" s="1"/>
  <c r="E72" i="2" s="1"/>
  <c r="AE74" i="1" a="1"/>
  <c r="AE74" i="1" s="1"/>
  <c r="E73" i="2" s="1"/>
  <c r="AE75" i="1" a="1"/>
  <c r="AE75" i="1" s="1"/>
  <c r="E74" i="2" s="1"/>
  <c r="AE5" i="1" a="1"/>
  <c r="AE5" i="1" s="1"/>
  <c r="E4" i="2" s="1"/>
  <c r="AE6" i="1" a="1"/>
  <c r="AE6" i="1" s="1"/>
  <c r="E5" i="2" s="1"/>
  <c r="AE7" i="1" a="1"/>
  <c r="AE7" i="1" s="1"/>
  <c r="E6" i="2" s="1"/>
  <c r="AE8" i="1" a="1"/>
  <c r="AE8" i="1" s="1"/>
  <c r="E7" i="2" s="1"/>
  <c r="AE9" i="1" a="1"/>
  <c r="AE9" i="1" s="1"/>
  <c r="E8" i="2" s="1"/>
  <c r="AE10" i="1" a="1"/>
  <c r="AE10" i="1" s="1"/>
  <c r="E9" i="2" s="1"/>
  <c r="AE11" i="1" a="1"/>
  <c r="AE11" i="1" s="1"/>
  <c r="E10" i="2" s="1"/>
  <c r="AE12" i="1" a="1"/>
  <c r="AE12" i="1" s="1"/>
  <c r="E11" i="2" s="1"/>
  <c r="AE13" i="1" a="1"/>
  <c r="AE13" i="1" s="1"/>
  <c r="E12" i="2" s="1"/>
  <c r="AE14" i="1" a="1"/>
  <c r="AE14" i="1" s="1"/>
  <c r="E13" i="2" s="1"/>
  <c r="AE15" i="1" a="1"/>
  <c r="AE15" i="1" s="1"/>
  <c r="E14" i="2" s="1"/>
  <c r="AE16" i="1" a="1"/>
  <c r="AE16" i="1" s="1"/>
  <c r="E15" i="2" s="1"/>
  <c r="AE17" i="1" a="1"/>
  <c r="AE17" i="1" s="1"/>
  <c r="E16" i="2" s="1"/>
  <c r="AE18" i="1" a="1"/>
  <c r="AE18" i="1" s="1"/>
  <c r="E17" i="2" s="1"/>
  <c r="AE19" i="1" a="1"/>
  <c r="AE19" i="1" s="1"/>
  <c r="E18" i="2" s="1"/>
  <c r="AE20" i="1" a="1"/>
  <c r="AE20" i="1" s="1"/>
  <c r="E19" i="2" s="1"/>
  <c r="AE21" i="1" a="1"/>
  <c r="AE21" i="1" s="1"/>
  <c r="E20" i="2" s="1"/>
  <c r="AE22" i="1" a="1"/>
  <c r="AE22" i="1" s="1"/>
  <c r="E21" i="2" s="1"/>
  <c r="AE23" i="1" a="1"/>
  <c r="AE23" i="1" s="1"/>
  <c r="E22" i="2" s="1"/>
  <c r="AE24" i="1" a="1"/>
  <c r="AE24" i="1" s="1"/>
  <c r="E23" i="2" s="1"/>
  <c r="AE25" i="1" a="1"/>
  <c r="AE25" i="1" s="1"/>
  <c r="E24" i="2" s="1"/>
  <c r="AE26" i="1" a="1"/>
  <c r="AE26" i="1" s="1"/>
  <c r="E25" i="2" s="1"/>
  <c r="AE27" i="1" a="1"/>
  <c r="AE27" i="1" s="1"/>
  <c r="E26" i="2" s="1"/>
  <c r="AE28" i="1" a="1"/>
  <c r="AE28" i="1" s="1"/>
  <c r="E27" i="2" s="1"/>
  <c r="AE29" i="1" a="1"/>
  <c r="AE29" i="1" s="1"/>
  <c r="E28" i="2" s="1"/>
  <c r="AE30" i="1" a="1"/>
  <c r="AE30" i="1" s="1"/>
  <c r="E29" i="2" s="1"/>
  <c r="AE31" i="1" a="1"/>
  <c r="AE31" i="1" s="1"/>
  <c r="E30" i="2" s="1"/>
  <c r="AE32" i="1" a="1"/>
  <c r="AE32" i="1" s="1"/>
  <c r="E31" i="2" s="1"/>
  <c r="AE33" i="1" a="1"/>
  <c r="AE33" i="1" s="1"/>
  <c r="E32" i="2" s="1"/>
  <c r="AE34" i="1" a="1"/>
  <c r="AE34" i="1" s="1"/>
  <c r="E33" i="2" s="1"/>
  <c r="AE35" i="1" a="1"/>
  <c r="AE35" i="1" s="1"/>
  <c r="E34" i="2" s="1"/>
  <c r="AE36" i="1" a="1"/>
  <c r="AE36" i="1" s="1"/>
  <c r="E35" i="2" s="1"/>
  <c r="AE37" i="1" a="1"/>
  <c r="AE37" i="1" s="1"/>
  <c r="E36" i="2" s="1"/>
  <c r="AE38" i="1" a="1"/>
  <c r="AE38" i="1" s="1"/>
  <c r="E37" i="2" s="1"/>
  <c r="AE39" i="1" a="1"/>
  <c r="AE39" i="1" s="1"/>
  <c r="E38" i="2" s="1"/>
  <c r="AE40" i="1" a="1"/>
  <c r="AE40" i="1" s="1"/>
  <c r="E39" i="2" s="1"/>
  <c r="AE41" i="1" a="1"/>
  <c r="AE41" i="1" s="1"/>
  <c r="E40" i="2" s="1"/>
  <c r="AE4" i="1" a="1"/>
  <c r="AE4" i="1" s="1"/>
  <c r="E3" i="2" s="1"/>
  <c r="AD4" i="1"/>
  <c r="D3" i="2" s="1"/>
  <c r="AC4" i="1"/>
  <c r="C3" i="2" s="1"/>
  <c r="AK5" i="1"/>
  <c r="J4" i="2" s="1"/>
  <c r="AK6" i="1"/>
  <c r="J5" i="2" s="1"/>
  <c r="AK7" i="1"/>
  <c r="J6" i="2" s="1"/>
  <c r="AK8" i="1"/>
  <c r="J7" i="2" s="1"/>
  <c r="AK9" i="1"/>
  <c r="J8" i="2" s="1"/>
  <c r="AK10" i="1"/>
  <c r="J9" i="2" s="1"/>
  <c r="AK11" i="1"/>
  <c r="J10" i="2" s="1"/>
  <c r="AK12" i="1"/>
  <c r="J11" i="2" s="1"/>
  <c r="AK13" i="1"/>
  <c r="J12" i="2" s="1"/>
  <c r="AK14" i="1"/>
  <c r="J13" i="2" s="1"/>
  <c r="AK15" i="1"/>
  <c r="J14" i="2" s="1"/>
  <c r="AK16" i="1"/>
  <c r="J15" i="2" s="1"/>
  <c r="AK17" i="1"/>
  <c r="J16" i="2" s="1"/>
  <c r="AK18" i="1"/>
  <c r="J17" i="2" s="1"/>
  <c r="AK19" i="1"/>
  <c r="J18" i="2" s="1"/>
  <c r="AK20" i="1"/>
  <c r="J19" i="2" s="1"/>
  <c r="AK21" i="1"/>
  <c r="J20" i="2" s="1"/>
  <c r="AK22" i="1"/>
  <c r="J21" i="2" s="1"/>
  <c r="AK23" i="1"/>
  <c r="J22" i="2" s="1"/>
  <c r="AK24" i="1"/>
  <c r="J23" i="2" s="1"/>
  <c r="AK25" i="1"/>
  <c r="J24" i="2" s="1"/>
  <c r="AK26" i="1"/>
  <c r="J25" i="2" s="1"/>
  <c r="AK27" i="1"/>
  <c r="J26" i="2" s="1"/>
  <c r="AK28" i="1"/>
  <c r="J27" i="2" s="1"/>
  <c r="AK29" i="1"/>
  <c r="J28" i="2" s="1"/>
  <c r="AK30" i="1"/>
  <c r="J29" i="2" s="1"/>
  <c r="AK31" i="1"/>
  <c r="J30" i="2" s="1"/>
  <c r="AK32" i="1"/>
  <c r="J31" i="2" s="1"/>
  <c r="AK33" i="1"/>
  <c r="J32" i="2" s="1"/>
  <c r="AK34" i="1"/>
  <c r="J33" i="2" s="1"/>
  <c r="AK35" i="1"/>
  <c r="J34" i="2" s="1"/>
  <c r="AK36" i="1"/>
  <c r="J35" i="2" s="1"/>
  <c r="AK37" i="1"/>
  <c r="J36" i="2" s="1"/>
  <c r="AK38" i="1"/>
  <c r="J37" i="2" s="1"/>
  <c r="AK39" i="1"/>
  <c r="J38" i="2" s="1"/>
  <c r="AK40" i="1"/>
  <c r="J39" i="2" s="1"/>
  <c r="AK41" i="1"/>
  <c r="J40" i="2" s="1"/>
  <c r="AK42" i="1"/>
  <c r="J41" i="2" s="1"/>
  <c r="AK43" i="1"/>
  <c r="J42" i="2" s="1"/>
  <c r="AK44" i="1"/>
  <c r="J43" i="2" s="1"/>
  <c r="AK45" i="1"/>
  <c r="J44" i="2" s="1"/>
  <c r="AK46" i="1"/>
  <c r="J45" i="2" s="1"/>
  <c r="AK47" i="1"/>
  <c r="J46" i="2" s="1"/>
  <c r="AK48" i="1"/>
  <c r="J47" i="2" s="1"/>
  <c r="AK49" i="1"/>
  <c r="J48" i="2" s="1"/>
  <c r="AK50" i="1"/>
  <c r="J49" i="2" s="1"/>
  <c r="AK51" i="1"/>
  <c r="J50" i="2" s="1"/>
  <c r="AK52" i="1"/>
  <c r="J51" i="2" s="1"/>
  <c r="AK53" i="1"/>
  <c r="J52" i="2" s="1"/>
  <c r="AK54" i="1"/>
  <c r="J53" i="2" s="1"/>
  <c r="AK55" i="1"/>
  <c r="J54" i="2" s="1"/>
  <c r="AK56" i="1"/>
  <c r="J55" i="2" s="1"/>
  <c r="AK57" i="1"/>
  <c r="J56" i="2" s="1"/>
  <c r="AK58" i="1"/>
  <c r="J57" i="2" s="1"/>
  <c r="AK59" i="1"/>
  <c r="J58" i="2" s="1"/>
  <c r="AK60" i="1"/>
  <c r="J59" i="2" s="1"/>
  <c r="AK61" i="1"/>
  <c r="J60" i="2" s="1"/>
  <c r="AK62" i="1"/>
  <c r="J61" i="2" s="1"/>
  <c r="AK63" i="1"/>
  <c r="J62" i="2" s="1"/>
  <c r="AK64" i="1"/>
  <c r="J63" i="2" s="1"/>
  <c r="AK65" i="1"/>
  <c r="J64" i="2" s="1"/>
  <c r="AK66" i="1"/>
  <c r="J65" i="2" s="1"/>
  <c r="AK67" i="1"/>
  <c r="J66" i="2" s="1"/>
  <c r="AK68" i="1"/>
  <c r="J67" i="2" s="1"/>
  <c r="AK69" i="1"/>
  <c r="J68" i="2" s="1"/>
  <c r="AK70" i="1"/>
  <c r="J69" i="2" s="1"/>
  <c r="AK71" i="1"/>
  <c r="J70" i="2" s="1"/>
  <c r="AK72" i="1"/>
  <c r="J71" i="2" s="1"/>
  <c r="AK73" i="1"/>
  <c r="J72" i="2" s="1"/>
  <c r="AK74" i="1"/>
  <c r="J73" i="2" s="1"/>
  <c r="AK75" i="1"/>
  <c r="J74" i="2" s="1"/>
  <c r="BB26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27" i="1"/>
  <c r="AY75" i="1"/>
  <c r="AQ75" i="1"/>
  <c r="AW75" i="1" s="1"/>
  <c r="AI75" i="1"/>
  <c r="I74" i="2" s="1"/>
  <c r="AH75" i="1"/>
  <c r="H74" i="2" s="1"/>
  <c r="AD75" i="1"/>
  <c r="D74" i="2" s="1"/>
  <c r="AC75" i="1"/>
  <c r="C74" i="2" s="1"/>
  <c r="Y75" i="1"/>
  <c r="X75" i="1"/>
  <c r="AY74" i="1"/>
  <c r="AQ74" i="1"/>
  <c r="AW74" i="1" s="1"/>
  <c r="AI74" i="1"/>
  <c r="I73" i="2" s="1"/>
  <c r="AH74" i="1"/>
  <c r="H73" i="2" s="1"/>
  <c r="AG74" i="1"/>
  <c r="G73" i="2" s="1"/>
  <c r="AF74" i="1"/>
  <c r="F73" i="2" s="1"/>
  <c r="AD74" i="1"/>
  <c r="D73" i="2" s="1"/>
  <c r="AC74" i="1"/>
  <c r="C73" i="2" s="1"/>
  <c r="Y74" i="1"/>
  <c r="X74" i="1"/>
  <c r="AY73" i="1"/>
  <c r="AQ73" i="1"/>
  <c r="AW73" i="1" s="1"/>
  <c r="AI73" i="1"/>
  <c r="I72" i="2" s="1"/>
  <c r="AH73" i="1"/>
  <c r="H72" i="2" s="1"/>
  <c r="AG73" i="1"/>
  <c r="G72" i="2" s="1"/>
  <c r="AF73" i="1"/>
  <c r="F72" i="2" s="1"/>
  <c r="AD73" i="1"/>
  <c r="D72" i="2" s="1"/>
  <c r="AC73" i="1"/>
  <c r="C72" i="2" s="1"/>
  <c r="Y73" i="1"/>
  <c r="X73" i="1"/>
  <c r="AY72" i="1"/>
  <c r="AQ72" i="1"/>
  <c r="AW72" i="1" s="1"/>
  <c r="AI72" i="1"/>
  <c r="I71" i="2" s="1"/>
  <c r="AH72" i="1"/>
  <c r="H71" i="2" s="1"/>
  <c r="AG72" i="1"/>
  <c r="G71" i="2" s="1"/>
  <c r="AF72" i="1"/>
  <c r="F71" i="2" s="1"/>
  <c r="AD72" i="1"/>
  <c r="D71" i="2" s="1"/>
  <c r="AC72" i="1"/>
  <c r="C71" i="2" s="1"/>
  <c r="Y72" i="1"/>
  <c r="X72" i="1"/>
  <c r="AY71" i="1"/>
  <c r="AQ71" i="1"/>
  <c r="AW71" i="1" s="1"/>
  <c r="AI71" i="1"/>
  <c r="I70" i="2" s="1"/>
  <c r="AH71" i="1"/>
  <c r="H70" i="2" s="1"/>
  <c r="AG71" i="1"/>
  <c r="G70" i="2" s="1"/>
  <c r="AF71" i="1"/>
  <c r="F70" i="2" s="1"/>
  <c r="AD71" i="1"/>
  <c r="D70" i="2" s="1"/>
  <c r="AC71" i="1"/>
  <c r="C70" i="2" s="1"/>
  <c r="Y71" i="1"/>
  <c r="X71" i="1"/>
  <c r="AY70" i="1"/>
  <c r="AQ70" i="1"/>
  <c r="AW70" i="1" s="1"/>
  <c r="AI70" i="1"/>
  <c r="I69" i="2" s="1"/>
  <c r="AH70" i="1"/>
  <c r="H69" i="2" s="1"/>
  <c r="AG70" i="1"/>
  <c r="G69" i="2" s="1"/>
  <c r="AF70" i="1"/>
  <c r="F69" i="2" s="1"/>
  <c r="AD70" i="1"/>
  <c r="D69" i="2" s="1"/>
  <c r="AC70" i="1"/>
  <c r="C69" i="2" s="1"/>
  <c r="Y70" i="1"/>
  <c r="X70" i="1"/>
  <c r="AY69" i="1"/>
  <c r="AQ69" i="1"/>
  <c r="AW69" i="1" s="1"/>
  <c r="AI69" i="1"/>
  <c r="I68" i="2" s="1"/>
  <c r="AH69" i="1"/>
  <c r="H68" i="2" s="1"/>
  <c r="AG69" i="1"/>
  <c r="G68" i="2" s="1"/>
  <c r="AF69" i="1"/>
  <c r="F68" i="2" s="1"/>
  <c r="AD69" i="1"/>
  <c r="D68" i="2" s="1"/>
  <c r="AC69" i="1"/>
  <c r="C68" i="2" s="1"/>
  <c r="Y69" i="1"/>
  <c r="X69" i="1"/>
  <c r="AY68" i="1"/>
  <c r="AQ68" i="1"/>
  <c r="AW68" i="1" s="1"/>
  <c r="AI68" i="1"/>
  <c r="I67" i="2" s="1"/>
  <c r="AH68" i="1"/>
  <c r="H67" i="2" s="1"/>
  <c r="AG68" i="1"/>
  <c r="G67" i="2" s="1"/>
  <c r="AF68" i="1"/>
  <c r="F67" i="2" s="1"/>
  <c r="AD68" i="1"/>
  <c r="D67" i="2" s="1"/>
  <c r="AC68" i="1"/>
  <c r="C67" i="2" s="1"/>
  <c r="Y68" i="1"/>
  <c r="X68" i="1"/>
  <c r="AY67" i="1"/>
  <c r="AQ67" i="1"/>
  <c r="AW67" i="1" s="1"/>
  <c r="AI67" i="1"/>
  <c r="I66" i="2" s="1"/>
  <c r="AH67" i="1"/>
  <c r="H66" i="2" s="1"/>
  <c r="AG67" i="1"/>
  <c r="G66" i="2" s="1"/>
  <c r="AF67" i="1"/>
  <c r="F66" i="2" s="1"/>
  <c r="AD67" i="1"/>
  <c r="D66" i="2" s="1"/>
  <c r="AC67" i="1"/>
  <c r="C66" i="2" s="1"/>
  <c r="Y67" i="1"/>
  <c r="X67" i="1"/>
  <c r="AY66" i="1"/>
  <c r="AQ66" i="1"/>
  <c r="AW66" i="1" s="1"/>
  <c r="AI66" i="1"/>
  <c r="I65" i="2" s="1"/>
  <c r="AH66" i="1"/>
  <c r="H65" i="2" s="1"/>
  <c r="AG66" i="1"/>
  <c r="G65" i="2" s="1"/>
  <c r="AF66" i="1"/>
  <c r="F65" i="2" s="1"/>
  <c r="AD66" i="1"/>
  <c r="D65" i="2" s="1"/>
  <c r="AC66" i="1"/>
  <c r="C65" i="2" s="1"/>
  <c r="Y66" i="1"/>
  <c r="X66" i="1"/>
  <c r="AY65" i="1"/>
  <c r="AQ65" i="1"/>
  <c r="AW65" i="1" s="1"/>
  <c r="AI65" i="1"/>
  <c r="I64" i="2" s="1"/>
  <c r="AH65" i="1"/>
  <c r="H64" i="2" s="1"/>
  <c r="AG65" i="1"/>
  <c r="G64" i="2" s="1"/>
  <c r="AF65" i="1"/>
  <c r="F64" i="2" s="1"/>
  <c r="AD65" i="1"/>
  <c r="D64" i="2" s="1"/>
  <c r="AC65" i="1"/>
  <c r="C64" i="2" s="1"/>
  <c r="Y65" i="1"/>
  <c r="X65" i="1"/>
  <c r="AY64" i="1"/>
  <c r="AQ64" i="1"/>
  <c r="AW64" i="1" s="1"/>
  <c r="AI64" i="1"/>
  <c r="I63" i="2" s="1"/>
  <c r="AH64" i="1"/>
  <c r="H63" i="2" s="1"/>
  <c r="AG64" i="1"/>
  <c r="G63" i="2" s="1"/>
  <c r="AF64" i="1"/>
  <c r="F63" i="2" s="1"/>
  <c r="AD64" i="1"/>
  <c r="D63" i="2" s="1"/>
  <c r="AC64" i="1"/>
  <c r="C63" i="2" s="1"/>
  <c r="Y64" i="1"/>
  <c r="X64" i="1"/>
  <c r="AY63" i="1"/>
  <c r="AQ63" i="1"/>
  <c r="AW63" i="1" s="1"/>
  <c r="AI63" i="1"/>
  <c r="I62" i="2" s="1"/>
  <c r="AH63" i="1"/>
  <c r="H62" i="2" s="1"/>
  <c r="AG63" i="1"/>
  <c r="G62" i="2" s="1"/>
  <c r="AF63" i="1"/>
  <c r="F62" i="2" s="1"/>
  <c r="AD63" i="1"/>
  <c r="D62" i="2" s="1"/>
  <c r="AC63" i="1"/>
  <c r="C62" i="2" s="1"/>
  <c r="Y63" i="1"/>
  <c r="X63" i="1"/>
  <c r="AY62" i="1"/>
  <c r="AQ62" i="1"/>
  <c r="AW62" i="1" s="1"/>
  <c r="AI62" i="1"/>
  <c r="I61" i="2" s="1"/>
  <c r="AH62" i="1"/>
  <c r="H61" i="2" s="1"/>
  <c r="AG62" i="1"/>
  <c r="G61" i="2" s="1"/>
  <c r="AF62" i="1"/>
  <c r="F61" i="2" s="1"/>
  <c r="AD62" i="1"/>
  <c r="D61" i="2" s="1"/>
  <c r="AC62" i="1"/>
  <c r="C61" i="2" s="1"/>
  <c r="Y62" i="1"/>
  <c r="X62" i="1"/>
  <c r="AY61" i="1"/>
  <c r="AQ61" i="1"/>
  <c r="AW61" i="1" s="1"/>
  <c r="AI61" i="1"/>
  <c r="I60" i="2" s="1"/>
  <c r="AH61" i="1"/>
  <c r="H60" i="2" s="1"/>
  <c r="AG61" i="1"/>
  <c r="G60" i="2" s="1"/>
  <c r="AF61" i="1"/>
  <c r="F60" i="2" s="1"/>
  <c r="AD61" i="1"/>
  <c r="D60" i="2" s="1"/>
  <c r="AC61" i="1"/>
  <c r="C60" i="2" s="1"/>
  <c r="Y61" i="1"/>
  <c r="X61" i="1"/>
  <c r="AY60" i="1"/>
  <c r="AQ60" i="1"/>
  <c r="AW60" i="1" s="1"/>
  <c r="AI60" i="1"/>
  <c r="I59" i="2" s="1"/>
  <c r="AH60" i="1"/>
  <c r="H59" i="2" s="1"/>
  <c r="AG60" i="1"/>
  <c r="G59" i="2" s="1"/>
  <c r="AF60" i="1"/>
  <c r="F59" i="2" s="1"/>
  <c r="AD60" i="1"/>
  <c r="D59" i="2" s="1"/>
  <c r="AC60" i="1"/>
  <c r="C59" i="2" s="1"/>
  <c r="Y60" i="1"/>
  <c r="X60" i="1"/>
  <c r="AY59" i="1"/>
  <c r="AQ59" i="1"/>
  <c r="AW59" i="1" s="1"/>
  <c r="AI59" i="1"/>
  <c r="I58" i="2" s="1"/>
  <c r="AH59" i="1"/>
  <c r="H58" i="2" s="1"/>
  <c r="AG59" i="1"/>
  <c r="G58" i="2" s="1"/>
  <c r="AF59" i="1"/>
  <c r="F58" i="2" s="1"/>
  <c r="AD59" i="1"/>
  <c r="D58" i="2" s="1"/>
  <c r="AC59" i="1"/>
  <c r="C58" i="2" s="1"/>
  <c r="Y59" i="1"/>
  <c r="X59" i="1"/>
  <c r="AY58" i="1"/>
  <c r="AQ58" i="1"/>
  <c r="AW58" i="1" s="1"/>
  <c r="AI58" i="1"/>
  <c r="I57" i="2" s="1"/>
  <c r="AH58" i="1"/>
  <c r="H57" i="2" s="1"/>
  <c r="AG58" i="1"/>
  <c r="G57" i="2" s="1"/>
  <c r="AF58" i="1"/>
  <c r="F57" i="2" s="1"/>
  <c r="AD58" i="1"/>
  <c r="D57" i="2" s="1"/>
  <c r="AC58" i="1"/>
  <c r="C57" i="2" s="1"/>
  <c r="Y58" i="1"/>
  <c r="X58" i="1"/>
  <c r="AY57" i="1"/>
  <c r="AQ57" i="1"/>
  <c r="AW57" i="1" s="1"/>
  <c r="AI57" i="1"/>
  <c r="I56" i="2" s="1"/>
  <c r="AH57" i="1"/>
  <c r="H56" i="2" s="1"/>
  <c r="AG57" i="1"/>
  <c r="G56" i="2" s="1"/>
  <c r="AF57" i="1"/>
  <c r="F56" i="2" s="1"/>
  <c r="AD57" i="1"/>
  <c r="D56" i="2" s="1"/>
  <c r="AC57" i="1"/>
  <c r="C56" i="2" s="1"/>
  <c r="Y57" i="1"/>
  <c r="X57" i="1"/>
  <c r="AY56" i="1"/>
  <c r="AQ56" i="1"/>
  <c r="AW56" i="1" s="1"/>
  <c r="AI56" i="1"/>
  <c r="I55" i="2" s="1"/>
  <c r="AH56" i="1"/>
  <c r="H55" i="2" s="1"/>
  <c r="AG56" i="1"/>
  <c r="G55" i="2" s="1"/>
  <c r="AF56" i="1"/>
  <c r="F55" i="2" s="1"/>
  <c r="AD56" i="1"/>
  <c r="D55" i="2" s="1"/>
  <c r="AC56" i="1"/>
  <c r="C55" i="2" s="1"/>
  <c r="Y56" i="1"/>
  <c r="X56" i="1"/>
  <c r="AY55" i="1"/>
  <c r="AQ55" i="1"/>
  <c r="AW55" i="1" s="1"/>
  <c r="AI55" i="1"/>
  <c r="I54" i="2" s="1"/>
  <c r="AH55" i="1"/>
  <c r="H54" i="2" s="1"/>
  <c r="AG55" i="1"/>
  <c r="G54" i="2" s="1"/>
  <c r="AF55" i="1"/>
  <c r="F54" i="2" s="1"/>
  <c r="AD55" i="1"/>
  <c r="D54" i="2" s="1"/>
  <c r="AC55" i="1"/>
  <c r="C54" i="2" s="1"/>
  <c r="Y55" i="1"/>
  <c r="X55" i="1"/>
  <c r="AY54" i="1"/>
  <c r="AQ54" i="1"/>
  <c r="AW54" i="1" s="1"/>
  <c r="AI54" i="1"/>
  <c r="I53" i="2" s="1"/>
  <c r="AH54" i="1"/>
  <c r="H53" i="2" s="1"/>
  <c r="AG54" i="1"/>
  <c r="G53" i="2" s="1"/>
  <c r="AF54" i="1"/>
  <c r="F53" i="2" s="1"/>
  <c r="AD54" i="1"/>
  <c r="D53" i="2" s="1"/>
  <c r="AC54" i="1"/>
  <c r="C53" i="2" s="1"/>
  <c r="Y54" i="1"/>
  <c r="X54" i="1"/>
  <c r="AY53" i="1"/>
  <c r="AQ53" i="1"/>
  <c r="AW53" i="1" s="1"/>
  <c r="AI53" i="1"/>
  <c r="I52" i="2" s="1"/>
  <c r="AH53" i="1"/>
  <c r="H52" i="2" s="1"/>
  <c r="AG53" i="1"/>
  <c r="G52" i="2" s="1"/>
  <c r="AF53" i="1"/>
  <c r="F52" i="2" s="1"/>
  <c r="AD53" i="1"/>
  <c r="D52" i="2" s="1"/>
  <c r="AC53" i="1"/>
  <c r="C52" i="2" s="1"/>
  <c r="Y53" i="1"/>
  <c r="X53" i="1"/>
  <c r="AY52" i="1"/>
  <c r="AQ52" i="1"/>
  <c r="AW52" i="1" s="1"/>
  <c r="AI52" i="1"/>
  <c r="I51" i="2" s="1"/>
  <c r="AH52" i="1"/>
  <c r="H51" i="2" s="1"/>
  <c r="AG52" i="1"/>
  <c r="G51" i="2" s="1"/>
  <c r="AF52" i="1"/>
  <c r="F51" i="2" s="1"/>
  <c r="AD52" i="1"/>
  <c r="D51" i="2" s="1"/>
  <c r="AC52" i="1"/>
  <c r="C51" i="2" s="1"/>
  <c r="Y52" i="1"/>
  <c r="X52" i="1"/>
  <c r="AY51" i="1"/>
  <c r="AQ51" i="1"/>
  <c r="AW51" i="1" s="1"/>
  <c r="AI51" i="1"/>
  <c r="I50" i="2" s="1"/>
  <c r="AH51" i="1"/>
  <c r="H50" i="2" s="1"/>
  <c r="AG51" i="1"/>
  <c r="G50" i="2" s="1"/>
  <c r="AF51" i="1"/>
  <c r="F50" i="2" s="1"/>
  <c r="AD51" i="1"/>
  <c r="D50" i="2" s="1"/>
  <c r="AC51" i="1"/>
  <c r="C50" i="2" s="1"/>
  <c r="Y51" i="1"/>
  <c r="X51" i="1"/>
  <c r="AY50" i="1"/>
  <c r="AQ50" i="1"/>
  <c r="AW50" i="1" s="1"/>
  <c r="AI50" i="1"/>
  <c r="I49" i="2" s="1"/>
  <c r="AH50" i="1"/>
  <c r="H49" i="2" s="1"/>
  <c r="AG50" i="1"/>
  <c r="G49" i="2" s="1"/>
  <c r="AF50" i="1"/>
  <c r="F49" i="2" s="1"/>
  <c r="AD50" i="1"/>
  <c r="D49" i="2" s="1"/>
  <c r="AC50" i="1"/>
  <c r="C49" i="2" s="1"/>
  <c r="Y50" i="1"/>
  <c r="X50" i="1"/>
  <c r="AY49" i="1"/>
  <c r="AQ49" i="1"/>
  <c r="AW49" i="1" s="1"/>
  <c r="AI49" i="1"/>
  <c r="I48" i="2" s="1"/>
  <c r="AH49" i="1"/>
  <c r="H48" i="2" s="1"/>
  <c r="AG49" i="1"/>
  <c r="G48" i="2" s="1"/>
  <c r="AF49" i="1"/>
  <c r="F48" i="2" s="1"/>
  <c r="AD49" i="1"/>
  <c r="D48" i="2" s="1"/>
  <c r="AC49" i="1"/>
  <c r="C48" i="2" s="1"/>
  <c r="Y49" i="1"/>
  <c r="X49" i="1"/>
  <c r="AY48" i="1"/>
  <c r="AQ48" i="1"/>
  <c r="AW48" i="1" s="1"/>
  <c r="AI48" i="1"/>
  <c r="I47" i="2" s="1"/>
  <c r="AH48" i="1"/>
  <c r="H47" i="2" s="1"/>
  <c r="AG48" i="1"/>
  <c r="G47" i="2" s="1"/>
  <c r="AF48" i="1"/>
  <c r="F47" i="2" s="1"/>
  <c r="AD48" i="1"/>
  <c r="D47" i="2" s="1"/>
  <c r="AC48" i="1"/>
  <c r="C47" i="2" s="1"/>
  <c r="Y48" i="1"/>
  <c r="X48" i="1"/>
  <c r="AY47" i="1"/>
  <c r="AQ47" i="1"/>
  <c r="AW47" i="1" s="1"/>
  <c r="AI47" i="1"/>
  <c r="I46" i="2" s="1"/>
  <c r="AH47" i="1"/>
  <c r="H46" i="2" s="1"/>
  <c r="AG47" i="1"/>
  <c r="G46" i="2" s="1"/>
  <c r="AF47" i="1"/>
  <c r="F46" i="2" s="1"/>
  <c r="AD47" i="1"/>
  <c r="D46" i="2" s="1"/>
  <c r="AC47" i="1"/>
  <c r="C46" i="2" s="1"/>
  <c r="Y47" i="1"/>
  <c r="X47" i="1"/>
  <c r="AY46" i="1"/>
  <c r="AQ46" i="1"/>
  <c r="AW46" i="1" s="1"/>
  <c r="AI46" i="1"/>
  <c r="I45" i="2" s="1"/>
  <c r="AH46" i="1"/>
  <c r="H45" i="2" s="1"/>
  <c r="AG46" i="1"/>
  <c r="G45" i="2" s="1"/>
  <c r="AF46" i="1"/>
  <c r="F45" i="2" s="1"/>
  <c r="AD46" i="1"/>
  <c r="D45" i="2" s="1"/>
  <c r="AC46" i="1"/>
  <c r="C45" i="2" s="1"/>
  <c r="Y46" i="1"/>
  <c r="X46" i="1"/>
  <c r="AY45" i="1"/>
  <c r="AQ45" i="1"/>
  <c r="AW45" i="1" s="1"/>
  <c r="AI45" i="1"/>
  <c r="I44" i="2" s="1"/>
  <c r="AH45" i="1"/>
  <c r="H44" i="2" s="1"/>
  <c r="AG45" i="1"/>
  <c r="G44" i="2" s="1"/>
  <c r="AF45" i="1"/>
  <c r="F44" i="2" s="1"/>
  <c r="AD45" i="1"/>
  <c r="D44" i="2" s="1"/>
  <c r="AC45" i="1"/>
  <c r="C44" i="2" s="1"/>
  <c r="Y45" i="1"/>
  <c r="X45" i="1"/>
  <c r="AY44" i="1"/>
  <c r="AQ44" i="1"/>
  <c r="AW44" i="1" s="1"/>
  <c r="AI44" i="1"/>
  <c r="I43" i="2" s="1"/>
  <c r="AH44" i="1"/>
  <c r="H43" i="2" s="1"/>
  <c r="AG44" i="1"/>
  <c r="G43" i="2" s="1"/>
  <c r="AF44" i="1"/>
  <c r="F43" i="2" s="1"/>
  <c r="AD44" i="1"/>
  <c r="D43" i="2" s="1"/>
  <c r="AC44" i="1"/>
  <c r="C43" i="2" s="1"/>
  <c r="Y44" i="1"/>
  <c r="X44" i="1"/>
  <c r="AY43" i="1"/>
  <c r="AQ43" i="1"/>
  <c r="AW43" i="1" s="1"/>
  <c r="AI43" i="1"/>
  <c r="I42" i="2" s="1"/>
  <c r="AH43" i="1"/>
  <c r="H42" i="2" s="1"/>
  <c r="AG43" i="1"/>
  <c r="G42" i="2" s="1"/>
  <c r="AF43" i="1"/>
  <c r="F42" i="2" s="1"/>
  <c r="AD43" i="1"/>
  <c r="D42" i="2" s="1"/>
  <c r="AC43" i="1"/>
  <c r="C42" i="2" s="1"/>
  <c r="Y43" i="1"/>
  <c r="X43" i="1"/>
  <c r="AY42" i="1"/>
  <c r="AQ42" i="1"/>
  <c r="AW42" i="1" s="1"/>
  <c r="AI42" i="1"/>
  <c r="I41" i="2" s="1"/>
  <c r="AH42" i="1"/>
  <c r="H41" i="2" s="1"/>
  <c r="AG42" i="1"/>
  <c r="G41" i="2" s="1"/>
  <c r="AF42" i="1"/>
  <c r="F41" i="2" s="1"/>
  <c r="AD42" i="1"/>
  <c r="D41" i="2" s="1"/>
  <c r="AC42" i="1"/>
  <c r="C41" i="2" s="1"/>
  <c r="Y42" i="1"/>
  <c r="X42" i="1"/>
  <c r="AY41" i="1"/>
  <c r="AQ41" i="1"/>
  <c r="AW41" i="1" s="1"/>
  <c r="AI41" i="1"/>
  <c r="I40" i="2" s="1"/>
  <c r="AH41" i="1"/>
  <c r="H40" i="2" s="1"/>
  <c r="AG41" i="1"/>
  <c r="G40" i="2" s="1"/>
  <c r="AF41" i="1"/>
  <c r="F40" i="2" s="1"/>
  <c r="AD41" i="1"/>
  <c r="D40" i="2" s="1"/>
  <c r="AC41" i="1"/>
  <c r="C40" i="2" s="1"/>
  <c r="Y41" i="1"/>
  <c r="X41" i="1"/>
  <c r="AY40" i="1"/>
  <c r="AQ40" i="1"/>
  <c r="AW40" i="1" s="1"/>
  <c r="AI40" i="1"/>
  <c r="I39" i="2" s="1"/>
  <c r="AH40" i="1"/>
  <c r="H39" i="2" s="1"/>
  <c r="AG40" i="1"/>
  <c r="G39" i="2" s="1"/>
  <c r="AF40" i="1"/>
  <c r="F39" i="2" s="1"/>
  <c r="AD40" i="1"/>
  <c r="D39" i="2" s="1"/>
  <c r="AC40" i="1"/>
  <c r="C39" i="2" s="1"/>
  <c r="Y40" i="1"/>
  <c r="X40" i="1"/>
  <c r="AY39" i="1"/>
  <c r="AQ39" i="1"/>
  <c r="AW39" i="1" s="1"/>
  <c r="AI39" i="1"/>
  <c r="I38" i="2" s="1"/>
  <c r="AH39" i="1"/>
  <c r="H38" i="2" s="1"/>
  <c r="AG39" i="1"/>
  <c r="G38" i="2" s="1"/>
  <c r="AF39" i="1"/>
  <c r="F38" i="2" s="1"/>
  <c r="AD39" i="1"/>
  <c r="D38" i="2" s="1"/>
  <c r="AC39" i="1"/>
  <c r="C38" i="2" s="1"/>
  <c r="Y39" i="1"/>
  <c r="X39" i="1"/>
  <c r="AY38" i="1"/>
  <c r="AQ38" i="1"/>
  <c r="AW38" i="1" s="1"/>
  <c r="AI38" i="1"/>
  <c r="I37" i="2" s="1"/>
  <c r="AH38" i="1"/>
  <c r="H37" i="2" s="1"/>
  <c r="AG38" i="1"/>
  <c r="G37" i="2" s="1"/>
  <c r="AF38" i="1"/>
  <c r="F37" i="2" s="1"/>
  <c r="AD38" i="1"/>
  <c r="D37" i="2" s="1"/>
  <c r="AC38" i="1"/>
  <c r="C37" i="2" s="1"/>
  <c r="Y38" i="1"/>
  <c r="X38" i="1"/>
  <c r="AY37" i="1"/>
  <c r="AQ37" i="1"/>
  <c r="AW37" i="1" s="1"/>
  <c r="AI37" i="1"/>
  <c r="I36" i="2" s="1"/>
  <c r="AH37" i="1"/>
  <c r="H36" i="2" s="1"/>
  <c r="AG37" i="1"/>
  <c r="G36" i="2" s="1"/>
  <c r="AF37" i="1"/>
  <c r="F36" i="2" s="1"/>
  <c r="AD37" i="1"/>
  <c r="D36" i="2" s="1"/>
  <c r="AC37" i="1"/>
  <c r="C36" i="2" s="1"/>
  <c r="Y37" i="1"/>
  <c r="X37" i="1"/>
  <c r="AY36" i="1"/>
  <c r="AQ36" i="1"/>
  <c r="AW36" i="1" s="1"/>
  <c r="AI36" i="1"/>
  <c r="I35" i="2" s="1"/>
  <c r="AH36" i="1"/>
  <c r="H35" i="2" s="1"/>
  <c r="AG36" i="1"/>
  <c r="G35" i="2" s="1"/>
  <c r="AF36" i="1"/>
  <c r="F35" i="2" s="1"/>
  <c r="AD36" i="1"/>
  <c r="D35" i="2" s="1"/>
  <c r="AC36" i="1"/>
  <c r="C35" i="2" s="1"/>
  <c r="Y36" i="1"/>
  <c r="X36" i="1"/>
  <c r="AY35" i="1"/>
  <c r="AQ35" i="1"/>
  <c r="AW35" i="1" s="1"/>
  <c r="AI35" i="1"/>
  <c r="I34" i="2" s="1"/>
  <c r="AH35" i="1"/>
  <c r="H34" i="2" s="1"/>
  <c r="AG35" i="1"/>
  <c r="G34" i="2" s="1"/>
  <c r="AF35" i="1"/>
  <c r="F34" i="2" s="1"/>
  <c r="AD35" i="1"/>
  <c r="D34" i="2" s="1"/>
  <c r="AC35" i="1"/>
  <c r="C34" i="2" s="1"/>
  <c r="Y35" i="1"/>
  <c r="X35" i="1"/>
  <c r="AY34" i="1"/>
  <c r="AQ34" i="1"/>
  <c r="AW34" i="1" s="1"/>
  <c r="AI34" i="1"/>
  <c r="I33" i="2" s="1"/>
  <c r="AH34" i="1"/>
  <c r="H33" i="2" s="1"/>
  <c r="AG34" i="1"/>
  <c r="G33" i="2" s="1"/>
  <c r="AF34" i="1"/>
  <c r="F33" i="2" s="1"/>
  <c r="AD34" i="1"/>
  <c r="D33" i="2" s="1"/>
  <c r="AC34" i="1"/>
  <c r="C33" i="2" s="1"/>
  <c r="Y34" i="1"/>
  <c r="X34" i="1"/>
  <c r="AY33" i="1"/>
  <c r="AQ33" i="1"/>
  <c r="AW33" i="1" s="1"/>
  <c r="AI33" i="1"/>
  <c r="I32" i="2" s="1"/>
  <c r="AH33" i="1"/>
  <c r="H32" i="2" s="1"/>
  <c r="AG33" i="1"/>
  <c r="G32" i="2" s="1"/>
  <c r="AF33" i="1"/>
  <c r="F32" i="2" s="1"/>
  <c r="AD33" i="1"/>
  <c r="D32" i="2" s="1"/>
  <c r="AC33" i="1"/>
  <c r="C32" i="2" s="1"/>
  <c r="Y33" i="1"/>
  <c r="X33" i="1"/>
  <c r="AY32" i="1"/>
  <c r="AQ32" i="1"/>
  <c r="AW32" i="1" s="1"/>
  <c r="AI32" i="1"/>
  <c r="I31" i="2" s="1"/>
  <c r="AH32" i="1"/>
  <c r="H31" i="2" s="1"/>
  <c r="AG32" i="1"/>
  <c r="G31" i="2" s="1"/>
  <c r="AF32" i="1"/>
  <c r="F31" i="2" s="1"/>
  <c r="AD32" i="1"/>
  <c r="D31" i="2" s="1"/>
  <c r="AC32" i="1"/>
  <c r="C31" i="2" s="1"/>
  <c r="Y32" i="1"/>
  <c r="X32" i="1"/>
  <c r="AY31" i="1"/>
  <c r="AQ31" i="1"/>
  <c r="AW31" i="1" s="1"/>
  <c r="AI31" i="1"/>
  <c r="I30" i="2" s="1"/>
  <c r="AH31" i="1"/>
  <c r="H30" i="2" s="1"/>
  <c r="AG31" i="1"/>
  <c r="G30" i="2" s="1"/>
  <c r="AF31" i="1"/>
  <c r="F30" i="2" s="1"/>
  <c r="AD31" i="1"/>
  <c r="D30" i="2" s="1"/>
  <c r="AC31" i="1"/>
  <c r="C30" i="2" s="1"/>
  <c r="Y31" i="1"/>
  <c r="X31" i="1"/>
  <c r="AY30" i="1"/>
  <c r="AQ30" i="1"/>
  <c r="AW30" i="1" s="1"/>
  <c r="AI30" i="1"/>
  <c r="I29" i="2" s="1"/>
  <c r="AH30" i="1"/>
  <c r="H29" i="2" s="1"/>
  <c r="AG30" i="1"/>
  <c r="G29" i="2" s="1"/>
  <c r="AF30" i="1"/>
  <c r="F29" i="2" s="1"/>
  <c r="AD30" i="1"/>
  <c r="D29" i="2" s="1"/>
  <c r="AC30" i="1"/>
  <c r="C29" i="2" s="1"/>
  <c r="Y30" i="1"/>
  <c r="X30" i="1"/>
  <c r="AY29" i="1"/>
  <c r="AQ29" i="1"/>
  <c r="AW29" i="1" s="1"/>
  <c r="AI29" i="1"/>
  <c r="I28" i="2" s="1"/>
  <c r="AH29" i="1"/>
  <c r="H28" i="2" s="1"/>
  <c r="AG29" i="1"/>
  <c r="G28" i="2" s="1"/>
  <c r="AF29" i="1"/>
  <c r="F28" i="2" s="1"/>
  <c r="AD29" i="1"/>
  <c r="D28" i="2" s="1"/>
  <c r="AC29" i="1"/>
  <c r="C28" i="2" s="1"/>
  <c r="Y29" i="1"/>
  <c r="X29" i="1"/>
  <c r="AY28" i="1"/>
  <c r="AQ28" i="1"/>
  <c r="AW28" i="1" s="1"/>
  <c r="AI28" i="1"/>
  <c r="I27" i="2" s="1"/>
  <c r="AH28" i="1"/>
  <c r="H27" i="2" s="1"/>
  <c r="AG28" i="1"/>
  <c r="G27" i="2" s="1"/>
  <c r="AF28" i="1"/>
  <c r="F27" i="2" s="1"/>
  <c r="AD28" i="1"/>
  <c r="D27" i="2" s="1"/>
  <c r="AC28" i="1"/>
  <c r="C27" i="2" s="1"/>
  <c r="Y28" i="1"/>
  <c r="X28" i="1"/>
  <c r="BB27" i="1"/>
  <c r="AY27" i="1"/>
  <c r="AQ27" i="1"/>
  <c r="AW27" i="1" s="1"/>
  <c r="AI27" i="1"/>
  <c r="I26" i="2" s="1"/>
  <c r="AH27" i="1"/>
  <c r="H26" i="2" s="1"/>
  <c r="AG27" i="1"/>
  <c r="G26" i="2" s="1"/>
  <c r="AF27" i="1"/>
  <c r="F26" i="2" s="1"/>
  <c r="AD27" i="1"/>
  <c r="D26" i="2" s="1"/>
  <c r="AC27" i="1"/>
  <c r="C26" i="2" s="1"/>
  <c r="Y27" i="1"/>
  <c r="X27" i="1"/>
  <c r="BC26" i="1"/>
  <c r="AY26" i="1"/>
  <c r="AQ26" i="1"/>
  <c r="AW26" i="1" s="1"/>
  <c r="AI26" i="1"/>
  <c r="I25" i="2" s="1"/>
  <c r="AH26" i="1"/>
  <c r="H25" i="2" s="1"/>
  <c r="AG26" i="1"/>
  <c r="G25" i="2" s="1"/>
  <c r="AF26" i="1"/>
  <c r="F25" i="2" s="1"/>
  <c r="AD26" i="1"/>
  <c r="D25" i="2" s="1"/>
  <c r="AC26" i="1"/>
  <c r="C25" i="2" s="1"/>
  <c r="Y26" i="1"/>
  <c r="X26" i="1"/>
  <c r="BC25" i="1"/>
  <c r="BB25" i="1"/>
  <c r="AY25" i="1"/>
  <c r="AQ25" i="1"/>
  <c r="AW25" i="1" s="1"/>
  <c r="AI25" i="1"/>
  <c r="I24" i="2" s="1"/>
  <c r="AH25" i="1"/>
  <c r="H24" i="2" s="1"/>
  <c r="AG25" i="1"/>
  <c r="G24" i="2" s="1"/>
  <c r="AF25" i="1"/>
  <c r="F24" i="2" s="1"/>
  <c r="AD25" i="1"/>
  <c r="D24" i="2" s="1"/>
  <c r="AC25" i="1"/>
  <c r="C24" i="2" s="1"/>
  <c r="Y25" i="1"/>
  <c r="X25" i="1"/>
  <c r="BC24" i="1"/>
  <c r="BB24" i="1"/>
  <c r="AY24" i="1"/>
  <c r="AQ24" i="1"/>
  <c r="AW24" i="1" s="1"/>
  <c r="AI24" i="1"/>
  <c r="I23" i="2" s="1"/>
  <c r="AH24" i="1"/>
  <c r="H23" i="2" s="1"/>
  <c r="AG24" i="1"/>
  <c r="G23" i="2" s="1"/>
  <c r="AF24" i="1"/>
  <c r="F23" i="2" s="1"/>
  <c r="AD24" i="1"/>
  <c r="D23" i="2" s="1"/>
  <c r="AC24" i="1"/>
  <c r="C23" i="2" s="1"/>
  <c r="Y24" i="1"/>
  <c r="X24" i="1"/>
  <c r="BC23" i="1"/>
  <c r="BB23" i="1"/>
  <c r="AY23" i="1"/>
  <c r="AQ23" i="1"/>
  <c r="AW23" i="1" s="1"/>
  <c r="AI23" i="1"/>
  <c r="I22" i="2" s="1"/>
  <c r="AH23" i="1"/>
  <c r="H22" i="2" s="1"/>
  <c r="AG23" i="1"/>
  <c r="G22" i="2" s="1"/>
  <c r="AF23" i="1"/>
  <c r="F22" i="2" s="1"/>
  <c r="AD23" i="1"/>
  <c r="D22" i="2" s="1"/>
  <c r="AC23" i="1"/>
  <c r="C22" i="2" s="1"/>
  <c r="Y23" i="1"/>
  <c r="X23" i="1"/>
  <c r="BC22" i="1"/>
  <c r="BB22" i="1"/>
  <c r="AY22" i="1"/>
  <c r="AQ22" i="1"/>
  <c r="AW22" i="1" s="1"/>
  <c r="AI22" i="1"/>
  <c r="I21" i="2" s="1"/>
  <c r="AH22" i="1"/>
  <c r="H21" i="2" s="1"/>
  <c r="AG22" i="1"/>
  <c r="G21" i="2" s="1"/>
  <c r="AF22" i="1"/>
  <c r="F21" i="2" s="1"/>
  <c r="AD22" i="1"/>
  <c r="D21" i="2" s="1"/>
  <c r="AC22" i="1"/>
  <c r="C21" i="2" s="1"/>
  <c r="Y22" i="1"/>
  <c r="X22" i="1"/>
  <c r="BC21" i="1"/>
  <c r="BB21" i="1"/>
  <c r="AY21" i="1"/>
  <c r="AQ21" i="1"/>
  <c r="AW21" i="1" s="1"/>
  <c r="AI21" i="1"/>
  <c r="I20" i="2" s="1"/>
  <c r="AH21" i="1"/>
  <c r="H20" i="2" s="1"/>
  <c r="AG21" i="1"/>
  <c r="G20" i="2" s="1"/>
  <c r="AF21" i="1"/>
  <c r="F20" i="2" s="1"/>
  <c r="AD21" i="1"/>
  <c r="D20" i="2" s="1"/>
  <c r="AC21" i="1"/>
  <c r="C20" i="2" s="1"/>
  <c r="Y21" i="1"/>
  <c r="X21" i="1"/>
  <c r="BC20" i="1"/>
  <c r="BB20" i="1"/>
  <c r="AY20" i="1"/>
  <c r="AQ20" i="1"/>
  <c r="AW20" i="1" s="1"/>
  <c r="AI20" i="1"/>
  <c r="I19" i="2" s="1"/>
  <c r="AH20" i="1"/>
  <c r="H19" i="2" s="1"/>
  <c r="AG20" i="1"/>
  <c r="G19" i="2" s="1"/>
  <c r="AF20" i="1"/>
  <c r="F19" i="2" s="1"/>
  <c r="AD20" i="1"/>
  <c r="D19" i="2" s="1"/>
  <c r="AC20" i="1"/>
  <c r="C19" i="2" s="1"/>
  <c r="Y20" i="1"/>
  <c r="X20" i="1"/>
  <c r="BC19" i="1"/>
  <c r="BB19" i="1"/>
  <c r="AY19" i="1"/>
  <c r="AQ19" i="1"/>
  <c r="AW19" i="1" s="1"/>
  <c r="AI19" i="1"/>
  <c r="I18" i="2" s="1"/>
  <c r="AH19" i="1"/>
  <c r="H18" i="2" s="1"/>
  <c r="AG19" i="1"/>
  <c r="G18" i="2" s="1"/>
  <c r="AF19" i="1"/>
  <c r="F18" i="2" s="1"/>
  <c r="AD19" i="1"/>
  <c r="D18" i="2" s="1"/>
  <c r="AC19" i="1"/>
  <c r="C18" i="2" s="1"/>
  <c r="Y19" i="1"/>
  <c r="X19" i="1"/>
  <c r="BC18" i="1"/>
  <c r="BB18" i="1"/>
  <c r="AY18" i="1"/>
  <c r="AQ18" i="1"/>
  <c r="AW18" i="1" s="1"/>
  <c r="AI18" i="1"/>
  <c r="I17" i="2" s="1"/>
  <c r="AH18" i="1"/>
  <c r="H17" i="2" s="1"/>
  <c r="AG18" i="1"/>
  <c r="G17" i="2" s="1"/>
  <c r="AF18" i="1"/>
  <c r="F17" i="2" s="1"/>
  <c r="AD18" i="1"/>
  <c r="D17" i="2" s="1"/>
  <c r="AC18" i="1"/>
  <c r="C17" i="2" s="1"/>
  <c r="Y18" i="1"/>
  <c r="X18" i="1"/>
  <c r="BC17" i="1"/>
  <c r="BB17" i="1"/>
  <c r="AY17" i="1"/>
  <c r="AQ17" i="1"/>
  <c r="AW17" i="1" s="1"/>
  <c r="AI17" i="1"/>
  <c r="I16" i="2" s="1"/>
  <c r="AH17" i="1"/>
  <c r="H16" i="2" s="1"/>
  <c r="AG17" i="1"/>
  <c r="G16" i="2" s="1"/>
  <c r="AF17" i="1"/>
  <c r="F16" i="2" s="1"/>
  <c r="AD17" i="1"/>
  <c r="D16" i="2" s="1"/>
  <c r="AC17" i="1"/>
  <c r="C16" i="2" s="1"/>
  <c r="Y17" i="1"/>
  <c r="X17" i="1"/>
  <c r="BC16" i="1"/>
  <c r="BB16" i="1"/>
  <c r="AY16" i="1"/>
  <c r="AQ16" i="1"/>
  <c r="AW16" i="1" s="1"/>
  <c r="AI16" i="1"/>
  <c r="I15" i="2" s="1"/>
  <c r="AH16" i="1"/>
  <c r="H15" i="2" s="1"/>
  <c r="AG16" i="1"/>
  <c r="G15" i="2" s="1"/>
  <c r="AF16" i="1"/>
  <c r="F15" i="2" s="1"/>
  <c r="AD16" i="1"/>
  <c r="D15" i="2" s="1"/>
  <c r="AC16" i="1"/>
  <c r="C15" i="2" s="1"/>
  <c r="Y16" i="1"/>
  <c r="X16" i="1"/>
  <c r="BC15" i="1"/>
  <c r="BB15" i="1"/>
  <c r="AY15" i="1"/>
  <c r="AQ15" i="1"/>
  <c r="AW15" i="1" s="1"/>
  <c r="AI15" i="1"/>
  <c r="I14" i="2" s="1"/>
  <c r="AH15" i="1"/>
  <c r="H14" i="2" s="1"/>
  <c r="AG15" i="1"/>
  <c r="G14" i="2" s="1"/>
  <c r="AF15" i="1"/>
  <c r="F14" i="2" s="1"/>
  <c r="AD15" i="1"/>
  <c r="D14" i="2" s="1"/>
  <c r="AC15" i="1"/>
  <c r="C14" i="2" s="1"/>
  <c r="Y15" i="1"/>
  <c r="X15" i="1"/>
  <c r="BC14" i="1"/>
  <c r="BB14" i="1"/>
  <c r="AY14" i="1"/>
  <c r="AQ14" i="1"/>
  <c r="AW14" i="1" s="1"/>
  <c r="AI14" i="1"/>
  <c r="I13" i="2" s="1"/>
  <c r="AH14" i="1"/>
  <c r="H13" i="2" s="1"/>
  <c r="AG14" i="1"/>
  <c r="G13" i="2" s="1"/>
  <c r="AF14" i="1"/>
  <c r="F13" i="2" s="1"/>
  <c r="AD14" i="1"/>
  <c r="D13" i="2" s="1"/>
  <c r="AC14" i="1"/>
  <c r="C13" i="2" s="1"/>
  <c r="Y14" i="1"/>
  <c r="X14" i="1"/>
  <c r="BC13" i="1"/>
  <c r="BB13" i="1"/>
  <c r="AY13" i="1"/>
  <c r="AQ13" i="1"/>
  <c r="AW13" i="1" s="1"/>
  <c r="AI13" i="1"/>
  <c r="I12" i="2" s="1"/>
  <c r="AH13" i="1"/>
  <c r="H12" i="2" s="1"/>
  <c r="AG13" i="1"/>
  <c r="G12" i="2" s="1"/>
  <c r="AF13" i="1"/>
  <c r="F12" i="2" s="1"/>
  <c r="AD13" i="1"/>
  <c r="D12" i="2" s="1"/>
  <c r="AC13" i="1"/>
  <c r="C12" i="2" s="1"/>
  <c r="Y13" i="1"/>
  <c r="X13" i="1"/>
  <c r="BC12" i="1"/>
  <c r="BB12" i="1"/>
  <c r="AY12" i="1"/>
  <c r="AQ12" i="1"/>
  <c r="AW12" i="1" s="1"/>
  <c r="AI12" i="1"/>
  <c r="I11" i="2" s="1"/>
  <c r="AH12" i="1"/>
  <c r="H11" i="2" s="1"/>
  <c r="AG12" i="1"/>
  <c r="G11" i="2" s="1"/>
  <c r="AF12" i="1"/>
  <c r="F11" i="2" s="1"/>
  <c r="AD12" i="1"/>
  <c r="D11" i="2" s="1"/>
  <c r="AC12" i="1"/>
  <c r="C11" i="2" s="1"/>
  <c r="Y12" i="1"/>
  <c r="X12" i="1"/>
  <c r="BC11" i="1"/>
  <c r="BB11" i="1"/>
  <c r="AY11" i="1"/>
  <c r="AQ11" i="1"/>
  <c r="AW11" i="1" s="1"/>
  <c r="AI11" i="1"/>
  <c r="I10" i="2" s="1"/>
  <c r="AH11" i="1"/>
  <c r="H10" i="2" s="1"/>
  <c r="AG11" i="1"/>
  <c r="G10" i="2" s="1"/>
  <c r="AF11" i="1"/>
  <c r="F10" i="2" s="1"/>
  <c r="AD11" i="1"/>
  <c r="D10" i="2" s="1"/>
  <c r="AC11" i="1"/>
  <c r="C10" i="2" s="1"/>
  <c r="Y11" i="1"/>
  <c r="X11" i="1"/>
  <c r="BC10" i="1"/>
  <c r="BB10" i="1"/>
  <c r="AY10" i="1"/>
  <c r="AQ10" i="1"/>
  <c r="AW10" i="1" s="1"/>
  <c r="AI10" i="1"/>
  <c r="I9" i="2" s="1"/>
  <c r="AH10" i="1"/>
  <c r="H9" i="2" s="1"/>
  <c r="AG10" i="1"/>
  <c r="G9" i="2" s="1"/>
  <c r="AF10" i="1"/>
  <c r="F9" i="2" s="1"/>
  <c r="AD10" i="1"/>
  <c r="D9" i="2" s="1"/>
  <c r="AC10" i="1"/>
  <c r="C9" i="2" s="1"/>
  <c r="Y10" i="1"/>
  <c r="X10" i="1"/>
  <c r="BC9" i="1"/>
  <c r="BB9" i="1"/>
  <c r="AY9" i="1"/>
  <c r="AQ9" i="1"/>
  <c r="AW9" i="1" s="1"/>
  <c r="AI9" i="1"/>
  <c r="I8" i="2" s="1"/>
  <c r="AH9" i="1"/>
  <c r="H8" i="2" s="1"/>
  <c r="AG9" i="1"/>
  <c r="G8" i="2" s="1"/>
  <c r="AF9" i="1"/>
  <c r="F8" i="2" s="1"/>
  <c r="AD9" i="1"/>
  <c r="D8" i="2" s="1"/>
  <c r="AC9" i="1"/>
  <c r="C8" i="2" s="1"/>
  <c r="Y9" i="1"/>
  <c r="X9" i="1"/>
  <c r="BC8" i="1"/>
  <c r="BB8" i="1"/>
  <c r="AY8" i="1"/>
  <c r="AQ8" i="1"/>
  <c r="AW8" i="1" s="1"/>
  <c r="AI8" i="1"/>
  <c r="I7" i="2" s="1"/>
  <c r="AH8" i="1"/>
  <c r="H7" i="2" s="1"/>
  <c r="AG8" i="1"/>
  <c r="G7" i="2" s="1"/>
  <c r="AF8" i="1"/>
  <c r="F7" i="2" s="1"/>
  <c r="AD8" i="1"/>
  <c r="D7" i="2" s="1"/>
  <c r="AC8" i="1"/>
  <c r="C7" i="2" s="1"/>
  <c r="Y8" i="1"/>
  <c r="X8" i="1"/>
  <c r="BC7" i="1"/>
  <c r="BB7" i="1"/>
  <c r="AY7" i="1"/>
  <c r="AQ7" i="1"/>
  <c r="AW7" i="1" s="1"/>
  <c r="AI7" i="1"/>
  <c r="I6" i="2" s="1"/>
  <c r="AH7" i="1"/>
  <c r="H6" i="2" s="1"/>
  <c r="AG7" i="1"/>
  <c r="G6" i="2" s="1"/>
  <c r="AF7" i="1"/>
  <c r="F6" i="2" s="1"/>
  <c r="AD7" i="1"/>
  <c r="D6" i="2" s="1"/>
  <c r="AC7" i="1"/>
  <c r="C6" i="2" s="1"/>
  <c r="Y7" i="1"/>
  <c r="X7" i="1"/>
  <c r="BC6" i="1"/>
  <c r="BB6" i="1"/>
  <c r="AY6" i="1"/>
  <c r="AQ6" i="1"/>
  <c r="AW6" i="1" s="1"/>
  <c r="AI6" i="1"/>
  <c r="I5" i="2" s="1"/>
  <c r="AH6" i="1"/>
  <c r="H5" i="2" s="1"/>
  <c r="AG6" i="1"/>
  <c r="G5" i="2" s="1"/>
  <c r="AF6" i="1"/>
  <c r="F5" i="2" s="1"/>
  <c r="AD6" i="1"/>
  <c r="D5" i="2" s="1"/>
  <c r="AC6" i="1"/>
  <c r="C5" i="2" s="1"/>
  <c r="Y6" i="1"/>
  <c r="X6" i="1"/>
  <c r="BC5" i="1"/>
  <c r="AY5" i="1"/>
  <c r="AQ5" i="1"/>
  <c r="AW5" i="1" s="1"/>
  <c r="AI5" i="1"/>
  <c r="I4" i="2" s="1"/>
  <c r="AH5" i="1"/>
  <c r="H4" i="2" s="1"/>
  <c r="AG5" i="1"/>
  <c r="G4" i="2" s="1"/>
  <c r="AF5" i="1"/>
  <c r="F4" i="2" s="1"/>
  <c r="AD5" i="1"/>
  <c r="D4" i="2" s="1"/>
  <c r="AC5" i="1"/>
  <c r="C4" i="2" s="1"/>
  <c r="Y5" i="1"/>
  <c r="X5" i="1"/>
  <c r="AQ4" i="1"/>
  <c r="AW4" i="1" s="1"/>
  <c r="AI4" i="1"/>
  <c r="I3" i="2" s="1"/>
  <c r="AH4" i="1"/>
  <c r="H3" i="2" s="1"/>
  <c r="AG4" i="1"/>
  <c r="G3" i="2" s="1"/>
  <c r="AF4" i="1"/>
  <c r="F3" i="2" s="1"/>
  <c r="Y4" i="1"/>
  <c r="X4" i="1"/>
  <c r="AJ45" i="1" l="1"/>
  <c r="AJ57" i="1"/>
  <c r="AM17" i="1"/>
  <c r="AO17" i="1" s="1"/>
  <c r="AA17" i="1" s="1"/>
  <c r="AJ14" i="1"/>
  <c r="AL14" i="1" s="1"/>
  <c r="K13" i="2" s="1"/>
  <c r="AJ13" i="1"/>
  <c r="AJ36" i="1"/>
  <c r="AJ39" i="1"/>
  <c r="AL39" i="1" s="1"/>
  <c r="K38" i="2" s="1"/>
  <c r="AJ42" i="1"/>
  <c r="AJ52" i="1"/>
  <c r="AM62" i="1"/>
  <c r="AO62" i="1" s="1"/>
  <c r="AA62" i="1" s="1"/>
  <c r="AJ22" i="1"/>
  <c r="AJ66" i="1"/>
  <c r="AJ69" i="1"/>
  <c r="AJ21" i="1"/>
  <c r="AJ53" i="1"/>
  <c r="AJ50" i="1"/>
  <c r="AL50" i="1" s="1"/>
  <c r="K49" i="2" s="1"/>
  <c r="AJ67" i="1"/>
  <c r="AJ70" i="1"/>
  <c r="AJ71" i="1"/>
  <c r="AJ74" i="1"/>
  <c r="AJ27" i="1"/>
  <c r="AJ30" i="1"/>
  <c r="AJ47" i="1"/>
  <c r="AL47" i="1" s="1"/>
  <c r="K46" i="2" s="1"/>
  <c r="AJ61" i="1"/>
  <c r="AJ41" i="1"/>
  <c r="AJ55" i="1"/>
  <c r="AJ26" i="1"/>
  <c r="AJ49" i="1"/>
  <c r="AJ9" i="1"/>
  <c r="AJ7" i="1"/>
  <c r="AJ16" i="1"/>
  <c r="AL16" i="1" s="1"/>
  <c r="K15" i="2" s="1"/>
  <c r="AM22" i="1"/>
  <c r="AO22" i="1" s="1"/>
  <c r="AA22" i="1" s="1"/>
  <c r="AJ25" i="1"/>
  <c r="AJ29" i="1"/>
  <c r="AJ43" i="1"/>
  <c r="AJ46" i="1"/>
  <c r="AL46" i="1" s="1"/>
  <c r="K45" i="2" s="1"/>
  <c r="AJ63" i="1"/>
  <c r="AM69" i="1"/>
  <c r="AO69" i="1" s="1"/>
  <c r="AA69" i="1" s="1"/>
  <c r="AJ10" i="1"/>
  <c r="AJ4" i="1"/>
  <c r="AL4" i="1" s="1"/>
  <c r="K3" i="2" s="1"/>
  <c r="AM6" i="1"/>
  <c r="AO6" i="1" s="1"/>
  <c r="AA6" i="1" s="1"/>
  <c r="AM8" i="1"/>
  <c r="AO8" i="1" s="1"/>
  <c r="AA8" i="1" s="1"/>
  <c r="AM14" i="1"/>
  <c r="AO14" i="1" s="1"/>
  <c r="AA14" i="1" s="1"/>
  <c r="AJ15" i="1"/>
  <c r="AJ23" i="1"/>
  <c r="AJ59" i="1"/>
  <c r="AL59" i="1" s="1"/>
  <c r="K58" i="2" s="1"/>
  <c r="AJ17" i="1"/>
  <c r="AJ37" i="1"/>
  <c r="AJ54" i="1"/>
  <c r="AL54" i="1" s="1"/>
  <c r="K53" i="2" s="1"/>
  <c r="AJ58" i="1"/>
  <c r="AJ73" i="1"/>
  <c r="AJ34" i="1"/>
  <c r="AM45" i="1"/>
  <c r="AO45" i="1" s="1"/>
  <c r="AA45" i="1" s="1"/>
  <c r="AJ51" i="1"/>
  <c r="AL51" i="1" s="1"/>
  <c r="K50" i="2" s="1"/>
  <c r="AJ62" i="1"/>
  <c r="AM25" i="1"/>
  <c r="AO25" i="1" s="1"/>
  <c r="AA25" i="1" s="1"/>
  <c r="AJ75" i="1"/>
  <c r="AJ32" i="1"/>
  <c r="AJ48" i="1"/>
  <c r="AJ72" i="1"/>
  <c r="AL72" i="1" s="1"/>
  <c r="K71" i="2" s="1"/>
  <c r="AJ38" i="1"/>
  <c r="AM4" i="1"/>
  <c r="AO4" i="1" s="1"/>
  <c r="AA4" i="1" s="1"/>
  <c r="L3" i="2" s="1"/>
  <c r="AM10" i="1"/>
  <c r="AO10" i="1" s="1"/>
  <c r="AA10" i="1" s="1"/>
  <c r="AJ12" i="1"/>
  <c r="AL12" i="1" s="1"/>
  <c r="K11" i="2" s="1"/>
  <c r="AJ35" i="1"/>
  <c r="AL35" i="1" s="1"/>
  <c r="K34" i="2" s="1"/>
  <c r="AM65" i="1"/>
  <c r="AO65" i="1" s="1"/>
  <c r="AA65" i="1" s="1"/>
  <c r="AJ68" i="1"/>
  <c r="AM9" i="1"/>
  <c r="AO9" i="1" s="1"/>
  <c r="AA9" i="1" s="1"/>
  <c r="AJ11" i="1"/>
  <c r="AJ24" i="1"/>
  <c r="AL24" i="1" s="1"/>
  <c r="K23" i="2" s="1"/>
  <c r="AJ44" i="1"/>
  <c r="AM58" i="1"/>
  <c r="AO58" i="1" s="1"/>
  <c r="AA58" i="1" s="1"/>
  <c r="AM60" i="1"/>
  <c r="AO60" i="1" s="1"/>
  <c r="AA60" i="1" s="1"/>
  <c r="AM64" i="1"/>
  <c r="AO64" i="1" s="1"/>
  <c r="AA64" i="1" s="1"/>
  <c r="AJ64" i="1"/>
  <c r="AJ33" i="1"/>
  <c r="AL33" i="1" s="1"/>
  <c r="K32" i="2" s="1"/>
  <c r="AM18" i="1"/>
  <c r="AO18" i="1" s="1"/>
  <c r="AA18" i="1" s="1"/>
  <c r="AJ20" i="1"/>
  <c r="AL20" i="1" s="1"/>
  <c r="K19" i="2" s="1"/>
  <c r="AJ8" i="1"/>
  <c r="AJ19" i="1"/>
  <c r="AM24" i="1"/>
  <c r="AO24" i="1" s="1"/>
  <c r="AA24" i="1" s="1"/>
  <c r="AJ28" i="1"/>
  <c r="AM34" i="1"/>
  <c r="AO34" i="1" s="1"/>
  <c r="AA34" i="1" s="1"/>
  <c r="AJ40" i="1"/>
  <c r="AJ60" i="1"/>
  <c r="AJ65" i="1"/>
  <c r="AJ31" i="1"/>
  <c r="AL31" i="1" s="1"/>
  <c r="K30" i="2" s="1"/>
  <c r="AJ18" i="1"/>
  <c r="AL18" i="1" s="1"/>
  <c r="K17" i="2" s="1"/>
  <c r="AJ6" i="1"/>
  <c r="AJ56" i="1"/>
  <c r="AJ5" i="1"/>
  <c r="AM53" i="1"/>
  <c r="AO53" i="1" s="1"/>
  <c r="AA53" i="1" s="1"/>
  <c r="AM16" i="1"/>
  <c r="AO16" i="1" s="1"/>
  <c r="AA16" i="1" s="1"/>
  <c r="AM40" i="1"/>
  <c r="AO40" i="1" s="1"/>
  <c r="AA40" i="1" s="1"/>
  <c r="AM48" i="1"/>
  <c r="AO48" i="1" s="1"/>
  <c r="AA48" i="1" s="1"/>
  <c r="AM36" i="1"/>
  <c r="AO36" i="1" s="1"/>
  <c r="AA36" i="1" s="1"/>
  <c r="AM61" i="1"/>
  <c r="AO61" i="1" s="1"/>
  <c r="AA61" i="1" s="1"/>
  <c r="BE64" i="1"/>
  <c r="AM42" i="1"/>
  <c r="AO42" i="1" s="1"/>
  <c r="AA42" i="1" s="1"/>
  <c r="AM21" i="1"/>
  <c r="AO21" i="1" s="1"/>
  <c r="AA21" i="1" s="1"/>
  <c r="AM57" i="1"/>
  <c r="AO57" i="1" s="1"/>
  <c r="AA57" i="1" s="1"/>
  <c r="AM49" i="1"/>
  <c r="AO49" i="1" s="1"/>
  <c r="AA49" i="1" s="1"/>
  <c r="AM13" i="1"/>
  <c r="AO13" i="1" s="1"/>
  <c r="AA13" i="1" s="1"/>
  <c r="AM12" i="1"/>
  <c r="AO12" i="1" s="1"/>
  <c r="AA12" i="1" s="1"/>
  <c r="AM20" i="1"/>
  <c r="AO20" i="1" s="1"/>
  <c r="AA20" i="1" s="1"/>
  <c r="AM32" i="1"/>
  <c r="AO32" i="1" s="1"/>
  <c r="AA32" i="1" s="1"/>
  <c r="AM5" i="1"/>
  <c r="AO5" i="1" s="1"/>
  <c r="AA5" i="1" s="1"/>
  <c r="AM44" i="1"/>
  <c r="AO44" i="1" s="1"/>
  <c r="AA44" i="1" s="1"/>
  <c r="AM52" i="1"/>
  <c r="AO52" i="1" s="1"/>
  <c r="AA52" i="1" s="1"/>
  <c r="AM38" i="1"/>
  <c r="AO38" i="1" s="1"/>
  <c r="AA38" i="1" s="1"/>
  <c r="AM68" i="1"/>
  <c r="AO68" i="1" s="1"/>
  <c r="AA68" i="1" s="1"/>
  <c r="AM75" i="1"/>
  <c r="AO75" i="1" s="1"/>
  <c r="AA75" i="1" s="1"/>
  <c r="AM56" i="1"/>
  <c r="AO56" i="1" s="1"/>
  <c r="AA56" i="1" s="1"/>
  <c r="BE65" i="1"/>
  <c r="AM15" i="1"/>
  <c r="AO15" i="1" s="1"/>
  <c r="AA15" i="1" s="1"/>
  <c r="AM29" i="1"/>
  <c r="AO29" i="1" s="1"/>
  <c r="AA29" i="1" s="1"/>
  <c r="AM30" i="1"/>
  <c r="AO30" i="1" s="1"/>
  <c r="AA30" i="1" s="1"/>
  <c r="AM7" i="1"/>
  <c r="AO7" i="1" s="1"/>
  <c r="AA7" i="1" s="1"/>
  <c r="AM11" i="1"/>
  <c r="AO11" i="1" s="1"/>
  <c r="AA11" i="1" s="1"/>
  <c r="AM23" i="1"/>
  <c r="AO23" i="1" s="1"/>
  <c r="AA23" i="1" s="1"/>
  <c r="AM27" i="1"/>
  <c r="AO27" i="1" s="1"/>
  <c r="AA27" i="1" s="1"/>
  <c r="AM26" i="1"/>
  <c r="AO26" i="1" s="1"/>
  <c r="AA26" i="1" s="1"/>
  <c r="AM19" i="1"/>
  <c r="AO19" i="1" s="1"/>
  <c r="AA19" i="1" s="1"/>
  <c r="AM28" i="1"/>
  <c r="AO28" i="1" s="1"/>
  <c r="AA28" i="1" s="1"/>
  <c r="BE71" i="1"/>
  <c r="AM71" i="1"/>
  <c r="AO71" i="1" s="1"/>
  <c r="AA71" i="1" s="1"/>
  <c r="AL55" i="1"/>
  <c r="K54" i="2" s="1"/>
  <c r="AL22" i="1"/>
  <c r="K21" i="2" s="1"/>
  <c r="AM46" i="1"/>
  <c r="AO46" i="1" s="1"/>
  <c r="AA46" i="1" s="1"/>
  <c r="AM50" i="1"/>
  <c r="AO50" i="1" s="1"/>
  <c r="AA50" i="1" s="1"/>
  <c r="AM54" i="1"/>
  <c r="AO54" i="1" s="1"/>
  <c r="AA54" i="1" s="1"/>
  <c r="AM66" i="1"/>
  <c r="AO66" i="1" s="1"/>
  <c r="AA66" i="1" s="1"/>
  <c r="AM70" i="1"/>
  <c r="AO70" i="1" s="1"/>
  <c r="AA70" i="1" s="1"/>
  <c r="AM31" i="1"/>
  <c r="AO31" i="1" s="1"/>
  <c r="AA31" i="1" s="1"/>
  <c r="AM33" i="1"/>
  <c r="AO33" i="1" s="1"/>
  <c r="AA33" i="1" s="1"/>
  <c r="AM35" i="1"/>
  <c r="AO35" i="1" s="1"/>
  <c r="AA35" i="1" s="1"/>
  <c r="AM37" i="1"/>
  <c r="AO37" i="1" s="1"/>
  <c r="AA37" i="1" s="1"/>
  <c r="AM39" i="1"/>
  <c r="AO39" i="1" s="1"/>
  <c r="AA39" i="1" s="1"/>
  <c r="AM41" i="1"/>
  <c r="AO41" i="1" s="1"/>
  <c r="AA41" i="1" s="1"/>
  <c r="AM43" i="1"/>
  <c r="AO43" i="1" s="1"/>
  <c r="AA43" i="1" s="1"/>
  <c r="BE44" i="1"/>
  <c r="AM47" i="1"/>
  <c r="AO47" i="1" s="1"/>
  <c r="AA47" i="1" s="1"/>
  <c r="AM51" i="1"/>
  <c r="AO51" i="1" s="1"/>
  <c r="AA51" i="1" s="1"/>
  <c r="AM55" i="1"/>
  <c r="AO55" i="1" s="1"/>
  <c r="AA55" i="1" s="1"/>
  <c r="BE58" i="1"/>
  <c r="AM59" i="1"/>
  <c r="AO59" i="1" s="1"/>
  <c r="AA59" i="1" s="1"/>
  <c r="AM63" i="1"/>
  <c r="AO63" i="1" s="1"/>
  <c r="AA63" i="1" s="1"/>
  <c r="AM67" i="1"/>
  <c r="AO67" i="1" s="1"/>
  <c r="AA67" i="1" s="1"/>
  <c r="AM73" i="1"/>
  <c r="AO73" i="1" s="1"/>
  <c r="AA73" i="1" s="1"/>
  <c r="AM74" i="1"/>
  <c r="AO74" i="1" s="1"/>
  <c r="AA74" i="1" s="1"/>
  <c r="AM72" i="1"/>
  <c r="AO72" i="1" s="1"/>
  <c r="AA72" i="1" s="1"/>
  <c r="BE18" i="1" l="1"/>
  <c r="BE35" i="1"/>
  <c r="BE46" i="1"/>
  <c r="BE74" i="1"/>
  <c r="BE61" i="1"/>
  <c r="BE50" i="1"/>
  <c r="BE14" i="1"/>
  <c r="BE34" i="1"/>
  <c r="Z14" i="1"/>
  <c r="M13" i="2" s="1"/>
  <c r="BE19" i="1"/>
  <c r="BE63" i="1"/>
  <c r="BE66" i="1"/>
  <c r="BE45" i="1"/>
  <c r="BE33" i="1"/>
  <c r="BE72" i="1"/>
  <c r="BE54" i="1"/>
  <c r="BE56" i="1"/>
  <c r="BE60" i="1"/>
  <c r="BE16" i="1"/>
  <c r="BE21" i="1"/>
  <c r="BE53" i="1"/>
  <c r="BE22" i="1"/>
  <c r="BE48" i="1"/>
  <c r="BE28" i="1"/>
  <c r="BE8" i="1"/>
  <c r="BE36" i="1"/>
  <c r="BE4" i="1"/>
  <c r="Z18" i="1"/>
  <c r="AB18" i="1" s="1"/>
  <c r="BE30" i="1"/>
  <c r="BE40" i="1"/>
  <c r="BE38" i="1"/>
  <c r="BE31" i="1"/>
  <c r="BE42" i="1"/>
  <c r="BE32" i="1"/>
  <c r="BE17" i="1"/>
  <c r="Z4" i="1"/>
  <c r="BE13" i="1"/>
  <c r="BE10" i="1"/>
  <c r="BE52" i="1"/>
  <c r="L24" i="2"/>
  <c r="L63" i="2"/>
  <c r="L74" i="2"/>
  <c r="L59" i="2"/>
  <c r="L9" i="2"/>
  <c r="L57" i="2"/>
  <c r="L40" i="2"/>
  <c r="L11" i="2"/>
  <c r="L13" i="2"/>
  <c r="L29" i="2"/>
  <c r="L33" i="2"/>
  <c r="L31" i="2"/>
  <c r="L12" i="2"/>
  <c r="L41" i="2"/>
  <c r="L44" i="2"/>
  <c r="L61" i="2"/>
  <c r="L71" i="2"/>
  <c r="L66" i="2"/>
  <c r="L38" i="2"/>
  <c r="L49" i="2"/>
  <c r="L70" i="2"/>
  <c r="L67" i="2"/>
  <c r="L19" i="2"/>
  <c r="L60" i="2"/>
  <c r="L39" i="2"/>
  <c r="L64" i="2"/>
  <c r="L50" i="2"/>
  <c r="L36" i="2"/>
  <c r="L27" i="2"/>
  <c r="L25" i="2"/>
  <c r="L10" i="2"/>
  <c r="BE29" i="1"/>
  <c r="L8" i="2"/>
  <c r="BE49" i="1"/>
  <c r="L37" i="2"/>
  <c r="L51" i="2"/>
  <c r="L43" i="2"/>
  <c r="L48" i="2"/>
  <c r="L7" i="2"/>
  <c r="L26" i="2"/>
  <c r="BE9" i="1"/>
  <c r="L72" i="2"/>
  <c r="L69" i="2"/>
  <c r="BE12" i="1"/>
  <c r="L21" i="2"/>
  <c r="L22" i="2"/>
  <c r="L6" i="2"/>
  <c r="L55" i="2"/>
  <c r="L4" i="2"/>
  <c r="L54" i="2"/>
  <c r="L73" i="2"/>
  <c r="L62" i="2"/>
  <c r="L34" i="2"/>
  <c r="L65" i="2"/>
  <c r="L45" i="2"/>
  <c r="L23" i="2"/>
  <c r="L28" i="2"/>
  <c r="L68" i="2"/>
  <c r="L56" i="2"/>
  <c r="L35" i="2"/>
  <c r="L17" i="2"/>
  <c r="L46" i="2"/>
  <c r="L32" i="2"/>
  <c r="L18" i="2"/>
  <c r="L14" i="2"/>
  <c r="L52" i="2"/>
  <c r="BE57" i="1"/>
  <c r="L16" i="2"/>
  <c r="L15" i="2"/>
  <c r="L58" i="2"/>
  <c r="L30" i="2"/>
  <c r="BE24" i="1"/>
  <c r="L42" i="2"/>
  <c r="BE6" i="1"/>
  <c r="L53" i="2"/>
  <c r="BE25" i="1"/>
  <c r="BE23" i="1"/>
  <c r="BE7" i="1"/>
  <c r="BE62" i="1"/>
  <c r="BE5" i="1"/>
  <c r="L5" i="2"/>
  <c r="L20" i="2"/>
  <c r="L47" i="2"/>
  <c r="Z24" i="1"/>
  <c r="M23" i="2" s="1"/>
  <c r="AL43" i="1"/>
  <c r="K42" i="2" s="1"/>
  <c r="BE55" i="1"/>
  <c r="BE27" i="1"/>
  <c r="BE20" i="1"/>
  <c r="AL8" i="1"/>
  <c r="BE11" i="1"/>
  <c r="AL41" i="1"/>
  <c r="K40" i="2" s="1"/>
  <c r="AL37" i="1"/>
  <c r="BE43" i="1"/>
  <c r="BE75" i="1"/>
  <c r="BE51" i="1"/>
  <c r="AL10" i="1"/>
  <c r="K9" i="2" s="1"/>
  <c r="BE26" i="1"/>
  <c r="BE15" i="1"/>
  <c r="AL63" i="1"/>
  <c r="BE39" i="1"/>
  <c r="BE37" i="1"/>
  <c r="BE59" i="1"/>
  <c r="BE69" i="1"/>
  <c r="BE68" i="1"/>
  <c r="BE67" i="1"/>
  <c r="BE73" i="1"/>
  <c r="BE70" i="1"/>
  <c r="Z54" i="1"/>
  <c r="AB54" i="1" s="1"/>
  <c r="BE41" i="1"/>
  <c r="BE47" i="1"/>
  <c r="AL42" i="1"/>
  <c r="K41" i="2" s="1"/>
  <c r="AL68" i="1"/>
  <c r="K67" i="2" s="1"/>
  <c r="Z51" i="1"/>
  <c r="AL62" i="1"/>
  <c r="K61" i="2" s="1"/>
  <c r="Z47" i="1"/>
  <c r="AL13" i="1"/>
  <c r="K12" i="2" s="1"/>
  <c r="AL7" i="1"/>
  <c r="K6" i="2" s="1"/>
  <c r="Z16" i="1"/>
  <c r="AL11" i="1"/>
  <c r="K10" i="2" s="1"/>
  <c r="AL15" i="1"/>
  <c r="K14" i="2" s="1"/>
  <c r="AL58" i="1"/>
  <c r="K57" i="2" s="1"/>
  <c r="AL25" i="1"/>
  <c r="K24" i="2" s="1"/>
  <c r="AL9" i="1"/>
  <c r="K8" i="2" s="1"/>
  <c r="AL28" i="1"/>
  <c r="K27" i="2" s="1"/>
  <c r="AL19" i="1"/>
  <c r="K18" i="2" s="1"/>
  <c r="AL23" i="1"/>
  <c r="K22" i="2" s="1"/>
  <c r="AL30" i="1"/>
  <c r="K29" i="2" s="1"/>
  <c r="AL73" i="1"/>
  <c r="K72" i="2" s="1"/>
  <c r="AL34" i="1"/>
  <c r="K33" i="2" s="1"/>
  <c r="AL40" i="1"/>
  <c r="K39" i="2" s="1"/>
  <c r="AL32" i="1"/>
  <c r="K31" i="2" s="1"/>
  <c r="AB14" i="1"/>
  <c r="AL74" i="1"/>
  <c r="K73" i="2" s="1"/>
  <c r="AL61" i="1"/>
  <c r="K60" i="2" s="1"/>
  <c r="AL53" i="1"/>
  <c r="K52" i="2" s="1"/>
  <c r="Z59" i="1"/>
  <c r="AL38" i="1"/>
  <c r="K37" i="2" s="1"/>
  <c r="Z39" i="1"/>
  <c r="Z31" i="1"/>
  <c r="AL64" i="1"/>
  <c r="K63" i="2" s="1"/>
  <c r="AL70" i="1"/>
  <c r="K69" i="2" s="1"/>
  <c r="Z72" i="1"/>
  <c r="AL36" i="1"/>
  <c r="K35" i="2" s="1"/>
  <c r="AL69" i="1"/>
  <c r="K68" i="2" s="1"/>
  <c r="AL67" i="1"/>
  <c r="K66" i="2" s="1"/>
  <c r="Z55" i="1"/>
  <c r="AL6" i="1"/>
  <c r="K5" i="2" s="1"/>
  <c r="AL66" i="1"/>
  <c r="K65" i="2" s="1"/>
  <c r="AL21" i="1"/>
  <c r="K20" i="2" s="1"/>
  <c r="AL5" i="1"/>
  <c r="K4" i="2" s="1"/>
  <c r="AL57" i="1"/>
  <c r="K56" i="2" s="1"/>
  <c r="Z35" i="1"/>
  <c r="M17" i="2"/>
  <c r="Z33" i="1"/>
  <c r="AL56" i="1"/>
  <c r="K55" i="2" s="1"/>
  <c r="AL48" i="1"/>
  <c r="K47" i="2" s="1"/>
  <c r="Z50" i="1"/>
  <c r="AL45" i="1"/>
  <c r="K44" i="2" s="1"/>
  <c r="AL75" i="1"/>
  <c r="K74" i="2" s="1"/>
  <c r="AL65" i="1"/>
  <c r="K64" i="2" s="1"/>
  <c r="AL49" i="1"/>
  <c r="K48" i="2" s="1"/>
  <c r="Z22" i="1"/>
  <c r="AL60" i="1"/>
  <c r="K59" i="2" s="1"/>
  <c r="AL52" i="1"/>
  <c r="K51" i="2" s="1"/>
  <c r="AL44" i="1"/>
  <c r="K43" i="2" s="1"/>
  <c r="AL71" i="1"/>
  <c r="K70" i="2" s="1"/>
  <c r="Z46" i="1"/>
  <c r="AL26" i="1"/>
  <c r="K25" i="2" s="1"/>
  <c r="AL27" i="1"/>
  <c r="K26" i="2" s="1"/>
  <c r="Z12" i="1"/>
  <c r="Z20" i="1"/>
  <c r="M53" i="2"/>
  <c r="AL17" i="1"/>
  <c r="K16" i="2" s="1"/>
  <c r="AL29" i="1"/>
  <c r="K28" i="2" s="1"/>
  <c r="Z41" i="1" l="1"/>
  <c r="AB24" i="1"/>
  <c r="Z8" i="1"/>
  <c r="K7" i="2"/>
  <c r="Z43" i="1"/>
  <c r="AB43" i="1" s="1"/>
  <c r="Z37" i="1"/>
  <c r="M36" i="2" s="1"/>
  <c r="K36" i="2"/>
  <c r="Z63" i="1"/>
  <c r="AB63" i="1" s="1"/>
  <c r="K62" i="2"/>
  <c r="Z10" i="1"/>
  <c r="Z44" i="1"/>
  <c r="AB8" i="1"/>
  <c r="M7" i="2"/>
  <c r="Z6" i="1"/>
  <c r="Z38" i="1"/>
  <c r="Z74" i="1"/>
  <c r="Z15" i="1"/>
  <c r="Z13" i="1"/>
  <c r="Z11" i="1"/>
  <c r="AB47" i="1"/>
  <c r="M46" i="2"/>
  <c r="Z68" i="1"/>
  <c r="Z29" i="1"/>
  <c r="Z56" i="1"/>
  <c r="Z34" i="1"/>
  <c r="Z19" i="1"/>
  <c r="Z58" i="1"/>
  <c r="AB12" i="1"/>
  <c r="M11" i="2"/>
  <c r="AB46" i="1"/>
  <c r="M45" i="2"/>
  <c r="Z60" i="1"/>
  <c r="AB35" i="1"/>
  <c r="M34" i="2"/>
  <c r="Z21" i="1"/>
  <c r="Z67" i="1"/>
  <c r="M71" i="2"/>
  <c r="AB72" i="1"/>
  <c r="AB31" i="1"/>
  <c r="M30" i="2"/>
  <c r="Z53" i="1"/>
  <c r="AB16" i="1"/>
  <c r="M15" i="2"/>
  <c r="Z62" i="1"/>
  <c r="Z42" i="1"/>
  <c r="Z48" i="1"/>
  <c r="Z23" i="1"/>
  <c r="Z25" i="1"/>
  <c r="Z75" i="1"/>
  <c r="Z17" i="1"/>
  <c r="Z45" i="1"/>
  <c r="AB33" i="1"/>
  <c r="M32" i="2"/>
  <c r="Z70" i="1"/>
  <c r="Z32" i="1"/>
  <c r="Z73" i="1"/>
  <c r="Z28" i="1"/>
  <c r="Z26" i="1"/>
  <c r="AB20" i="1"/>
  <c r="M19" i="2"/>
  <c r="Z52" i="1"/>
  <c r="Z5" i="1"/>
  <c r="AB55" i="1"/>
  <c r="M54" i="2"/>
  <c r="Z36" i="1"/>
  <c r="Z27" i="1"/>
  <c r="Z71" i="1"/>
  <c r="AB22" i="1"/>
  <c r="M21" i="2"/>
  <c r="Z57" i="1"/>
  <c r="AB39" i="1"/>
  <c r="M38" i="2"/>
  <c r="Z61" i="1"/>
  <c r="Z7" i="1"/>
  <c r="AB51" i="1"/>
  <c r="M50" i="2"/>
  <c r="Z65" i="1"/>
  <c r="AB4" i="1"/>
  <c r="M3" i="2"/>
  <c r="AB59" i="1"/>
  <c r="M58" i="2"/>
  <c r="Z66" i="1"/>
  <c r="Z69" i="1"/>
  <c r="Z49" i="1"/>
  <c r="AB50" i="1"/>
  <c r="M49" i="2"/>
  <c r="AB41" i="1"/>
  <c r="M40" i="2"/>
  <c r="Z64" i="1"/>
  <c r="Z40" i="1"/>
  <c r="Z30" i="1"/>
  <c r="Z9" i="1"/>
  <c r="M62" i="2" l="1"/>
  <c r="AB37" i="1"/>
  <c r="M42" i="2"/>
  <c r="M9" i="2"/>
  <c r="AB10" i="1"/>
  <c r="M16" i="2"/>
  <c r="AB17" i="1"/>
  <c r="M28" i="2"/>
  <c r="AB29" i="1"/>
  <c r="AB49" i="1"/>
  <c r="M48" i="2"/>
  <c r="AB53" i="1"/>
  <c r="M52" i="2"/>
  <c r="AB45" i="1"/>
  <c r="M44" i="2"/>
  <c r="AB23" i="1"/>
  <c r="M22" i="2"/>
  <c r="M55" i="2"/>
  <c r="AB56" i="1"/>
  <c r="AB15" i="1"/>
  <c r="M14" i="2"/>
  <c r="AB65" i="1"/>
  <c r="M64" i="2"/>
  <c r="M47" i="2"/>
  <c r="AB48" i="1"/>
  <c r="M59" i="2"/>
  <c r="AB60" i="1"/>
  <c r="AB58" i="1"/>
  <c r="M57" i="2"/>
  <c r="M73" i="2"/>
  <c r="AB74" i="1"/>
  <c r="M70" i="2"/>
  <c r="AB71" i="1"/>
  <c r="M25" i="2"/>
  <c r="AB26" i="1"/>
  <c r="M51" i="2"/>
  <c r="AB52" i="1"/>
  <c r="M39" i="2"/>
  <c r="AB40" i="1"/>
  <c r="AB61" i="1"/>
  <c r="M60" i="2"/>
  <c r="M31" i="2"/>
  <c r="AB32" i="1"/>
  <c r="AB11" i="1"/>
  <c r="M10" i="2"/>
  <c r="AB6" i="1"/>
  <c r="M5" i="2"/>
  <c r="M4" i="2"/>
  <c r="AB5" i="1"/>
  <c r="M74" i="2"/>
  <c r="AB75" i="1"/>
  <c r="M41" i="2"/>
  <c r="AB42" i="1"/>
  <c r="AB19" i="1"/>
  <c r="M18" i="2"/>
  <c r="M67" i="2"/>
  <c r="AB68" i="1"/>
  <c r="M37" i="2"/>
  <c r="AB38" i="1"/>
  <c r="M8" i="2"/>
  <c r="AB9" i="1"/>
  <c r="M68" i="2"/>
  <c r="AB69" i="1"/>
  <c r="AB27" i="1"/>
  <c r="M26" i="2"/>
  <c r="AB28" i="1"/>
  <c r="M27" i="2"/>
  <c r="M20" i="2"/>
  <c r="AB21" i="1"/>
  <c r="M63" i="2"/>
  <c r="AB64" i="1"/>
  <c r="M69" i="2"/>
  <c r="AB70" i="1"/>
  <c r="M33" i="2"/>
  <c r="AB34" i="1"/>
  <c r="M12" i="2"/>
  <c r="AB13" i="1"/>
  <c r="M43" i="2"/>
  <c r="AB44" i="1"/>
  <c r="AB67" i="1"/>
  <c r="M66" i="2"/>
  <c r="AB57" i="1"/>
  <c r="M56" i="2"/>
  <c r="M24" i="2"/>
  <c r="AB25" i="1"/>
  <c r="AB62" i="1"/>
  <c r="M61" i="2"/>
  <c r="AB30" i="1"/>
  <c r="M29" i="2"/>
  <c r="AB66" i="1"/>
  <c r="M65" i="2"/>
  <c r="AB7" i="1"/>
  <c r="M6" i="2"/>
  <c r="M35" i="2"/>
  <c r="AB36" i="1"/>
  <c r="M72" i="2"/>
  <c r="AB73" i="1"/>
  <c r="O3" i="2" l="1" a="1"/>
  <c r="O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<sst xmlns="http://schemas.openxmlformats.org/spreadsheetml/2006/main" count="224" uniqueCount="64">
  <si>
    <t>Asset Parameters (normalized by commodity feedstock)</t>
  </si>
  <si>
    <t>Duals</t>
  </si>
  <si>
    <t>LCOE for ethanol production ($/MWh-ethanol)</t>
  </si>
  <si>
    <t>CI</t>
  </si>
  <si>
    <t>CREDIT</t>
  </si>
  <si>
    <t>NET CARBON INTENSITY + credit for capture</t>
  </si>
  <si>
    <t>CREDIT for capture/storage + PAY for storage</t>
  </si>
  <si>
    <t>Carbon Content</t>
  </si>
  <si>
    <t>Carbon Inputs</t>
  </si>
  <si>
    <t>Carbon Outputs</t>
  </si>
  <si>
    <t>Sanity Checks</t>
  </si>
  <si>
    <t>id</t>
  </si>
  <si>
    <t>commodity</t>
  </si>
  <si>
    <t>elec_production (MWh/t-bio)</t>
  </si>
  <si>
    <t>elec_consumption (MWh/t-bio)</t>
  </si>
  <si>
    <t>co2_biomass_content (t-CO2/t-bio)</t>
  </si>
  <si>
    <t>process_capture_rate (t-CO2/t-bio)</t>
  </si>
  <si>
    <t>process_emission_rate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</si>
  <si>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</si>
  <si>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</si>
  <si>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</si>
  <si>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</si>
  <si>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</si>
  <si>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biocorn_supply ($/t)</t>
  </si>
  <si>
    <t>bioherb_supply ($/t)</t>
  </si>
  <si>
    <t>biowood_supply ($/t)</t>
  </si>
  <si>
    <t>bioagri_supply ($/t)</t>
  </si>
  <si>
    <t>elec_demand ($/MWh)</t>
  </si>
  <si>
    <t>id_LC</t>
  </si>
  <si>
    <t>commodity_LC</t>
  </si>
  <si>
    <t>LCOE ($/MWh-ethanol)</t>
  </si>
  <si>
    <t>LCOE ($/GJ-ethanol)</t>
  </si>
  <si>
    <t>Diff. Between Methods ($/MWh)</t>
  </si>
  <si>
    <t>elec_production</t>
  </si>
  <si>
    <t>elec_consumption</t>
  </si>
  <si>
    <t>biomass_consumption</t>
  </si>
  <si>
    <t>natgas_consumption</t>
  </si>
  <si>
    <t>investment_cost</t>
  </si>
  <si>
    <t>fixed_om_cost</t>
  </si>
  <si>
    <t>variable_om_cost</t>
  </si>
  <si>
    <t>modified capture cost</t>
  </si>
  <si>
    <t>modified emissions cost</t>
  </si>
  <si>
    <t>Biomass CO2 content (t-CO2/t-bio)</t>
  </si>
  <si>
    <t>Ethanol (t-CO2/MWh-ethanol)</t>
  </si>
  <si>
    <t>Biomass (t-CO2/MWh-ethanol)</t>
  </si>
  <si>
    <t>Process Emissions (t-CO2/MWh-ethanol)</t>
  </si>
  <si>
    <t>Process Captured (t-CO2/MWh-ethanol)</t>
  </si>
  <si>
    <t>Carbon INPUT - OUTPUT</t>
  </si>
  <si>
    <t>Biomass_Herb</t>
  </si>
  <si>
    <t>Biomass_Wood</t>
  </si>
  <si>
    <t>Biomass_Agri</t>
  </si>
  <si>
    <t>Biomass_Corn</t>
  </si>
  <si>
    <t>UNSORTED</t>
  </si>
  <si>
    <t>SORTED</t>
  </si>
  <si>
    <t>CA_Gasoline_Gasification_Non_CCS_Herb</t>
  </si>
  <si>
    <t>gasoline_production (MWh-gasoline/t-bio)</t>
  </si>
  <si>
    <t>jetfuel_production (MWh-jetfuel/t-bio)</t>
  </si>
  <si>
    <t>diesel_production (MWh-diesel/t-bio)</t>
  </si>
  <si>
    <t>Gasoline (t-CO2/MWh-ethanol)</t>
  </si>
  <si>
    <t>Diesel (t-CO2/MWh-ethanol)</t>
  </si>
  <si>
    <t>JetFuel (t-CO2/MWh-ethanol)</t>
  </si>
  <si>
    <t>Gasoline (t-CO2/MWh-gasoline)</t>
  </si>
  <si>
    <t>Diesel (t-CO2/MWh-diesel)</t>
  </si>
  <si>
    <t>JetFuel (t-CO2/MWh-jetfuel)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</si>
</sst>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0" fillId="14" borderId="0" xfId="0" applyFill="1"/>
    <xf numFmtId="0" fontId="1" fillId="14" borderId="0" xfId="0" applyFont="1" applyFill="1"/>
    <xf numFmtId="0" fontId="3" fillId="14" borderId="0" xfId="0" applyFont="1" applyFill="1"/>
    <xf numFmtId="164" fontId="1" fillId="15" borderId="0" xfId="0" applyNumberFormat="1" applyFont="1" applyFill="1"/>
    <xf numFmtId="0" fontId="0" fillId="16" borderId="0" xfId="0" applyFill="1"/>
    <xf numFmtId="0" fontId="0" fillId="17" borderId="0" xfId="0" applyFill="1"/>
    <xf numFmtId="0" fontId="4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F5496"/>
      <color rgb="FFADD8E6"/>
      <color rgb="FFF8E8FF"/>
      <color rgb="FFF6D3D6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lc_summary!$P$2</c:f>
              <c:strCache>
                <c:ptCount val="1"/>
                <c:pt idx="0">
                  <c:v>elec_production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CA_Gasoline_Gasification_Non_CCS_Herb</c:v>
                </c:pt>
                <c:pt idx="1">
                  <c:v>CA_Gasoline_Gasification_Non_CCS_Herb</c:v>
                </c:pt>
                <c:pt idx="2">
                  <c:v>CA_Gasoline_Gasification_Non_CCS_Herb</c:v>
                </c:pt>
                <c:pt idx="3">
                  <c:v>CA_Gasoline_Gasification_Non_CCS_Herb</c:v>
                </c:pt>
                <c:pt idx="4">
                  <c:v>CA_Gasoline_Gasification_Non_CCS_Herb</c:v>
                </c:pt>
                <c:pt idx="5">
                  <c:v>CA_Gasoline_Gasification_Non_CCS_Herb</c:v>
                </c:pt>
                <c:pt idx="6">
                  <c:v>CA_Gasoline_Gasification_Non_CCS_Herb</c:v>
                </c:pt>
                <c:pt idx="7">
                  <c:v>CA_Gasoline_Gasification_Non_CCS_Herb</c:v>
                </c:pt>
                <c:pt idx="8">
                  <c:v>CA_Gasoline_Gasification_Non_CCS_Herb</c:v>
                </c:pt>
                <c:pt idx="9">
                  <c:v>CA_Gasoline_Gasification_Non_CCS_Herb</c:v>
                </c:pt>
                <c:pt idx="10">
                  <c:v>CA_Gasoline_Gasification_Non_CCS_Herb</c:v>
                </c:pt>
                <c:pt idx="11">
                  <c:v>CA_Gasoline_Gasification_Non_CCS_Herb</c:v>
                </c:pt>
                <c:pt idx="12">
                  <c:v>CA_Gasoline_Gasification_Non_CCS_Herb</c:v>
                </c:pt>
                <c:pt idx="13">
                  <c:v>CA_Gasoline_Gasification_Non_CCS_Herb</c:v>
                </c:pt>
                <c:pt idx="14">
                  <c:v>CA_Gasoline_Gasification_Non_CCS_Herb</c:v>
                </c:pt>
                <c:pt idx="15">
                  <c:v>CA_Gasoline_Gasification_Non_CCS_Herb</c:v>
                </c:pt>
                <c:pt idx="16">
                  <c:v>CA_Gasoline_Gasification_Non_CCS_Herb</c:v>
                </c:pt>
                <c:pt idx="17">
                  <c:v>CA_Gasoline_Gasification_Non_CCS_Herb</c:v>
                </c:pt>
                <c:pt idx="18">
                  <c:v>CA_Gasoline_Gasification_Non_CCS_Herb</c:v>
                </c:pt>
                <c:pt idx="19">
                  <c:v>CA_Gasoline_Gasification_Non_CCS_Herb</c:v>
                </c:pt>
                <c:pt idx="20">
                  <c:v>CA_Gasoline_Gasification_Non_CCS_Herb</c:v>
                </c:pt>
                <c:pt idx="21">
                  <c:v>CA_Gasoline_Gasification_Non_CCS_Herb</c:v>
                </c:pt>
                <c:pt idx="22">
                  <c:v>CA_Gasoline_Gasification_Non_CCS_Herb</c:v>
                </c:pt>
                <c:pt idx="23">
                  <c:v>CA_Gasoline_Gasification_Non_CCS_Herb</c:v>
                </c:pt>
                <c:pt idx="24">
                  <c:v>CA_Gasoline_Gasification_Non_CCS_Herb</c:v>
                </c:pt>
                <c:pt idx="25">
                  <c:v>CA_Gasoline_Gasification_Non_CCS_Herb</c:v>
                </c:pt>
                <c:pt idx="26">
                  <c:v>CA_Gasoline_Gasification_Non_CCS_Herb</c:v>
                </c:pt>
                <c:pt idx="27">
                  <c:v>CA_Gasoline_Gasification_Non_CCS_Herb</c:v>
                </c:pt>
                <c:pt idx="28">
                  <c:v>CA_Gasoline_Gasification_Non_CCS_Herb</c:v>
                </c:pt>
                <c:pt idx="29">
                  <c:v>CA_Gasoline_Gasification_Non_CCS_Herb</c:v>
                </c:pt>
                <c:pt idx="30">
                  <c:v>CA_Gasoline_Gasification_Non_CCS_Herb</c:v>
                </c:pt>
                <c:pt idx="31">
                  <c:v>CA_Gasoline_Gasification_Non_CCS_Herb</c:v>
                </c:pt>
                <c:pt idx="32">
                  <c:v>CA_Gasoline_Gasification_Non_CCS_Herb</c:v>
                </c:pt>
                <c:pt idx="33">
                  <c:v>CA_Gasoline_Gasification_Non_CCS_Herb</c:v>
                </c:pt>
                <c:pt idx="34">
                  <c:v>CA_Gasoline_Gasification_Non_CCS_Herb</c:v>
                </c:pt>
                <c:pt idx="35">
                  <c:v>CA_Gasoline_Gasification_Non_CCS_Herb</c:v>
                </c:pt>
                <c:pt idx="36">
                  <c:v>CA_Gasoline_Gasification_Non_CCS_Herb</c:v>
                </c:pt>
                <c:pt idx="37">
                  <c:v>CA_Gasoline_Gasification_Non_CCS_Herb</c:v>
                </c:pt>
                <c:pt idx="38">
                  <c:v>CA_Gasoline_Gasification_Non_CCS_Herb</c:v>
                </c:pt>
                <c:pt idx="39">
                  <c:v>CA_Gasoline_Gasification_Non_CCS_Herb</c:v>
                </c:pt>
                <c:pt idx="40">
                  <c:v>CA_Gasoline_Gasification_Non_CCS_Herb</c:v>
                </c:pt>
                <c:pt idx="41">
                  <c:v>CA_Gasoline_Gasification_Non_CCS_Herb</c:v>
                </c:pt>
                <c:pt idx="42">
                  <c:v>CA_Gasoline_Gasification_Non_CCS_Herb</c:v>
                </c:pt>
                <c:pt idx="43">
                  <c:v>CA_Gasoline_Gasification_Non_CCS_Herb</c:v>
                </c:pt>
                <c:pt idx="44">
                  <c:v>CA_Gasoline_Gasification_Non_CCS_Herb</c:v>
                </c:pt>
                <c:pt idx="45">
                  <c:v>CA_Gasoline_Gasification_Non_CCS_Herb</c:v>
                </c:pt>
                <c:pt idx="46">
                  <c:v>CA_Gasoline_Gasification_Non_CCS_Herb</c:v>
                </c:pt>
                <c:pt idx="47">
                  <c:v>CA_Gasoline_Gasification_Non_CCS_Herb</c:v>
                </c:pt>
                <c:pt idx="48">
                  <c:v>CA_Gasoline_Gasification_Non_CCS_Herb</c:v>
                </c:pt>
                <c:pt idx="49">
                  <c:v>CA_Gasoline_Gasification_Non_CCS_Herb</c:v>
                </c:pt>
                <c:pt idx="50">
                  <c:v>CA_Gasoline_Gasification_Non_CCS_Herb</c:v>
                </c:pt>
                <c:pt idx="51">
                  <c:v>CA_Gasoline_Gasification_Non_CCS_Herb</c:v>
                </c:pt>
                <c:pt idx="52">
                  <c:v>CA_Gasoline_Gasification_Non_CCS_Herb</c:v>
                </c:pt>
                <c:pt idx="53">
                  <c:v>CA_Gasoline_Gasification_Non_CCS_Herb</c:v>
                </c:pt>
                <c:pt idx="54">
                  <c:v>CA_Gasoline_Gasification_Non_CCS_Herb</c:v>
                </c:pt>
                <c:pt idx="55">
                  <c:v>CA_Gasoline_Gasification_Non_CCS_Herb</c:v>
                </c:pt>
                <c:pt idx="56">
                  <c:v>CA_Gasoline_Gasification_Non_CCS_Herb</c:v>
                </c:pt>
                <c:pt idx="57">
                  <c:v>CA_Gasoline_Gasification_Non_CCS_Herb</c:v>
                </c:pt>
                <c:pt idx="58">
                  <c:v>CA_Gasoline_Gasification_Non_CCS_Herb</c:v>
                </c:pt>
                <c:pt idx="59">
                  <c:v>CA_Gasoline_Gasification_Non_CCS_Herb</c:v>
                </c:pt>
                <c:pt idx="60">
                  <c:v>CA_Gasoline_Gasification_Non_CCS_Herb</c:v>
                </c:pt>
                <c:pt idx="61">
                  <c:v>CA_Gasoline_Gasification_Non_CCS_Herb</c:v>
                </c:pt>
                <c:pt idx="62">
                  <c:v>CA_Gasoline_Gasification_Non_CCS_Herb</c:v>
                </c:pt>
                <c:pt idx="63">
                  <c:v>CA_Gasoline_Gasification_Non_CCS_Herb</c:v>
                </c:pt>
                <c:pt idx="64">
                  <c:v>CA_Gasoline_Gasification_Non_CCS_Herb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strCache>
            </c:strRef>
          </c:cat>
          <c:val>
            <c:numRef>
              <c:f>lc_summary!$P$3:$P$74</c:f>
              <c:numCache>
                <c:formatCode>General</c:formatCode>
                <c:ptCount val="72"/>
                <c:pt idx="0">
                  <c:v>-2.7330397246070137</c:v>
                </c:pt>
                <c:pt idx="1">
                  <c:v>-4.2472829150772933</c:v>
                </c:pt>
                <c:pt idx="2">
                  <c:v>-3.3142741931687283</c:v>
                </c:pt>
                <c:pt idx="3">
                  <c:v>-4.1236960660105977</c:v>
                </c:pt>
                <c:pt idx="4">
                  <c:v>-2.1826272589443856</c:v>
                </c:pt>
                <c:pt idx="5">
                  <c:v>-2.7334799882959251</c:v>
                </c:pt>
                <c:pt idx="6">
                  <c:v>-4.2464947082185818</c:v>
                </c:pt>
                <c:pt idx="7">
                  <c:v>-3.3133631799431353</c:v>
                </c:pt>
                <c:pt idx="8">
                  <c:v>-4.1248337198387555</c:v>
                </c:pt>
                <c:pt idx="9">
                  <c:v>-2.1835733922340474</c:v>
                </c:pt>
                <c:pt idx="10">
                  <c:v>-2.7324164346314324</c:v>
                </c:pt>
                <c:pt idx="11">
                  <c:v>-4.2470487513953117</c:v>
                </c:pt>
                <c:pt idx="12">
                  <c:v>-3.3145588377488719</c:v>
                </c:pt>
                <c:pt idx="13">
                  <c:v>-4.1235745351031508</c:v>
                </c:pt>
                <c:pt idx="14">
                  <c:v>-2.1829676197541801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3-A14F-96AF-FBF11932B5CA}"/>
            </c:ext>
          </c:extLst>
        </c:ser>
        <c:ser>
          <c:idx val="1"/>
          <c:order val="1"/>
          <c:tx>
            <c:strRef>
              <c:f>lc_summary!$Q$2</c:f>
              <c:strCache>
                <c:ptCount val="1"/>
                <c:pt idx="0">
                  <c:v>elec_consumption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CA_Gasoline_Gasification_Non_CCS_Herb</c:v>
                </c:pt>
                <c:pt idx="1">
                  <c:v>CA_Gasoline_Gasification_Non_CCS_Herb</c:v>
                </c:pt>
                <c:pt idx="2">
                  <c:v>CA_Gasoline_Gasification_Non_CCS_Herb</c:v>
                </c:pt>
                <c:pt idx="3">
                  <c:v>CA_Gasoline_Gasification_Non_CCS_Herb</c:v>
                </c:pt>
                <c:pt idx="4">
                  <c:v>CA_Gasoline_Gasification_Non_CCS_Herb</c:v>
                </c:pt>
                <c:pt idx="5">
                  <c:v>CA_Gasoline_Gasification_Non_CCS_Herb</c:v>
                </c:pt>
                <c:pt idx="6">
                  <c:v>CA_Gasoline_Gasification_Non_CCS_Herb</c:v>
                </c:pt>
                <c:pt idx="7">
                  <c:v>CA_Gasoline_Gasification_Non_CCS_Herb</c:v>
                </c:pt>
                <c:pt idx="8">
                  <c:v>CA_Gasoline_Gasification_Non_CCS_Herb</c:v>
                </c:pt>
                <c:pt idx="9">
                  <c:v>CA_Gasoline_Gasification_Non_CCS_Herb</c:v>
                </c:pt>
                <c:pt idx="10">
                  <c:v>CA_Gasoline_Gasification_Non_CCS_Herb</c:v>
                </c:pt>
                <c:pt idx="11">
                  <c:v>CA_Gasoline_Gasification_Non_CCS_Herb</c:v>
                </c:pt>
                <c:pt idx="12">
                  <c:v>CA_Gasoline_Gasification_Non_CCS_Herb</c:v>
                </c:pt>
                <c:pt idx="13">
                  <c:v>CA_Gasoline_Gasification_Non_CCS_Herb</c:v>
                </c:pt>
                <c:pt idx="14">
                  <c:v>CA_Gasoline_Gasification_Non_CCS_Herb</c:v>
                </c:pt>
                <c:pt idx="15">
                  <c:v>CA_Gasoline_Gasification_Non_CCS_Herb</c:v>
                </c:pt>
                <c:pt idx="16">
                  <c:v>CA_Gasoline_Gasification_Non_CCS_Herb</c:v>
                </c:pt>
                <c:pt idx="17">
                  <c:v>CA_Gasoline_Gasification_Non_CCS_Herb</c:v>
                </c:pt>
                <c:pt idx="18">
                  <c:v>CA_Gasoline_Gasification_Non_CCS_Herb</c:v>
                </c:pt>
                <c:pt idx="19">
                  <c:v>CA_Gasoline_Gasification_Non_CCS_Herb</c:v>
                </c:pt>
                <c:pt idx="20">
                  <c:v>CA_Gasoline_Gasification_Non_CCS_Herb</c:v>
                </c:pt>
                <c:pt idx="21">
                  <c:v>CA_Gasoline_Gasification_Non_CCS_Herb</c:v>
                </c:pt>
                <c:pt idx="22">
                  <c:v>CA_Gasoline_Gasification_Non_CCS_Herb</c:v>
                </c:pt>
                <c:pt idx="23">
                  <c:v>CA_Gasoline_Gasification_Non_CCS_Herb</c:v>
                </c:pt>
                <c:pt idx="24">
                  <c:v>CA_Gasoline_Gasification_Non_CCS_Herb</c:v>
                </c:pt>
                <c:pt idx="25">
                  <c:v>CA_Gasoline_Gasification_Non_CCS_Herb</c:v>
                </c:pt>
                <c:pt idx="26">
                  <c:v>CA_Gasoline_Gasification_Non_CCS_Herb</c:v>
                </c:pt>
                <c:pt idx="27">
                  <c:v>CA_Gasoline_Gasification_Non_CCS_Herb</c:v>
                </c:pt>
                <c:pt idx="28">
                  <c:v>CA_Gasoline_Gasification_Non_CCS_Herb</c:v>
                </c:pt>
                <c:pt idx="29">
                  <c:v>CA_Gasoline_Gasification_Non_CCS_Herb</c:v>
                </c:pt>
                <c:pt idx="30">
                  <c:v>CA_Gasoline_Gasification_Non_CCS_Herb</c:v>
                </c:pt>
                <c:pt idx="31">
                  <c:v>CA_Gasoline_Gasification_Non_CCS_Herb</c:v>
                </c:pt>
                <c:pt idx="32">
                  <c:v>CA_Gasoline_Gasification_Non_CCS_Herb</c:v>
                </c:pt>
                <c:pt idx="33">
                  <c:v>CA_Gasoline_Gasification_Non_CCS_Herb</c:v>
                </c:pt>
                <c:pt idx="34">
                  <c:v>CA_Gasoline_Gasification_Non_CCS_Herb</c:v>
                </c:pt>
                <c:pt idx="35">
                  <c:v>CA_Gasoline_Gasification_Non_CCS_Herb</c:v>
                </c:pt>
                <c:pt idx="36">
                  <c:v>CA_Gasoline_Gasification_Non_CCS_Herb</c:v>
                </c:pt>
                <c:pt idx="37">
                  <c:v>CA_Gasoline_Gasification_Non_CCS_Herb</c:v>
                </c:pt>
                <c:pt idx="38">
                  <c:v>CA_Gasoline_Gasification_Non_CCS_Herb</c:v>
                </c:pt>
                <c:pt idx="39">
                  <c:v>CA_Gasoline_Gasification_Non_CCS_Herb</c:v>
                </c:pt>
                <c:pt idx="40">
                  <c:v>CA_Gasoline_Gasification_Non_CCS_Herb</c:v>
                </c:pt>
                <c:pt idx="41">
                  <c:v>CA_Gasoline_Gasification_Non_CCS_Herb</c:v>
                </c:pt>
                <c:pt idx="42">
                  <c:v>CA_Gasoline_Gasification_Non_CCS_Herb</c:v>
                </c:pt>
                <c:pt idx="43">
                  <c:v>CA_Gasoline_Gasification_Non_CCS_Herb</c:v>
                </c:pt>
                <c:pt idx="44">
                  <c:v>CA_Gasoline_Gasification_Non_CCS_Herb</c:v>
                </c:pt>
                <c:pt idx="45">
                  <c:v>CA_Gasoline_Gasification_Non_CCS_Herb</c:v>
                </c:pt>
                <c:pt idx="46">
                  <c:v>CA_Gasoline_Gasification_Non_CCS_Herb</c:v>
                </c:pt>
                <c:pt idx="47">
                  <c:v>CA_Gasoline_Gasification_Non_CCS_Herb</c:v>
                </c:pt>
                <c:pt idx="48">
                  <c:v>CA_Gasoline_Gasification_Non_CCS_Herb</c:v>
                </c:pt>
                <c:pt idx="49">
                  <c:v>CA_Gasoline_Gasification_Non_CCS_Herb</c:v>
                </c:pt>
                <c:pt idx="50">
                  <c:v>CA_Gasoline_Gasification_Non_CCS_Herb</c:v>
                </c:pt>
                <c:pt idx="51">
                  <c:v>CA_Gasoline_Gasification_Non_CCS_Herb</c:v>
                </c:pt>
                <c:pt idx="52">
                  <c:v>CA_Gasoline_Gasification_Non_CCS_Herb</c:v>
                </c:pt>
                <c:pt idx="53">
                  <c:v>CA_Gasoline_Gasification_Non_CCS_Herb</c:v>
                </c:pt>
                <c:pt idx="54">
                  <c:v>CA_Gasoline_Gasification_Non_CCS_Herb</c:v>
                </c:pt>
                <c:pt idx="55">
                  <c:v>CA_Gasoline_Gasification_Non_CCS_Herb</c:v>
                </c:pt>
                <c:pt idx="56">
                  <c:v>CA_Gasoline_Gasification_Non_CCS_Herb</c:v>
                </c:pt>
                <c:pt idx="57">
                  <c:v>CA_Gasoline_Gasification_Non_CCS_Herb</c:v>
                </c:pt>
                <c:pt idx="58">
                  <c:v>CA_Gasoline_Gasification_Non_CCS_Herb</c:v>
                </c:pt>
                <c:pt idx="59">
                  <c:v>CA_Gasoline_Gasification_Non_CCS_Herb</c:v>
                </c:pt>
                <c:pt idx="60">
                  <c:v>CA_Gasoline_Gasification_Non_CCS_Herb</c:v>
                </c:pt>
                <c:pt idx="61">
                  <c:v>CA_Gasoline_Gasification_Non_CCS_Herb</c:v>
                </c:pt>
                <c:pt idx="62">
                  <c:v>CA_Gasoline_Gasification_Non_CCS_Herb</c:v>
                </c:pt>
                <c:pt idx="63">
                  <c:v>CA_Gasoline_Gasification_Non_CCS_Herb</c:v>
                </c:pt>
                <c:pt idx="64">
                  <c:v>CA_Gasoline_Gasification_Non_CCS_Herb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strCache>
            </c:strRef>
          </c:cat>
          <c:val>
            <c:numRef>
              <c:f>lc_summary!$Q$3:$Q$74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3.3582448903667879</c:v>
                </c:pt>
                <c:pt idx="31">
                  <c:v>5.1994644802248535</c:v>
                </c:pt>
                <c:pt idx="32">
                  <c:v>4.0478745598237085</c:v>
                </c:pt>
                <c:pt idx="33">
                  <c:v>5.076505166389099</c:v>
                </c:pt>
                <c:pt idx="34">
                  <c:v>2.6945004434998232</c:v>
                </c:pt>
                <c:pt idx="35">
                  <c:v>3.2104057693863788</c:v>
                </c:pt>
                <c:pt idx="36">
                  <c:v>5.0052727595303663</c:v>
                </c:pt>
                <c:pt idx="37">
                  <c:v>3.8949405491783522</c:v>
                </c:pt>
                <c:pt idx="38">
                  <c:v>4.8272842821767918</c:v>
                </c:pt>
                <c:pt idx="39">
                  <c:v>2.5876475319045533</c:v>
                </c:pt>
                <c:pt idx="40">
                  <c:v>3.5655528289290683</c:v>
                </c:pt>
                <c:pt idx="41">
                  <c:v>5.506518381119438</c:v>
                </c:pt>
                <c:pt idx="42">
                  <c:v>4.2911553669232809</c:v>
                </c:pt>
                <c:pt idx="43">
                  <c:v>5.3622767669918439</c:v>
                </c:pt>
                <c:pt idx="44">
                  <c:v>2.9479583248809655</c:v>
                </c:pt>
                <c:pt idx="45">
                  <c:v>1.0048323719933401</c:v>
                </c:pt>
                <c:pt idx="46">
                  <c:v>0.73605181175742107</c:v>
                </c:pt>
                <c:pt idx="47">
                  <c:v>0.76970088018920757</c:v>
                </c:pt>
                <c:pt idx="48">
                  <c:v>0.55615943203436513</c:v>
                </c:pt>
                <c:pt idx="49">
                  <c:v>0.8442129170953</c:v>
                </c:pt>
                <c:pt idx="50">
                  <c:v>0.69621158107157877</c:v>
                </c:pt>
                <c:pt idx="51">
                  <c:v>1.0506813864995876</c:v>
                </c:pt>
                <c:pt idx="52">
                  <c:v>1.0820498722750709</c:v>
                </c:pt>
                <c:pt idx="53">
                  <c:v>1.3043611278934286</c:v>
                </c:pt>
                <c:pt idx="54">
                  <c:v>1.0048323719933401</c:v>
                </c:pt>
                <c:pt idx="55">
                  <c:v>0.73605181175742107</c:v>
                </c:pt>
                <c:pt idx="56">
                  <c:v>0.76970088018920757</c:v>
                </c:pt>
                <c:pt idx="57">
                  <c:v>0.55615943203436513</c:v>
                </c:pt>
                <c:pt idx="58">
                  <c:v>0.8442129170953</c:v>
                </c:pt>
                <c:pt idx="59">
                  <c:v>0.69621158107157877</c:v>
                </c:pt>
                <c:pt idx="60">
                  <c:v>1.0506813864995876</c:v>
                </c:pt>
                <c:pt idx="61">
                  <c:v>1.0820498722750709</c:v>
                </c:pt>
                <c:pt idx="62">
                  <c:v>1.3043611278934286</c:v>
                </c:pt>
                <c:pt idx="63">
                  <c:v>1.0048323719933401</c:v>
                </c:pt>
                <c:pt idx="64">
                  <c:v>0.73605181175742107</c:v>
                </c:pt>
                <c:pt idx="65">
                  <c:v>0.76970088018920757</c:v>
                </c:pt>
                <c:pt idx="66">
                  <c:v>0.55615943203436513</c:v>
                </c:pt>
                <c:pt idx="67">
                  <c:v>0.8442129170953</c:v>
                </c:pt>
                <c:pt idx="68">
                  <c:v>0.69621158107157877</c:v>
                </c:pt>
                <c:pt idx="69">
                  <c:v>1.0506813864995876</c:v>
                </c:pt>
                <c:pt idx="70">
                  <c:v>1.0820498722750709</c:v>
                </c:pt>
                <c:pt idx="71">
                  <c:v>1.3043611278934286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3-A14F-96AF-FBF11932B5CA}"/>
            </c:ext>
          </c:extLst>
        </c:ser>
        <c:ser>
          <c:idx val="2"/>
          <c:order val="2"/>
          <c:tx>
            <c:strRef>
              <c:f>lc_summary!$R$2</c:f>
              <c:strCache>
                <c:ptCount val="1"/>
                <c:pt idx="0">
                  <c:v>biomass_consumption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CA_Gasoline_Gasification_Non_CCS_Herb</c:v>
                </c:pt>
                <c:pt idx="1">
                  <c:v>CA_Gasoline_Gasification_Non_CCS_Herb</c:v>
                </c:pt>
                <c:pt idx="2">
                  <c:v>CA_Gasoline_Gasification_Non_CCS_Herb</c:v>
                </c:pt>
                <c:pt idx="3">
                  <c:v>CA_Gasoline_Gasification_Non_CCS_Herb</c:v>
                </c:pt>
                <c:pt idx="4">
                  <c:v>CA_Gasoline_Gasification_Non_CCS_Herb</c:v>
                </c:pt>
                <c:pt idx="5">
                  <c:v>CA_Gasoline_Gasification_Non_CCS_Herb</c:v>
                </c:pt>
                <c:pt idx="6">
                  <c:v>CA_Gasoline_Gasification_Non_CCS_Herb</c:v>
                </c:pt>
                <c:pt idx="7">
                  <c:v>CA_Gasoline_Gasification_Non_CCS_Herb</c:v>
                </c:pt>
                <c:pt idx="8">
                  <c:v>CA_Gasoline_Gasification_Non_CCS_Herb</c:v>
                </c:pt>
                <c:pt idx="9">
                  <c:v>CA_Gasoline_Gasification_Non_CCS_Herb</c:v>
                </c:pt>
                <c:pt idx="10">
                  <c:v>CA_Gasoline_Gasification_Non_CCS_Herb</c:v>
                </c:pt>
                <c:pt idx="11">
                  <c:v>CA_Gasoline_Gasification_Non_CCS_Herb</c:v>
                </c:pt>
                <c:pt idx="12">
                  <c:v>CA_Gasoline_Gasification_Non_CCS_Herb</c:v>
                </c:pt>
                <c:pt idx="13">
                  <c:v>CA_Gasoline_Gasification_Non_CCS_Herb</c:v>
                </c:pt>
                <c:pt idx="14">
                  <c:v>CA_Gasoline_Gasification_Non_CCS_Herb</c:v>
                </c:pt>
                <c:pt idx="15">
                  <c:v>CA_Gasoline_Gasification_Non_CCS_Herb</c:v>
                </c:pt>
                <c:pt idx="16">
                  <c:v>CA_Gasoline_Gasification_Non_CCS_Herb</c:v>
                </c:pt>
                <c:pt idx="17">
                  <c:v>CA_Gasoline_Gasification_Non_CCS_Herb</c:v>
                </c:pt>
                <c:pt idx="18">
                  <c:v>CA_Gasoline_Gasification_Non_CCS_Herb</c:v>
                </c:pt>
                <c:pt idx="19">
                  <c:v>CA_Gasoline_Gasification_Non_CCS_Herb</c:v>
                </c:pt>
                <c:pt idx="20">
                  <c:v>CA_Gasoline_Gasification_Non_CCS_Herb</c:v>
                </c:pt>
                <c:pt idx="21">
                  <c:v>CA_Gasoline_Gasification_Non_CCS_Herb</c:v>
                </c:pt>
                <c:pt idx="22">
                  <c:v>CA_Gasoline_Gasification_Non_CCS_Herb</c:v>
                </c:pt>
                <c:pt idx="23">
                  <c:v>CA_Gasoline_Gasification_Non_CCS_Herb</c:v>
                </c:pt>
                <c:pt idx="24">
                  <c:v>CA_Gasoline_Gasification_Non_CCS_Herb</c:v>
                </c:pt>
                <c:pt idx="25">
                  <c:v>CA_Gasoline_Gasification_Non_CCS_Herb</c:v>
                </c:pt>
                <c:pt idx="26">
                  <c:v>CA_Gasoline_Gasification_Non_CCS_Herb</c:v>
                </c:pt>
                <c:pt idx="27">
                  <c:v>CA_Gasoline_Gasification_Non_CCS_Herb</c:v>
                </c:pt>
                <c:pt idx="28">
                  <c:v>CA_Gasoline_Gasification_Non_CCS_Herb</c:v>
                </c:pt>
                <c:pt idx="29">
                  <c:v>CA_Gasoline_Gasification_Non_CCS_Herb</c:v>
                </c:pt>
                <c:pt idx="30">
                  <c:v>CA_Gasoline_Gasification_Non_CCS_Herb</c:v>
                </c:pt>
                <c:pt idx="31">
                  <c:v>CA_Gasoline_Gasification_Non_CCS_Herb</c:v>
                </c:pt>
                <c:pt idx="32">
                  <c:v>CA_Gasoline_Gasification_Non_CCS_Herb</c:v>
                </c:pt>
                <c:pt idx="33">
                  <c:v>CA_Gasoline_Gasification_Non_CCS_Herb</c:v>
                </c:pt>
                <c:pt idx="34">
                  <c:v>CA_Gasoline_Gasification_Non_CCS_Herb</c:v>
                </c:pt>
                <c:pt idx="35">
                  <c:v>CA_Gasoline_Gasification_Non_CCS_Herb</c:v>
                </c:pt>
                <c:pt idx="36">
                  <c:v>CA_Gasoline_Gasification_Non_CCS_Herb</c:v>
                </c:pt>
                <c:pt idx="37">
                  <c:v>CA_Gasoline_Gasification_Non_CCS_Herb</c:v>
                </c:pt>
                <c:pt idx="38">
                  <c:v>CA_Gasoline_Gasification_Non_CCS_Herb</c:v>
                </c:pt>
                <c:pt idx="39">
                  <c:v>CA_Gasoline_Gasification_Non_CCS_Herb</c:v>
                </c:pt>
                <c:pt idx="40">
                  <c:v>CA_Gasoline_Gasification_Non_CCS_Herb</c:v>
                </c:pt>
                <c:pt idx="41">
                  <c:v>CA_Gasoline_Gasification_Non_CCS_Herb</c:v>
                </c:pt>
                <c:pt idx="42">
                  <c:v>CA_Gasoline_Gasification_Non_CCS_Herb</c:v>
                </c:pt>
                <c:pt idx="43">
                  <c:v>CA_Gasoline_Gasification_Non_CCS_Herb</c:v>
                </c:pt>
                <c:pt idx="44">
                  <c:v>CA_Gasoline_Gasification_Non_CCS_Herb</c:v>
                </c:pt>
                <c:pt idx="45">
                  <c:v>CA_Gasoline_Gasification_Non_CCS_Herb</c:v>
                </c:pt>
                <c:pt idx="46">
                  <c:v>CA_Gasoline_Gasification_Non_CCS_Herb</c:v>
                </c:pt>
                <c:pt idx="47">
                  <c:v>CA_Gasoline_Gasification_Non_CCS_Herb</c:v>
                </c:pt>
                <c:pt idx="48">
                  <c:v>CA_Gasoline_Gasification_Non_CCS_Herb</c:v>
                </c:pt>
                <c:pt idx="49">
                  <c:v>CA_Gasoline_Gasification_Non_CCS_Herb</c:v>
                </c:pt>
                <c:pt idx="50">
                  <c:v>CA_Gasoline_Gasification_Non_CCS_Herb</c:v>
                </c:pt>
                <c:pt idx="51">
                  <c:v>CA_Gasoline_Gasification_Non_CCS_Herb</c:v>
                </c:pt>
                <c:pt idx="52">
                  <c:v>CA_Gasoline_Gasification_Non_CCS_Herb</c:v>
                </c:pt>
                <c:pt idx="53">
                  <c:v>CA_Gasoline_Gasification_Non_CCS_Herb</c:v>
                </c:pt>
                <c:pt idx="54">
                  <c:v>CA_Gasoline_Gasification_Non_CCS_Herb</c:v>
                </c:pt>
                <c:pt idx="55">
                  <c:v>CA_Gasoline_Gasification_Non_CCS_Herb</c:v>
                </c:pt>
                <c:pt idx="56">
                  <c:v>CA_Gasoline_Gasification_Non_CCS_Herb</c:v>
                </c:pt>
                <c:pt idx="57">
                  <c:v>CA_Gasoline_Gasification_Non_CCS_Herb</c:v>
                </c:pt>
                <c:pt idx="58">
                  <c:v>CA_Gasoline_Gasification_Non_CCS_Herb</c:v>
                </c:pt>
                <c:pt idx="59">
                  <c:v>CA_Gasoline_Gasification_Non_CCS_Herb</c:v>
                </c:pt>
                <c:pt idx="60">
                  <c:v>CA_Gasoline_Gasification_Non_CCS_Herb</c:v>
                </c:pt>
                <c:pt idx="61">
                  <c:v>CA_Gasoline_Gasification_Non_CCS_Herb</c:v>
                </c:pt>
                <c:pt idx="62">
                  <c:v>CA_Gasoline_Gasification_Non_CCS_Herb</c:v>
                </c:pt>
                <c:pt idx="63">
                  <c:v>CA_Gasoline_Gasification_Non_CCS_Herb</c:v>
                </c:pt>
                <c:pt idx="64">
                  <c:v>CA_Gasoline_Gasification_Non_CCS_Herb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strCache>
            </c:strRef>
          </c:cat>
          <c:val>
            <c:numRef>
              <c:f>lc_summary!$R$3:$R$74</c:f>
              <c:numCache>
                <c:formatCode>General</c:formatCode>
                <c:ptCount val="72"/>
                <c:pt idx="0">
                  <c:v>55.653727327690454</c:v>
                </c:pt>
                <c:pt idx="1">
                  <c:v>50.579072475406548</c:v>
                </c:pt>
                <c:pt idx="2">
                  <c:v>52.169771122351882</c:v>
                </c:pt>
                <c:pt idx="3">
                  <c:v>50.281525611910162</c:v>
                </c:pt>
                <c:pt idx="4">
                  <c:v>69.801451343555485</c:v>
                </c:pt>
                <c:pt idx="5">
                  <c:v>61.366317310471054</c:v>
                </c:pt>
                <c:pt idx="6">
                  <c:v>52.50426245349567</c:v>
                </c:pt>
                <c:pt idx="7">
                  <c:v>55.672685171798946</c:v>
                </c:pt>
                <c:pt idx="8">
                  <c:v>54.336796717535272</c:v>
                </c:pt>
                <c:pt idx="9">
                  <c:v>76.727098702434745</c:v>
                </c:pt>
                <c:pt idx="10">
                  <c:v>52.868555686316462</c:v>
                </c:pt>
                <c:pt idx="11">
                  <c:v>47.53338914580344</c:v>
                </c:pt>
                <c:pt idx="12">
                  <c:v>48.869114945580044</c:v>
                </c:pt>
                <c:pt idx="13">
                  <c:v>47.36676528599606</c:v>
                </c:pt>
                <c:pt idx="14">
                  <c:v>61.656984276381351</c:v>
                </c:pt>
                <c:pt idx="15">
                  <c:v>55.653727327690454</c:v>
                </c:pt>
                <c:pt idx="16">
                  <c:v>50.579072475406548</c:v>
                </c:pt>
                <c:pt idx="17">
                  <c:v>52.169771122351882</c:v>
                </c:pt>
                <c:pt idx="18">
                  <c:v>50.281525611910162</c:v>
                </c:pt>
                <c:pt idx="19">
                  <c:v>69.801451343555485</c:v>
                </c:pt>
                <c:pt idx="20">
                  <c:v>61.366317310471054</c:v>
                </c:pt>
                <c:pt idx="21">
                  <c:v>52.50426245349567</c:v>
                </c:pt>
                <c:pt idx="22">
                  <c:v>55.672685171798946</c:v>
                </c:pt>
                <c:pt idx="23">
                  <c:v>54.336796717535272</c:v>
                </c:pt>
                <c:pt idx="24">
                  <c:v>76.727098702434745</c:v>
                </c:pt>
                <c:pt idx="25">
                  <c:v>52.868555686316462</c:v>
                </c:pt>
                <c:pt idx="26">
                  <c:v>47.53338914580344</c:v>
                </c:pt>
                <c:pt idx="27">
                  <c:v>48.869114945580044</c:v>
                </c:pt>
                <c:pt idx="28">
                  <c:v>47.36676528599606</c:v>
                </c:pt>
                <c:pt idx="29">
                  <c:v>61.656984276381351</c:v>
                </c:pt>
                <c:pt idx="30">
                  <c:v>55.653727327690454</c:v>
                </c:pt>
                <c:pt idx="31">
                  <c:v>50.579072475406548</c:v>
                </c:pt>
                <c:pt idx="32">
                  <c:v>52.169771122351882</c:v>
                </c:pt>
                <c:pt idx="33">
                  <c:v>50.281525611910162</c:v>
                </c:pt>
                <c:pt idx="34">
                  <c:v>69.801451343555485</c:v>
                </c:pt>
                <c:pt idx="35">
                  <c:v>61.366317310471054</c:v>
                </c:pt>
                <c:pt idx="36">
                  <c:v>52.50426245349567</c:v>
                </c:pt>
                <c:pt idx="37">
                  <c:v>55.672685171798946</c:v>
                </c:pt>
                <c:pt idx="38">
                  <c:v>54.336796717535272</c:v>
                </c:pt>
                <c:pt idx="39">
                  <c:v>76.727098702434745</c:v>
                </c:pt>
                <c:pt idx="40">
                  <c:v>52.868555686316462</c:v>
                </c:pt>
                <c:pt idx="41">
                  <c:v>47.53338914580344</c:v>
                </c:pt>
                <c:pt idx="42">
                  <c:v>48.869114945580044</c:v>
                </c:pt>
                <c:pt idx="43">
                  <c:v>47.36676528599606</c:v>
                </c:pt>
                <c:pt idx="44">
                  <c:v>61.656984276381351</c:v>
                </c:pt>
                <c:pt idx="45">
                  <c:v>54.762078186656993</c:v>
                </c:pt>
                <c:pt idx="46">
                  <c:v>54.762078186656993</c:v>
                </c:pt>
                <c:pt idx="47">
                  <c:v>54.762078186656993</c:v>
                </c:pt>
                <c:pt idx="48">
                  <c:v>54.762078186656993</c:v>
                </c:pt>
                <c:pt idx="49">
                  <c:v>54.762078186656993</c:v>
                </c:pt>
                <c:pt idx="50">
                  <c:v>54.762078186656993</c:v>
                </c:pt>
                <c:pt idx="51">
                  <c:v>54.762078186656993</c:v>
                </c:pt>
                <c:pt idx="52">
                  <c:v>54.762078186656993</c:v>
                </c:pt>
                <c:pt idx="53">
                  <c:v>54.762078186656993</c:v>
                </c:pt>
                <c:pt idx="54">
                  <c:v>54.762078186656993</c:v>
                </c:pt>
                <c:pt idx="55">
                  <c:v>54.762078186656993</c:v>
                </c:pt>
                <c:pt idx="56">
                  <c:v>54.762078186656993</c:v>
                </c:pt>
                <c:pt idx="57">
                  <c:v>54.762078186656993</c:v>
                </c:pt>
                <c:pt idx="58">
                  <c:v>54.762078186656993</c:v>
                </c:pt>
                <c:pt idx="59">
                  <c:v>54.762078186656993</c:v>
                </c:pt>
                <c:pt idx="60">
                  <c:v>54.762078186656993</c:v>
                </c:pt>
                <c:pt idx="61">
                  <c:v>54.762078186656993</c:v>
                </c:pt>
                <c:pt idx="62">
                  <c:v>54.762078186656993</c:v>
                </c:pt>
                <c:pt idx="63">
                  <c:v>54.762078186656993</c:v>
                </c:pt>
                <c:pt idx="64">
                  <c:v>54.762078186656993</c:v>
                </c:pt>
                <c:pt idx="65">
                  <c:v>54.762078186656993</c:v>
                </c:pt>
                <c:pt idx="66">
                  <c:v>54.762078186656993</c:v>
                </c:pt>
                <c:pt idx="67">
                  <c:v>54.762078186656993</c:v>
                </c:pt>
                <c:pt idx="68">
                  <c:v>54.762078186656993</c:v>
                </c:pt>
                <c:pt idx="69">
                  <c:v>54.762078186656993</c:v>
                </c:pt>
                <c:pt idx="70">
                  <c:v>54.762078186656993</c:v>
                </c:pt>
                <c:pt idx="71">
                  <c:v>54.762078186656993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C3-A14F-96AF-FBF11932B5CA}"/>
            </c:ext>
          </c:extLst>
        </c:ser>
        <c:ser>
          <c:idx val="3"/>
          <c:order val="3"/>
          <c:tx>
            <c:strRef>
              <c:f>lc_summary!$S$2</c:f>
              <c:strCache>
                <c:ptCount val="1"/>
                <c:pt idx="0">
                  <c:v>natgas_consumption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CA_Gasoline_Gasification_Non_CCS_Herb</c:v>
                </c:pt>
                <c:pt idx="1">
                  <c:v>CA_Gasoline_Gasification_Non_CCS_Herb</c:v>
                </c:pt>
                <c:pt idx="2">
                  <c:v>CA_Gasoline_Gasification_Non_CCS_Herb</c:v>
                </c:pt>
                <c:pt idx="3">
                  <c:v>CA_Gasoline_Gasification_Non_CCS_Herb</c:v>
                </c:pt>
                <c:pt idx="4">
                  <c:v>CA_Gasoline_Gasification_Non_CCS_Herb</c:v>
                </c:pt>
                <c:pt idx="5">
                  <c:v>CA_Gasoline_Gasification_Non_CCS_Herb</c:v>
                </c:pt>
                <c:pt idx="6">
                  <c:v>CA_Gasoline_Gasification_Non_CCS_Herb</c:v>
                </c:pt>
                <c:pt idx="7">
                  <c:v>CA_Gasoline_Gasification_Non_CCS_Herb</c:v>
                </c:pt>
                <c:pt idx="8">
                  <c:v>CA_Gasoline_Gasification_Non_CCS_Herb</c:v>
                </c:pt>
                <c:pt idx="9">
                  <c:v>CA_Gasoline_Gasification_Non_CCS_Herb</c:v>
                </c:pt>
                <c:pt idx="10">
                  <c:v>CA_Gasoline_Gasification_Non_CCS_Herb</c:v>
                </c:pt>
                <c:pt idx="11">
                  <c:v>CA_Gasoline_Gasification_Non_CCS_Herb</c:v>
                </c:pt>
                <c:pt idx="12">
                  <c:v>CA_Gasoline_Gasification_Non_CCS_Herb</c:v>
                </c:pt>
                <c:pt idx="13">
                  <c:v>CA_Gasoline_Gasification_Non_CCS_Herb</c:v>
                </c:pt>
                <c:pt idx="14">
                  <c:v>CA_Gasoline_Gasification_Non_CCS_Herb</c:v>
                </c:pt>
                <c:pt idx="15">
                  <c:v>CA_Gasoline_Gasification_Non_CCS_Herb</c:v>
                </c:pt>
                <c:pt idx="16">
                  <c:v>CA_Gasoline_Gasification_Non_CCS_Herb</c:v>
                </c:pt>
                <c:pt idx="17">
                  <c:v>CA_Gasoline_Gasification_Non_CCS_Herb</c:v>
                </c:pt>
                <c:pt idx="18">
                  <c:v>CA_Gasoline_Gasification_Non_CCS_Herb</c:v>
                </c:pt>
                <c:pt idx="19">
                  <c:v>CA_Gasoline_Gasification_Non_CCS_Herb</c:v>
                </c:pt>
                <c:pt idx="20">
                  <c:v>CA_Gasoline_Gasification_Non_CCS_Herb</c:v>
                </c:pt>
                <c:pt idx="21">
                  <c:v>CA_Gasoline_Gasification_Non_CCS_Herb</c:v>
                </c:pt>
                <c:pt idx="22">
                  <c:v>CA_Gasoline_Gasification_Non_CCS_Herb</c:v>
                </c:pt>
                <c:pt idx="23">
                  <c:v>CA_Gasoline_Gasification_Non_CCS_Herb</c:v>
                </c:pt>
                <c:pt idx="24">
                  <c:v>CA_Gasoline_Gasification_Non_CCS_Herb</c:v>
                </c:pt>
                <c:pt idx="25">
                  <c:v>CA_Gasoline_Gasification_Non_CCS_Herb</c:v>
                </c:pt>
                <c:pt idx="26">
                  <c:v>CA_Gasoline_Gasification_Non_CCS_Herb</c:v>
                </c:pt>
                <c:pt idx="27">
                  <c:v>CA_Gasoline_Gasification_Non_CCS_Herb</c:v>
                </c:pt>
                <c:pt idx="28">
                  <c:v>CA_Gasoline_Gasification_Non_CCS_Herb</c:v>
                </c:pt>
                <c:pt idx="29">
                  <c:v>CA_Gasoline_Gasification_Non_CCS_Herb</c:v>
                </c:pt>
                <c:pt idx="30">
                  <c:v>CA_Gasoline_Gasification_Non_CCS_Herb</c:v>
                </c:pt>
                <c:pt idx="31">
                  <c:v>CA_Gasoline_Gasification_Non_CCS_Herb</c:v>
                </c:pt>
                <c:pt idx="32">
                  <c:v>CA_Gasoline_Gasification_Non_CCS_Herb</c:v>
                </c:pt>
                <c:pt idx="33">
                  <c:v>CA_Gasoline_Gasification_Non_CCS_Herb</c:v>
                </c:pt>
                <c:pt idx="34">
                  <c:v>CA_Gasoline_Gasification_Non_CCS_Herb</c:v>
                </c:pt>
                <c:pt idx="35">
                  <c:v>CA_Gasoline_Gasification_Non_CCS_Herb</c:v>
                </c:pt>
                <c:pt idx="36">
                  <c:v>CA_Gasoline_Gasification_Non_CCS_Herb</c:v>
                </c:pt>
                <c:pt idx="37">
                  <c:v>CA_Gasoline_Gasification_Non_CCS_Herb</c:v>
                </c:pt>
                <c:pt idx="38">
                  <c:v>CA_Gasoline_Gasification_Non_CCS_Herb</c:v>
                </c:pt>
                <c:pt idx="39">
                  <c:v>CA_Gasoline_Gasification_Non_CCS_Herb</c:v>
                </c:pt>
                <c:pt idx="40">
                  <c:v>CA_Gasoline_Gasification_Non_CCS_Herb</c:v>
                </c:pt>
                <c:pt idx="41">
                  <c:v>CA_Gasoline_Gasification_Non_CCS_Herb</c:v>
                </c:pt>
                <c:pt idx="42">
                  <c:v>CA_Gasoline_Gasification_Non_CCS_Herb</c:v>
                </c:pt>
                <c:pt idx="43">
                  <c:v>CA_Gasoline_Gasification_Non_CCS_Herb</c:v>
                </c:pt>
                <c:pt idx="44">
                  <c:v>CA_Gasoline_Gasification_Non_CCS_Herb</c:v>
                </c:pt>
                <c:pt idx="45">
                  <c:v>CA_Gasoline_Gasification_Non_CCS_Herb</c:v>
                </c:pt>
                <c:pt idx="46">
                  <c:v>CA_Gasoline_Gasification_Non_CCS_Herb</c:v>
                </c:pt>
                <c:pt idx="47">
                  <c:v>CA_Gasoline_Gasification_Non_CCS_Herb</c:v>
                </c:pt>
                <c:pt idx="48">
                  <c:v>CA_Gasoline_Gasification_Non_CCS_Herb</c:v>
                </c:pt>
                <c:pt idx="49">
                  <c:v>CA_Gasoline_Gasification_Non_CCS_Herb</c:v>
                </c:pt>
                <c:pt idx="50">
                  <c:v>CA_Gasoline_Gasification_Non_CCS_Herb</c:v>
                </c:pt>
                <c:pt idx="51">
                  <c:v>CA_Gasoline_Gasification_Non_CCS_Herb</c:v>
                </c:pt>
                <c:pt idx="52">
                  <c:v>CA_Gasoline_Gasification_Non_CCS_Herb</c:v>
                </c:pt>
                <c:pt idx="53">
                  <c:v>CA_Gasoline_Gasification_Non_CCS_Herb</c:v>
                </c:pt>
                <c:pt idx="54">
                  <c:v>CA_Gasoline_Gasification_Non_CCS_Herb</c:v>
                </c:pt>
                <c:pt idx="55">
                  <c:v>CA_Gasoline_Gasification_Non_CCS_Herb</c:v>
                </c:pt>
                <c:pt idx="56">
                  <c:v>CA_Gasoline_Gasification_Non_CCS_Herb</c:v>
                </c:pt>
                <c:pt idx="57">
                  <c:v>CA_Gasoline_Gasification_Non_CCS_Herb</c:v>
                </c:pt>
                <c:pt idx="58">
                  <c:v>CA_Gasoline_Gasification_Non_CCS_Herb</c:v>
                </c:pt>
                <c:pt idx="59">
                  <c:v>CA_Gasoline_Gasification_Non_CCS_Herb</c:v>
                </c:pt>
                <c:pt idx="60">
                  <c:v>CA_Gasoline_Gasification_Non_CCS_Herb</c:v>
                </c:pt>
                <c:pt idx="61">
                  <c:v>CA_Gasoline_Gasification_Non_CCS_Herb</c:v>
                </c:pt>
                <c:pt idx="62">
                  <c:v>CA_Gasoline_Gasification_Non_CCS_Herb</c:v>
                </c:pt>
                <c:pt idx="63">
                  <c:v>CA_Gasoline_Gasification_Non_CCS_Herb</c:v>
                </c:pt>
                <c:pt idx="64">
                  <c:v>CA_Gasoline_Gasification_Non_CCS_Herb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strCache>
            </c:strRef>
          </c:cat>
          <c:val>
            <c:numRef>
              <c:f>lc_summary!$S$3:$S$74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C3-A14F-96AF-FBF11932B5CA}"/>
            </c:ext>
          </c:extLst>
        </c:ser>
        <c:ser>
          <c:idx val="4"/>
          <c:order val="4"/>
          <c:tx>
            <c:strRef>
              <c:f>lc_summary!$T$2</c:f>
              <c:strCache>
                <c:ptCount val="1"/>
                <c:pt idx="0">
                  <c:v>investment_cost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CA_Gasoline_Gasification_Non_CCS_Herb</c:v>
                </c:pt>
                <c:pt idx="1">
                  <c:v>CA_Gasoline_Gasification_Non_CCS_Herb</c:v>
                </c:pt>
                <c:pt idx="2">
                  <c:v>CA_Gasoline_Gasification_Non_CCS_Herb</c:v>
                </c:pt>
                <c:pt idx="3">
                  <c:v>CA_Gasoline_Gasification_Non_CCS_Herb</c:v>
                </c:pt>
                <c:pt idx="4">
                  <c:v>CA_Gasoline_Gasification_Non_CCS_Herb</c:v>
                </c:pt>
                <c:pt idx="5">
                  <c:v>CA_Gasoline_Gasification_Non_CCS_Herb</c:v>
                </c:pt>
                <c:pt idx="6">
                  <c:v>CA_Gasoline_Gasification_Non_CCS_Herb</c:v>
                </c:pt>
                <c:pt idx="7">
                  <c:v>CA_Gasoline_Gasification_Non_CCS_Herb</c:v>
                </c:pt>
                <c:pt idx="8">
                  <c:v>CA_Gasoline_Gasification_Non_CCS_Herb</c:v>
                </c:pt>
                <c:pt idx="9">
                  <c:v>CA_Gasoline_Gasification_Non_CCS_Herb</c:v>
                </c:pt>
                <c:pt idx="10">
                  <c:v>CA_Gasoline_Gasification_Non_CCS_Herb</c:v>
                </c:pt>
                <c:pt idx="11">
                  <c:v>CA_Gasoline_Gasification_Non_CCS_Herb</c:v>
                </c:pt>
                <c:pt idx="12">
                  <c:v>CA_Gasoline_Gasification_Non_CCS_Herb</c:v>
                </c:pt>
                <c:pt idx="13">
                  <c:v>CA_Gasoline_Gasification_Non_CCS_Herb</c:v>
                </c:pt>
                <c:pt idx="14">
                  <c:v>CA_Gasoline_Gasification_Non_CCS_Herb</c:v>
                </c:pt>
                <c:pt idx="15">
                  <c:v>CA_Gasoline_Gasification_Non_CCS_Herb</c:v>
                </c:pt>
                <c:pt idx="16">
                  <c:v>CA_Gasoline_Gasification_Non_CCS_Herb</c:v>
                </c:pt>
                <c:pt idx="17">
                  <c:v>CA_Gasoline_Gasification_Non_CCS_Herb</c:v>
                </c:pt>
                <c:pt idx="18">
                  <c:v>CA_Gasoline_Gasification_Non_CCS_Herb</c:v>
                </c:pt>
                <c:pt idx="19">
                  <c:v>CA_Gasoline_Gasification_Non_CCS_Herb</c:v>
                </c:pt>
                <c:pt idx="20">
                  <c:v>CA_Gasoline_Gasification_Non_CCS_Herb</c:v>
                </c:pt>
                <c:pt idx="21">
                  <c:v>CA_Gasoline_Gasification_Non_CCS_Herb</c:v>
                </c:pt>
                <c:pt idx="22">
                  <c:v>CA_Gasoline_Gasification_Non_CCS_Herb</c:v>
                </c:pt>
                <c:pt idx="23">
                  <c:v>CA_Gasoline_Gasification_Non_CCS_Herb</c:v>
                </c:pt>
                <c:pt idx="24">
                  <c:v>CA_Gasoline_Gasification_Non_CCS_Herb</c:v>
                </c:pt>
                <c:pt idx="25">
                  <c:v>CA_Gasoline_Gasification_Non_CCS_Herb</c:v>
                </c:pt>
                <c:pt idx="26">
                  <c:v>CA_Gasoline_Gasification_Non_CCS_Herb</c:v>
                </c:pt>
                <c:pt idx="27">
                  <c:v>CA_Gasoline_Gasification_Non_CCS_Herb</c:v>
                </c:pt>
                <c:pt idx="28">
                  <c:v>CA_Gasoline_Gasification_Non_CCS_Herb</c:v>
                </c:pt>
                <c:pt idx="29">
                  <c:v>CA_Gasoline_Gasification_Non_CCS_Herb</c:v>
                </c:pt>
                <c:pt idx="30">
                  <c:v>CA_Gasoline_Gasification_Non_CCS_Herb</c:v>
                </c:pt>
                <c:pt idx="31">
                  <c:v>CA_Gasoline_Gasification_Non_CCS_Herb</c:v>
                </c:pt>
                <c:pt idx="32">
                  <c:v>CA_Gasoline_Gasification_Non_CCS_Herb</c:v>
                </c:pt>
                <c:pt idx="33">
                  <c:v>CA_Gasoline_Gasification_Non_CCS_Herb</c:v>
                </c:pt>
                <c:pt idx="34">
                  <c:v>CA_Gasoline_Gasification_Non_CCS_Herb</c:v>
                </c:pt>
                <c:pt idx="35">
                  <c:v>CA_Gasoline_Gasification_Non_CCS_Herb</c:v>
                </c:pt>
                <c:pt idx="36">
                  <c:v>CA_Gasoline_Gasification_Non_CCS_Herb</c:v>
                </c:pt>
                <c:pt idx="37">
                  <c:v>CA_Gasoline_Gasification_Non_CCS_Herb</c:v>
                </c:pt>
                <c:pt idx="38">
                  <c:v>CA_Gasoline_Gasification_Non_CCS_Herb</c:v>
                </c:pt>
                <c:pt idx="39">
                  <c:v>CA_Gasoline_Gasification_Non_CCS_Herb</c:v>
                </c:pt>
                <c:pt idx="40">
                  <c:v>CA_Gasoline_Gasification_Non_CCS_Herb</c:v>
                </c:pt>
                <c:pt idx="41">
                  <c:v>CA_Gasoline_Gasification_Non_CCS_Herb</c:v>
                </c:pt>
                <c:pt idx="42">
                  <c:v>CA_Gasoline_Gasification_Non_CCS_Herb</c:v>
                </c:pt>
                <c:pt idx="43">
                  <c:v>CA_Gasoline_Gasification_Non_CCS_Herb</c:v>
                </c:pt>
                <c:pt idx="44">
                  <c:v>CA_Gasoline_Gasification_Non_CCS_Herb</c:v>
                </c:pt>
                <c:pt idx="45">
                  <c:v>CA_Gasoline_Gasification_Non_CCS_Herb</c:v>
                </c:pt>
                <c:pt idx="46">
                  <c:v>CA_Gasoline_Gasification_Non_CCS_Herb</c:v>
                </c:pt>
                <c:pt idx="47">
                  <c:v>CA_Gasoline_Gasification_Non_CCS_Herb</c:v>
                </c:pt>
                <c:pt idx="48">
                  <c:v>CA_Gasoline_Gasification_Non_CCS_Herb</c:v>
                </c:pt>
                <c:pt idx="49">
                  <c:v>CA_Gasoline_Gasification_Non_CCS_Herb</c:v>
                </c:pt>
                <c:pt idx="50">
                  <c:v>CA_Gasoline_Gasification_Non_CCS_Herb</c:v>
                </c:pt>
                <c:pt idx="51">
                  <c:v>CA_Gasoline_Gasification_Non_CCS_Herb</c:v>
                </c:pt>
                <c:pt idx="52">
                  <c:v>CA_Gasoline_Gasification_Non_CCS_Herb</c:v>
                </c:pt>
                <c:pt idx="53">
                  <c:v>CA_Gasoline_Gasification_Non_CCS_Herb</c:v>
                </c:pt>
                <c:pt idx="54">
                  <c:v>CA_Gasoline_Gasification_Non_CCS_Herb</c:v>
                </c:pt>
                <c:pt idx="55">
                  <c:v>CA_Gasoline_Gasification_Non_CCS_Herb</c:v>
                </c:pt>
                <c:pt idx="56">
                  <c:v>CA_Gasoline_Gasification_Non_CCS_Herb</c:v>
                </c:pt>
                <c:pt idx="57">
                  <c:v>CA_Gasoline_Gasification_Non_CCS_Herb</c:v>
                </c:pt>
                <c:pt idx="58">
                  <c:v>CA_Gasoline_Gasification_Non_CCS_Herb</c:v>
                </c:pt>
                <c:pt idx="59">
                  <c:v>CA_Gasoline_Gasification_Non_CCS_Herb</c:v>
                </c:pt>
                <c:pt idx="60">
                  <c:v>CA_Gasoline_Gasification_Non_CCS_Herb</c:v>
                </c:pt>
                <c:pt idx="61">
                  <c:v>CA_Gasoline_Gasification_Non_CCS_Herb</c:v>
                </c:pt>
                <c:pt idx="62">
                  <c:v>CA_Gasoline_Gasification_Non_CCS_Herb</c:v>
                </c:pt>
                <c:pt idx="63">
                  <c:v>CA_Gasoline_Gasification_Non_CCS_Herb</c:v>
                </c:pt>
                <c:pt idx="64">
                  <c:v>CA_Gasoline_Gasification_Non_CCS_Herb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strCache>
            </c:strRef>
          </c:cat>
          <c:val>
            <c:numRef>
              <c:f>lc_summary!$T$3:$T$74</c:f>
              <c:numCache>
                <c:formatCode>General</c:formatCode>
                <c:ptCount val="72"/>
                <c:pt idx="0">
                  <c:v>17.45471442935871</c:v>
                </c:pt>
                <c:pt idx="1">
                  <c:v>17.388133507022271</c:v>
                </c:pt>
                <c:pt idx="2">
                  <c:v>17.350687233631078</c:v>
                </c:pt>
                <c:pt idx="3">
                  <c:v>17.483783597976871</c:v>
                </c:pt>
                <c:pt idx="4">
                  <c:v>17.531560750666046</c:v>
                </c:pt>
                <c:pt idx="5">
                  <c:v>16.686310181770139</c:v>
                </c:pt>
                <c:pt idx="6">
                  <c:v>16.738714402759417</c:v>
                </c:pt>
                <c:pt idx="7">
                  <c:v>16.695155510284405</c:v>
                </c:pt>
                <c:pt idx="8">
                  <c:v>16.625452154425169</c:v>
                </c:pt>
                <c:pt idx="9">
                  <c:v>16.836330465758454</c:v>
                </c:pt>
                <c:pt idx="10">
                  <c:v>18.5322120463203</c:v>
                </c:pt>
                <c:pt idx="11">
                  <c:v>18.41498814617082</c:v>
                </c:pt>
                <c:pt idx="12">
                  <c:v>18.393478736071767</c:v>
                </c:pt>
                <c:pt idx="13">
                  <c:v>18.467997867365622</c:v>
                </c:pt>
                <c:pt idx="14">
                  <c:v>19.18066504229386</c:v>
                </c:pt>
                <c:pt idx="15">
                  <c:v>18.725964591166843</c:v>
                </c:pt>
                <c:pt idx="16">
                  <c:v>18.654534491341071</c:v>
                </c:pt>
                <c:pt idx="17">
                  <c:v>18.614360955851129</c:v>
                </c:pt>
                <c:pt idx="18">
                  <c:v>18.757150906155914</c:v>
                </c:pt>
                <c:pt idx="19">
                  <c:v>18.808407732679495</c:v>
                </c:pt>
                <c:pt idx="20">
                  <c:v>17.901596436060082</c:v>
                </c:pt>
                <c:pt idx="21">
                  <c:v>17.957817326447284</c:v>
                </c:pt>
                <c:pt idx="22">
                  <c:v>17.911085981662545</c:v>
                </c:pt>
                <c:pt idx="23">
                  <c:v>17.836306037310653</c:v>
                </c:pt>
                <c:pt idx="24">
                  <c:v>18.062542897676021</c:v>
                </c:pt>
                <c:pt idx="25">
                  <c:v>19.881937798517143</c:v>
                </c:pt>
                <c:pt idx="26">
                  <c:v>19.756176325172991</c:v>
                </c:pt>
                <c:pt idx="27">
                  <c:v>19.733100356011654</c:v>
                </c:pt>
                <c:pt idx="28">
                  <c:v>19.813046815154298</c:v>
                </c:pt>
                <c:pt idx="29">
                  <c:v>20.577618492164735</c:v>
                </c:pt>
                <c:pt idx="30">
                  <c:v>33.240683481624224</c:v>
                </c:pt>
                <c:pt idx="31">
                  <c:v>33.113887057984215</c:v>
                </c:pt>
                <c:pt idx="32">
                  <c:v>33.042574535146869</c:v>
                </c:pt>
                <c:pt idx="33">
                  <c:v>33.296042681972118</c:v>
                </c:pt>
                <c:pt idx="34">
                  <c:v>33.387029287145261</c:v>
                </c:pt>
                <c:pt idx="35">
                  <c:v>31.777337720030705</c:v>
                </c:pt>
                <c:pt idx="36">
                  <c:v>31.877136094278278</c:v>
                </c:pt>
                <c:pt idx="37">
                  <c:v>31.794182725809723</c:v>
                </c:pt>
                <c:pt idx="38">
                  <c:v>31.661439953127818</c:v>
                </c:pt>
                <c:pt idx="39">
                  <c:v>32.063035707016454</c:v>
                </c:pt>
                <c:pt idx="40">
                  <c:v>35.292665333437341</c:v>
                </c:pt>
                <c:pt idx="41">
                  <c:v>35.069424639519347</c:v>
                </c:pt>
                <c:pt idx="42">
                  <c:v>35.028462210951822</c:v>
                </c:pt>
                <c:pt idx="43">
                  <c:v>35.170376125767767</c:v>
                </c:pt>
                <c:pt idx="44">
                  <c:v>36.527576444650514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1.1219173819252375</c:v>
                </c:pt>
                <c:pt idx="55">
                  <c:v>1.1219173819252375</c:v>
                </c:pt>
                <c:pt idx="56">
                  <c:v>1.1219173819252375</c:v>
                </c:pt>
                <c:pt idx="57">
                  <c:v>1.1219173819252375</c:v>
                </c:pt>
                <c:pt idx="58">
                  <c:v>1.1219173819252375</c:v>
                </c:pt>
                <c:pt idx="59">
                  <c:v>1.1219173819252375</c:v>
                </c:pt>
                <c:pt idx="60">
                  <c:v>1.1219173819252375</c:v>
                </c:pt>
                <c:pt idx="61">
                  <c:v>1.1219173819252375</c:v>
                </c:pt>
                <c:pt idx="62">
                  <c:v>1.1219173819252375</c:v>
                </c:pt>
                <c:pt idx="63">
                  <c:v>1.8459716853700829</c:v>
                </c:pt>
                <c:pt idx="64">
                  <c:v>1.8459716853700829</c:v>
                </c:pt>
                <c:pt idx="65">
                  <c:v>1.8459716853700829</c:v>
                </c:pt>
                <c:pt idx="66">
                  <c:v>1.8459716853700829</c:v>
                </c:pt>
                <c:pt idx="67">
                  <c:v>1.8459716853700829</c:v>
                </c:pt>
                <c:pt idx="68">
                  <c:v>1.8459716853700829</c:v>
                </c:pt>
                <c:pt idx="69">
                  <c:v>1.8459716853700829</c:v>
                </c:pt>
                <c:pt idx="70">
                  <c:v>1.8459716853700829</c:v>
                </c:pt>
                <c:pt idx="71">
                  <c:v>1.8459716853700829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C3-A14F-96AF-FBF11932B5CA}"/>
            </c:ext>
          </c:extLst>
        </c:ser>
        <c:ser>
          <c:idx val="5"/>
          <c:order val="5"/>
          <c:tx>
            <c:strRef>
              <c:f>lc_summary!$U$2</c:f>
              <c:strCache>
                <c:ptCount val="1"/>
                <c:pt idx="0">
                  <c:v>fixed_om_cost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CA_Gasoline_Gasification_Non_CCS_Herb</c:v>
                </c:pt>
                <c:pt idx="1">
                  <c:v>CA_Gasoline_Gasification_Non_CCS_Herb</c:v>
                </c:pt>
                <c:pt idx="2">
                  <c:v>CA_Gasoline_Gasification_Non_CCS_Herb</c:v>
                </c:pt>
                <c:pt idx="3">
                  <c:v>CA_Gasoline_Gasification_Non_CCS_Herb</c:v>
                </c:pt>
                <c:pt idx="4">
                  <c:v>CA_Gasoline_Gasification_Non_CCS_Herb</c:v>
                </c:pt>
                <c:pt idx="5">
                  <c:v>CA_Gasoline_Gasification_Non_CCS_Herb</c:v>
                </c:pt>
                <c:pt idx="6">
                  <c:v>CA_Gasoline_Gasification_Non_CCS_Herb</c:v>
                </c:pt>
                <c:pt idx="7">
                  <c:v>CA_Gasoline_Gasification_Non_CCS_Herb</c:v>
                </c:pt>
                <c:pt idx="8">
                  <c:v>CA_Gasoline_Gasification_Non_CCS_Herb</c:v>
                </c:pt>
                <c:pt idx="9">
                  <c:v>CA_Gasoline_Gasification_Non_CCS_Herb</c:v>
                </c:pt>
                <c:pt idx="10">
                  <c:v>CA_Gasoline_Gasification_Non_CCS_Herb</c:v>
                </c:pt>
                <c:pt idx="11">
                  <c:v>CA_Gasoline_Gasification_Non_CCS_Herb</c:v>
                </c:pt>
                <c:pt idx="12">
                  <c:v>CA_Gasoline_Gasification_Non_CCS_Herb</c:v>
                </c:pt>
                <c:pt idx="13">
                  <c:v>CA_Gasoline_Gasification_Non_CCS_Herb</c:v>
                </c:pt>
                <c:pt idx="14">
                  <c:v>CA_Gasoline_Gasification_Non_CCS_Herb</c:v>
                </c:pt>
                <c:pt idx="15">
                  <c:v>CA_Gasoline_Gasification_Non_CCS_Herb</c:v>
                </c:pt>
                <c:pt idx="16">
                  <c:v>CA_Gasoline_Gasification_Non_CCS_Herb</c:v>
                </c:pt>
                <c:pt idx="17">
                  <c:v>CA_Gasoline_Gasification_Non_CCS_Herb</c:v>
                </c:pt>
                <c:pt idx="18">
                  <c:v>CA_Gasoline_Gasification_Non_CCS_Herb</c:v>
                </c:pt>
                <c:pt idx="19">
                  <c:v>CA_Gasoline_Gasification_Non_CCS_Herb</c:v>
                </c:pt>
                <c:pt idx="20">
                  <c:v>CA_Gasoline_Gasification_Non_CCS_Herb</c:v>
                </c:pt>
                <c:pt idx="21">
                  <c:v>CA_Gasoline_Gasification_Non_CCS_Herb</c:v>
                </c:pt>
                <c:pt idx="22">
                  <c:v>CA_Gasoline_Gasification_Non_CCS_Herb</c:v>
                </c:pt>
                <c:pt idx="23">
                  <c:v>CA_Gasoline_Gasification_Non_CCS_Herb</c:v>
                </c:pt>
                <c:pt idx="24">
                  <c:v>CA_Gasoline_Gasification_Non_CCS_Herb</c:v>
                </c:pt>
                <c:pt idx="25">
                  <c:v>CA_Gasoline_Gasification_Non_CCS_Herb</c:v>
                </c:pt>
                <c:pt idx="26">
                  <c:v>CA_Gasoline_Gasification_Non_CCS_Herb</c:v>
                </c:pt>
                <c:pt idx="27">
                  <c:v>CA_Gasoline_Gasification_Non_CCS_Herb</c:v>
                </c:pt>
                <c:pt idx="28">
                  <c:v>CA_Gasoline_Gasification_Non_CCS_Herb</c:v>
                </c:pt>
                <c:pt idx="29">
                  <c:v>CA_Gasoline_Gasification_Non_CCS_Herb</c:v>
                </c:pt>
                <c:pt idx="30">
                  <c:v>CA_Gasoline_Gasification_Non_CCS_Herb</c:v>
                </c:pt>
                <c:pt idx="31">
                  <c:v>CA_Gasoline_Gasification_Non_CCS_Herb</c:v>
                </c:pt>
                <c:pt idx="32">
                  <c:v>CA_Gasoline_Gasification_Non_CCS_Herb</c:v>
                </c:pt>
                <c:pt idx="33">
                  <c:v>CA_Gasoline_Gasification_Non_CCS_Herb</c:v>
                </c:pt>
                <c:pt idx="34">
                  <c:v>CA_Gasoline_Gasification_Non_CCS_Herb</c:v>
                </c:pt>
                <c:pt idx="35">
                  <c:v>CA_Gasoline_Gasification_Non_CCS_Herb</c:v>
                </c:pt>
                <c:pt idx="36">
                  <c:v>CA_Gasoline_Gasification_Non_CCS_Herb</c:v>
                </c:pt>
                <c:pt idx="37">
                  <c:v>CA_Gasoline_Gasification_Non_CCS_Herb</c:v>
                </c:pt>
                <c:pt idx="38">
                  <c:v>CA_Gasoline_Gasification_Non_CCS_Herb</c:v>
                </c:pt>
                <c:pt idx="39">
                  <c:v>CA_Gasoline_Gasification_Non_CCS_Herb</c:v>
                </c:pt>
                <c:pt idx="40">
                  <c:v>CA_Gasoline_Gasification_Non_CCS_Herb</c:v>
                </c:pt>
                <c:pt idx="41">
                  <c:v>CA_Gasoline_Gasification_Non_CCS_Herb</c:v>
                </c:pt>
                <c:pt idx="42">
                  <c:v>CA_Gasoline_Gasification_Non_CCS_Herb</c:v>
                </c:pt>
                <c:pt idx="43">
                  <c:v>CA_Gasoline_Gasification_Non_CCS_Herb</c:v>
                </c:pt>
                <c:pt idx="44">
                  <c:v>CA_Gasoline_Gasification_Non_CCS_Herb</c:v>
                </c:pt>
                <c:pt idx="45">
                  <c:v>CA_Gasoline_Gasification_Non_CCS_Herb</c:v>
                </c:pt>
                <c:pt idx="46">
                  <c:v>CA_Gasoline_Gasification_Non_CCS_Herb</c:v>
                </c:pt>
                <c:pt idx="47">
                  <c:v>CA_Gasoline_Gasification_Non_CCS_Herb</c:v>
                </c:pt>
                <c:pt idx="48">
                  <c:v>CA_Gasoline_Gasification_Non_CCS_Herb</c:v>
                </c:pt>
                <c:pt idx="49">
                  <c:v>CA_Gasoline_Gasification_Non_CCS_Herb</c:v>
                </c:pt>
                <c:pt idx="50">
                  <c:v>CA_Gasoline_Gasification_Non_CCS_Herb</c:v>
                </c:pt>
                <c:pt idx="51">
                  <c:v>CA_Gasoline_Gasification_Non_CCS_Herb</c:v>
                </c:pt>
                <c:pt idx="52">
                  <c:v>CA_Gasoline_Gasification_Non_CCS_Herb</c:v>
                </c:pt>
                <c:pt idx="53">
                  <c:v>CA_Gasoline_Gasification_Non_CCS_Herb</c:v>
                </c:pt>
                <c:pt idx="54">
                  <c:v>CA_Gasoline_Gasification_Non_CCS_Herb</c:v>
                </c:pt>
                <c:pt idx="55">
                  <c:v>CA_Gasoline_Gasification_Non_CCS_Herb</c:v>
                </c:pt>
                <c:pt idx="56">
                  <c:v>CA_Gasoline_Gasification_Non_CCS_Herb</c:v>
                </c:pt>
                <c:pt idx="57">
                  <c:v>CA_Gasoline_Gasification_Non_CCS_Herb</c:v>
                </c:pt>
                <c:pt idx="58">
                  <c:v>CA_Gasoline_Gasification_Non_CCS_Herb</c:v>
                </c:pt>
                <c:pt idx="59">
                  <c:v>CA_Gasoline_Gasification_Non_CCS_Herb</c:v>
                </c:pt>
                <c:pt idx="60">
                  <c:v>CA_Gasoline_Gasification_Non_CCS_Herb</c:v>
                </c:pt>
                <c:pt idx="61">
                  <c:v>CA_Gasoline_Gasification_Non_CCS_Herb</c:v>
                </c:pt>
                <c:pt idx="62">
                  <c:v>CA_Gasoline_Gasification_Non_CCS_Herb</c:v>
                </c:pt>
                <c:pt idx="63">
                  <c:v>CA_Gasoline_Gasification_Non_CCS_Herb</c:v>
                </c:pt>
                <c:pt idx="64">
                  <c:v>CA_Gasoline_Gasification_Non_CCS_Herb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strCache>
            </c:strRef>
          </c:cat>
          <c:val>
            <c:numRef>
              <c:f>lc_summary!$U$3:$U$74</c:f>
              <c:numCache>
                <c:formatCode>General</c:formatCode>
                <c:ptCount val="72"/>
                <c:pt idx="0">
                  <c:v>9.2063495350048488</c:v>
                </c:pt>
                <c:pt idx="1">
                  <c:v>9.1712319599867627</c:v>
                </c:pt>
                <c:pt idx="2">
                  <c:v>9.1514812225560309</c:v>
                </c:pt>
                <c:pt idx="3">
                  <c:v>9.2216818355173462</c:v>
                </c:pt>
                <c:pt idx="4">
                  <c:v>9.2468815126145572</c:v>
                </c:pt>
                <c:pt idx="5">
                  <c:v>8.8010608597811508</c:v>
                </c:pt>
                <c:pt idx="6">
                  <c:v>8.8287010470491492</c:v>
                </c:pt>
                <c:pt idx="7">
                  <c:v>8.8057262575671658</c:v>
                </c:pt>
                <c:pt idx="8">
                  <c:v>8.7689617799585484</c:v>
                </c:pt>
                <c:pt idx="9">
                  <c:v>8.8801878588120839</c:v>
                </c:pt>
                <c:pt idx="10">
                  <c:v>9.7746670359888874</c:v>
                </c:pt>
                <c:pt idx="11">
                  <c:v>9.7128382273309022</c:v>
                </c:pt>
                <c:pt idx="12">
                  <c:v>9.7014932609915725</c:v>
                </c:pt>
                <c:pt idx="13">
                  <c:v>9.7407977808399302</c:v>
                </c:pt>
                <c:pt idx="14">
                  <c:v>10.11668838283558</c:v>
                </c:pt>
                <c:pt idx="15">
                  <c:v>9.9021474929402586</c:v>
                </c:pt>
                <c:pt idx="16">
                  <c:v>9.8643758000340416</c:v>
                </c:pt>
                <c:pt idx="17">
                  <c:v>9.8431323403554991</c:v>
                </c:pt>
                <c:pt idx="18">
                  <c:v>9.9186385788482578</c:v>
                </c:pt>
                <c:pt idx="19">
                  <c:v>9.945742798435214</c:v>
                </c:pt>
                <c:pt idx="20">
                  <c:v>9.4662278894074863</c:v>
                </c:pt>
                <c:pt idx="21">
                  <c:v>9.4959570681682486</c:v>
                </c:pt>
                <c:pt idx="22">
                  <c:v>9.4712458888669584</c:v>
                </c:pt>
                <c:pt idx="23">
                  <c:v>9.4317028236816505</c:v>
                </c:pt>
                <c:pt idx="24">
                  <c:v>9.551335152834632</c:v>
                </c:pt>
                <c:pt idx="25">
                  <c:v>10.513417323198794</c:v>
                </c:pt>
                <c:pt idx="26">
                  <c:v>10.446915613664926</c:v>
                </c:pt>
                <c:pt idx="27">
                  <c:v>10.434713216876997</c:v>
                </c:pt>
                <c:pt idx="28">
                  <c:v>10.476988295744883</c:v>
                </c:pt>
                <c:pt idx="29">
                  <c:v>10.881287976961479</c:v>
                </c:pt>
                <c:pt idx="30">
                  <c:v>17.846543164887237</c:v>
                </c:pt>
                <c:pt idx="31">
                  <c:v>17.778467613766406</c:v>
                </c:pt>
                <c:pt idx="32">
                  <c:v>17.740180735046923</c:v>
                </c:pt>
                <c:pt idx="33">
                  <c:v>17.876264887039209</c:v>
                </c:pt>
                <c:pt idx="34">
                  <c:v>17.925114555775615</c:v>
                </c:pt>
                <c:pt idx="35">
                  <c:v>17.06088954516337</c:v>
                </c:pt>
                <c:pt idx="36">
                  <c:v>17.114470152035651</c:v>
                </c:pt>
                <c:pt idx="37">
                  <c:v>17.069933436300992</c:v>
                </c:pt>
                <c:pt idx="38">
                  <c:v>16.998665358320466</c:v>
                </c:pt>
                <c:pt idx="39">
                  <c:v>17.214277530090971</c:v>
                </c:pt>
                <c:pt idx="40">
                  <c:v>18.94822877590039</c:v>
                </c:pt>
                <c:pt idx="41">
                  <c:v>18.828373398005734</c:v>
                </c:pt>
                <c:pt idx="42">
                  <c:v>18.806381138130178</c:v>
                </c:pt>
                <c:pt idx="43">
                  <c:v>18.88257309753622</c:v>
                </c:pt>
                <c:pt idx="44">
                  <c:v>19.611238441849292</c:v>
                </c:pt>
                <c:pt idx="45">
                  <c:v>7.2208724377810398</c:v>
                </c:pt>
                <c:pt idx="46">
                  <c:v>7.2208724377810398</c:v>
                </c:pt>
                <c:pt idx="47">
                  <c:v>7.2208724377810398</c:v>
                </c:pt>
                <c:pt idx="48">
                  <c:v>7.2208724377810398</c:v>
                </c:pt>
                <c:pt idx="49">
                  <c:v>7.2208724377810398</c:v>
                </c:pt>
                <c:pt idx="50">
                  <c:v>7.2208724377810398</c:v>
                </c:pt>
                <c:pt idx="51">
                  <c:v>7.2208724377810398</c:v>
                </c:pt>
                <c:pt idx="52">
                  <c:v>7.2208724377810398</c:v>
                </c:pt>
                <c:pt idx="53">
                  <c:v>7.2208724377810398</c:v>
                </c:pt>
                <c:pt idx="54">
                  <c:v>7.8355578478551591</c:v>
                </c:pt>
                <c:pt idx="55">
                  <c:v>7.8355578478551591</c:v>
                </c:pt>
                <c:pt idx="56">
                  <c:v>7.8355578478551591</c:v>
                </c:pt>
                <c:pt idx="57">
                  <c:v>7.8355578478551591</c:v>
                </c:pt>
                <c:pt idx="58">
                  <c:v>7.8355578478551591</c:v>
                </c:pt>
                <c:pt idx="59">
                  <c:v>7.8355578478551591</c:v>
                </c:pt>
                <c:pt idx="60">
                  <c:v>7.8355578478551591</c:v>
                </c:pt>
                <c:pt idx="61">
                  <c:v>7.8355578478551591</c:v>
                </c:pt>
                <c:pt idx="62">
                  <c:v>7.8355578478551591</c:v>
                </c:pt>
                <c:pt idx="63">
                  <c:v>8.2322589053372308</c:v>
                </c:pt>
                <c:pt idx="64">
                  <c:v>8.2322589053372308</c:v>
                </c:pt>
                <c:pt idx="65">
                  <c:v>8.2322589053372308</c:v>
                </c:pt>
                <c:pt idx="66">
                  <c:v>8.2322589053372308</c:v>
                </c:pt>
                <c:pt idx="67">
                  <c:v>8.2322589053372308</c:v>
                </c:pt>
                <c:pt idx="68">
                  <c:v>8.2322589053372308</c:v>
                </c:pt>
                <c:pt idx="69">
                  <c:v>8.2322589053372308</c:v>
                </c:pt>
                <c:pt idx="70">
                  <c:v>8.2322589053372308</c:v>
                </c:pt>
                <c:pt idx="71">
                  <c:v>8.2322589053372308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C3-A14F-96AF-FBF11932B5CA}"/>
            </c:ext>
          </c:extLst>
        </c:ser>
        <c:ser>
          <c:idx val="6"/>
          <c:order val="6"/>
          <c:tx>
            <c:strRef>
              <c:f>lc_summary!$V$2</c:f>
              <c:strCache>
                <c:ptCount val="1"/>
                <c:pt idx="0">
                  <c:v>variable_om_cost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CA_Gasoline_Gasification_Non_CCS_Herb</c:v>
                </c:pt>
                <c:pt idx="1">
                  <c:v>CA_Gasoline_Gasification_Non_CCS_Herb</c:v>
                </c:pt>
                <c:pt idx="2">
                  <c:v>CA_Gasoline_Gasification_Non_CCS_Herb</c:v>
                </c:pt>
                <c:pt idx="3">
                  <c:v>CA_Gasoline_Gasification_Non_CCS_Herb</c:v>
                </c:pt>
                <c:pt idx="4">
                  <c:v>CA_Gasoline_Gasification_Non_CCS_Herb</c:v>
                </c:pt>
                <c:pt idx="5">
                  <c:v>CA_Gasoline_Gasification_Non_CCS_Herb</c:v>
                </c:pt>
                <c:pt idx="6">
                  <c:v>CA_Gasoline_Gasification_Non_CCS_Herb</c:v>
                </c:pt>
                <c:pt idx="7">
                  <c:v>CA_Gasoline_Gasification_Non_CCS_Herb</c:v>
                </c:pt>
                <c:pt idx="8">
                  <c:v>CA_Gasoline_Gasification_Non_CCS_Herb</c:v>
                </c:pt>
                <c:pt idx="9">
                  <c:v>CA_Gasoline_Gasification_Non_CCS_Herb</c:v>
                </c:pt>
                <c:pt idx="10">
                  <c:v>CA_Gasoline_Gasification_Non_CCS_Herb</c:v>
                </c:pt>
                <c:pt idx="11">
                  <c:v>CA_Gasoline_Gasification_Non_CCS_Herb</c:v>
                </c:pt>
                <c:pt idx="12">
                  <c:v>CA_Gasoline_Gasification_Non_CCS_Herb</c:v>
                </c:pt>
                <c:pt idx="13">
                  <c:v>CA_Gasoline_Gasification_Non_CCS_Herb</c:v>
                </c:pt>
                <c:pt idx="14">
                  <c:v>CA_Gasoline_Gasification_Non_CCS_Herb</c:v>
                </c:pt>
                <c:pt idx="15">
                  <c:v>CA_Gasoline_Gasification_Non_CCS_Herb</c:v>
                </c:pt>
                <c:pt idx="16">
                  <c:v>CA_Gasoline_Gasification_Non_CCS_Herb</c:v>
                </c:pt>
                <c:pt idx="17">
                  <c:v>CA_Gasoline_Gasification_Non_CCS_Herb</c:v>
                </c:pt>
                <c:pt idx="18">
                  <c:v>CA_Gasoline_Gasification_Non_CCS_Herb</c:v>
                </c:pt>
                <c:pt idx="19">
                  <c:v>CA_Gasoline_Gasification_Non_CCS_Herb</c:v>
                </c:pt>
                <c:pt idx="20">
                  <c:v>CA_Gasoline_Gasification_Non_CCS_Herb</c:v>
                </c:pt>
                <c:pt idx="21">
                  <c:v>CA_Gasoline_Gasification_Non_CCS_Herb</c:v>
                </c:pt>
                <c:pt idx="22">
                  <c:v>CA_Gasoline_Gasification_Non_CCS_Herb</c:v>
                </c:pt>
                <c:pt idx="23">
                  <c:v>CA_Gasoline_Gasification_Non_CCS_Herb</c:v>
                </c:pt>
                <c:pt idx="24">
                  <c:v>CA_Gasoline_Gasification_Non_CCS_Herb</c:v>
                </c:pt>
                <c:pt idx="25">
                  <c:v>CA_Gasoline_Gasification_Non_CCS_Herb</c:v>
                </c:pt>
                <c:pt idx="26">
                  <c:v>CA_Gasoline_Gasification_Non_CCS_Herb</c:v>
                </c:pt>
                <c:pt idx="27">
                  <c:v>CA_Gasoline_Gasification_Non_CCS_Herb</c:v>
                </c:pt>
                <c:pt idx="28">
                  <c:v>CA_Gasoline_Gasification_Non_CCS_Herb</c:v>
                </c:pt>
                <c:pt idx="29">
                  <c:v>CA_Gasoline_Gasification_Non_CCS_Herb</c:v>
                </c:pt>
                <c:pt idx="30">
                  <c:v>CA_Gasoline_Gasification_Non_CCS_Herb</c:v>
                </c:pt>
                <c:pt idx="31">
                  <c:v>CA_Gasoline_Gasification_Non_CCS_Herb</c:v>
                </c:pt>
                <c:pt idx="32">
                  <c:v>CA_Gasoline_Gasification_Non_CCS_Herb</c:v>
                </c:pt>
                <c:pt idx="33">
                  <c:v>CA_Gasoline_Gasification_Non_CCS_Herb</c:v>
                </c:pt>
                <c:pt idx="34">
                  <c:v>CA_Gasoline_Gasification_Non_CCS_Herb</c:v>
                </c:pt>
                <c:pt idx="35">
                  <c:v>CA_Gasoline_Gasification_Non_CCS_Herb</c:v>
                </c:pt>
                <c:pt idx="36">
                  <c:v>CA_Gasoline_Gasification_Non_CCS_Herb</c:v>
                </c:pt>
                <c:pt idx="37">
                  <c:v>CA_Gasoline_Gasification_Non_CCS_Herb</c:v>
                </c:pt>
                <c:pt idx="38">
                  <c:v>CA_Gasoline_Gasification_Non_CCS_Herb</c:v>
                </c:pt>
                <c:pt idx="39">
                  <c:v>CA_Gasoline_Gasification_Non_CCS_Herb</c:v>
                </c:pt>
                <c:pt idx="40">
                  <c:v>CA_Gasoline_Gasification_Non_CCS_Herb</c:v>
                </c:pt>
                <c:pt idx="41">
                  <c:v>CA_Gasoline_Gasification_Non_CCS_Herb</c:v>
                </c:pt>
                <c:pt idx="42">
                  <c:v>CA_Gasoline_Gasification_Non_CCS_Herb</c:v>
                </c:pt>
                <c:pt idx="43">
                  <c:v>CA_Gasoline_Gasification_Non_CCS_Herb</c:v>
                </c:pt>
                <c:pt idx="44">
                  <c:v>CA_Gasoline_Gasification_Non_CCS_Herb</c:v>
                </c:pt>
                <c:pt idx="45">
                  <c:v>CA_Gasoline_Gasification_Non_CCS_Herb</c:v>
                </c:pt>
                <c:pt idx="46">
                  <c:v>CA_Gasoline_Gasification_Non_CCS_Herb</c:v>
                </c:pt>
                <c:pt idx="47">
                  <c:v>CA_Gasoline_Gasification_Non_CCS_Herb</c:v>
                </c:pt>
                <c:pt idx="48">
                  <c:v>CA_Gasoline_Gasification_Non_CCS_Herb</c:v>
                </c:pt>
                <c:pt idx="49">
                  <c:v>CA_Gasoline_Gasification_Non_CCS_Herb</c:v>
                </c:pt>
                <c:pt idx="50">
                  <c:v>CA_Gasoline_Gasification_Non_CCS_Herb</c:v>
                </c:pt>
                <c:pt idx="51">
                  <c:v>CA_Gasoline_Gasification_Non_CCS_Herb</c:v>
                </c:pt>
                <c:pt idx="52">
                  <c:v>CA_Gasoline_Gasification_Non_CCS_Herb</c:v>
                </c:pt>
                <c:pt idx="53">
                  <c:v>CA_Gasoline_Gasification_Non_CCS_Herb</c:v>
                </c:pt>
                <c:pt idx="54">
                  <c:v>CA_Gasoline_Gasification_Non_CCS_Herb</c:v>
                </c:pt>
                <c:pt idx="55">
                  <c:v>CA_Gasoline_Gasification_Non_CCS_Herb</c:v>
                </c:pt>
                <c:pt idx="56">
                  <c:v>CA_Gasoline_Gasification_Non_CCS_Herb</c:v>
                </c:pt>
                <c:pt idx="57">
                  <c:v>CA_Gasoline_Gasification_Non_CCS_Herb</c:v>
                </c:pt>
                <c:pt idx="58">
                  <c:v>CA_Gasoline_Gasification_Non_CCS_Herb</c:v>
                </c:pt>
                <c:pt idx="59">
                  <c:v>CA_Gasoline_Gasification_Non_CCS_Herb</c:v>
                </c:pt>
                <c:pt idx="60">
                  <c:v>CA_Gasoline_Gasification_Non_CCS_Herb</c:v>
                </c:pt>
                <c:pt idx="61">
                  <c:v>CA_Gasoline_Gasification_Non_CCS_Herb</c:v>
                </c:pt>
                <c:pt idx="62">
                  <c:v>CA_Gasoline_Gasification_Non_CCS_Herb</c:v>
                </c:pt>
                <c:pt idx="63">
                  <c:v>CA_Gasoline_Gasification_Non_CCS_Herb</c:v>
                </c:pt>
                <c:pt idx="64">
                  <c:v>CA_Gasoline_Gasification_Non_CCS_Herb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strCache>
            </c:strRef>
          </c:cat>
          <c:val>
            <c:numRef>
              <c:f>lc_summary!$V$3:$V$74</c:f>
              <c:numCache>
                <c:formatCode>General</c:formatCode>
                <c:ptCount val="72"/>
                <c:pt idx="0">
                  <c:v>0.22672309552599759</c:v>
                </c:pt>
                <c:pt idx="1">
                  <c:v>0.22585826139329454</c:v>
                </c:pt>
                <c:pt idx="2">
                  <c:v>0.22537186357489861</c:v>
                </c:pt>
                <c:pt idx="3">
                  <c:v>0.22710068130204392</c:v>
                </c:pt>
                <c:pt idx="4">
                  <c:v>0.22772126916654017</c:v>
                </c:pt>
                <c:pt idx="5">
                  <c:v>0.2167421250361237</c:v>
                </c:pt>
                <c:pt idx="6">
                  <c:v>0.21742281490071025</c:v>
                </c:pt>
                <c:pt idx="7">
                  <c:v>0.21685701893884632</c:v>
                </c:pt>
                <c:pt idx="8">
                  <c:v>0.21595162683558883</c:v>
                </c:pt>
                <c:pt idx="9">
                  <c:v>0.21869077124945327</c:v>
                </c:pt>
                <c:pt idx="10">
                  <c:v>0.24071894725580401</c:v>
                </c:pt>
                <c:pt idx="11">
                  <c:v>0.23919630043055334</c:v>
                </c:pt>
                <c:pt idx="12">
                  <c:v>0.23891691000796392</c:v>
                </c:pt>
                <c:pt idx="13">
                  <c:v>0.23988485526947068</c:v>
                </c:pt>
                <c:pt idx="14">
                  <c:v>0.24914184475694828</c:v>
                </c:pt>
                <c:pt idx="15">
                  <c:v>0.2418379685610641</c:v>
                </c:pt>
                <c:pt idx="16">
                  <c:v>0.24091547881951414</c:v>
                </c:pt>
                <c:pt idx="17">
                  <c:v>0.24039665447989184</c:v>
                </c:pt>
                <c:pt idx="18">
                  <c:v>0.24224072672218017</c:v>
                </c:pt>
                <c:pt idx="19">
                  <c:v>0.24290268711097615</c:v>
                </c:pt>
                <c:pt idx="20">
                  <c:v>0.23119160003853192</c:v>
                </c:pt>
                <c:pt idx="21">
                  <c:v>0.23191766922742424</c:v>
                </c:pt>
                <c:pt idx="22">
                  <c:v>0.23131415353476942</c:v>
                </c:pt>
                <c:pt idx="23">
                  <c:v>0.23034840195796139</c:v>
                </c:pt>
                <c:pt idx="24">
                  <c:v>0.23327015599941681</c:v>
                </c:pt>
                <c:pt idx="25">
                  <c:v>0.25676687707285761</c:v>
                </c:pt>
                <c:pt idx="26">
                  <c:v>0.2551427204592569</c:v>
                </c:pt>
                <c:pt idx="27">
                  <c:v>0.25484470400849479</c:v>
                </c:pt>
                <c:pt idx="28">
                  <c:v>0.25587717895410206</c:v>
                </c:pt>
                <c:pt idx="29">
                  <c:v>0.26575130107407818</c:v>
                </c:pt>
                <c:pt idx="30">
                  <c:v>0.8413945989520355</c:v>
                </c:pt>
                <c:pt idx="31">
                  <c:v>0.83818510339289298</c:v>
                </c:pt>
                <c:pt idx="32">
                  <c:v>0.83638002704462366</c:v>
                </c:pt>
                <c:pt idx="33">
                  <c:v>0.84279586172091847</c:v>
                </c:pt>
                <c:pt idx="34">
                  <c:v>0.84509893224027122</c:v>
                </c:pt>
                <c:pt idx="35">
                  <c:v>0.8043541084673923</c:v>
                </c:pt>
                <c:pt idx="36">
                  <c:v>0.80688022418708016</c:v>
                </c:pt>
                <c:pt idx="37">
                  <c:v>0.80478049250638517</c:v>
                </c:pt>
                <c:pt idx="38">
                  <c:v>0.80142048181207404</c:v>
                </c:pt>
                <c:pt idx="39">
                  <c:v>0.81158575108130426</c:v>
                </c:pt>
                <c:pt idx="40">
                  <c:v>0.89333475981598376</c:v>
                </c:pt>
                <c:pt idx="41">
                  <c:v>0.88768404826449798</c:v>
                </c:pt>
                <c:pt idx="42">
                  <c:v>0.88664719936288827</c:v>
                </c:pt>
                <c:pt idx="43">
                  <c:v>0.89023935177781333</c:v>
                </c:pt>
                <c:pt idx="44">
                  <c:v>0.92459306832023025</c:v>
                </c:pt>
                <c:pt idx="45">
                  <c:v>-8.1853200395467898</c:v>
                </c:pt>
                <c:pt idx="46">
                  <c:v>-8.1853200395467898</c:v>
                </c:pt>
                <c:pt idx="47">
                  <c:v>-8.1853200395467898</c:v>
                </c:pt>
                <c:pt idx="48">
                  <c:v>-8.1853200395467898</c:v>
                </c:pt>
                <c:pt idx="49">
                  <c:v>-8.1853200395467898</c:v>
                </c:pt>
                <c:pt idx="50">
                  <c:v>-8.1853200395467898</c:v>
                </c:pt>
                <c:pt idx="51">
                  <c:v>-8.1853200395467898</c:v>
                </c:pt>
                <c:pt idx="52">
                  <c:v>-8.1853200395467898</c:v>
                </c:pt>
                <c:pt idx="53">
                  <c:v>-8.1853200395467898</c:v>
                </c:pt>
                <c:pt idx="54">
                  <c:v>-8.1724348446793407</c:v>
                </c:pt>
                <c:pt idx="55">
                  <c:v>-8.1724348446793407</c:v>
                </c:pt>
                <c:pt idx="56">
                  <c:v>-8.1724348446793407</c:v>
                </c:pt>
                <c:pt idx="57">
                  <c:v>-8.1724348446793407</c:v>
                </c:pt>
                <c:pt idx="58">
                  <c:v>-8.1724348446793407</c:v>
                </c:pt>
                <c:pt idx="59">
                  <c:v>-8.1724348446793407</c:v>
                </c:pt>
                <c:pt idx="60">
                  <c:v>-8.1724348446793407</c:v>
                </c:pt>
                <c:pt idx="61">
                  <c:v>-8.1724348446793407</c:v>
                </c:pt>
                <c:pt idx="62">
                  <c:v>-8.1724348446793407</c:v>
                </c:pt>
                <c:pt idx="63">
                  <c:v>-8.1434431562275815</c:v>
                </c:pt>
                <c:pt idx="64">
                  <c:v>-8.1434431562275815</c:v>
                </c:pt>
                <c:pt idx="65">
                  <c:v>-8.1434431562275815</c:v>
                </c:pt>
                <c:pt idx="66">
                  <c:v>-8.1434431562275815</c:v>
                </c:pt>
                <c:pt idx="67">
                  <c:v>-8.1434431562275815</c:v>
                </c:pt>
                <c:pt idx="68">
                  <c:v>-8.1434431562275815</c:v>
                </c:pt>
                <c:pt idx="69">
                  <c:v>-8.1434431562275815</c:v>
                </c:pt>
                <c:pt idx="70">
                  <c:v>-8.1434431562275815</c:v>
                </c:pt>
                <c:pt idx="71">
                  <c:v>-8.1434431562275815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C3-A14F-96AF-FBF11932B5CA}"/>
            </c:ext>
          </c:extLst>
        </c:ser>
        <c:ser>
          <c:idx val="7"/>
          <c:order val="7"/>
          <c:tx>
            <c:strRef>
              <c:f>lc_summary!$W$2</c:f>
              <c:strCache>
                <c:ptCount val="1"/>
                <c:pt idx="0">
                  <c:v>modified capture cost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CA_Gasoline_Gasification_Non_CCS_Herb</c:v>
                </c:pt>
                <c:pt idx="1">
                  <c:v>CA_Gasoline_Gasification_Non_CCS_Herb</c:v>
                </c:pt>
                <c:pt idx="2">
                  <c:v>CA_Gasoline_Gasification_Non_CCS_Herb</c:v>
                </c:pt>
                <c:pt idx="3">
                  <c:v>CA_Gasoline_Gasification_Non_CCS_Herb</c:v>
                </c:pt>
                <c:pt idx="4">
                  <c:v>CA_Gasoline_Gasification_Non_CCS_Herb</c:v>
                </c:pt>
                <c:pt idx="5">
                  <c:v>CA_Gasoline_Gasification_Non_CCS_Herb</c:v>
                </c:pt>
                <c:pt idx="6">
                  <c:v>CA_Gasoline_Gasification_Non_CCS_Herb</c:v>
                </c:pt>
                <c:pt idx="7">
                  <c:v>CA_Gasoline_Gasification_Non_CCS_Herb</c:v>
                </c:pt>
                <c:pt idx="8">
                  <c:v>CA_Gasoline_Gasification_Non_CCS_Herb</c:v>
                </c:pt>
                <c:pt idx="9">
                  <c:v>CA_Gasoline_Gasification_Non_CCS_Herb</c:v>
                </c:pt>
                <c:pt idx="10">
                  <c:v>CA_Gasoline_Gasification_Non_CCS_Herb</c:v>
                </c:pt>
                <c:pt idx="11">
                  <c:v>CA_Gasoline_Gasification_Non_CCS_Herb</c:v>
                </c:pt>
                <c:pt idx="12">
                  <c:v>CA_Gasoline_Gasification_Non_CCS_Herb</c:v>
                </c:pt>
                <c:pt idx="13">
                  <c:v>CA_Gasoline_Gasification_Non_CCS_Herb</c:v>
                </c:pt>
                <c:pt idx="14">
                  <c:v>CA_Gasoline_Gasification_Non_CCS_Herb</c:v>
                </c:pt>
                <c:pt idx="15">
                  <c:v>CA_Gasoline_Gasification_Non_CCS_Herb</c:v>
                </c:pt>
                <c:pt idx="16">
                  <c:v>CA_Gasoline_Gasification_Non_CCS_Herb</c:v>
                </c:pt>
                <c:pt idx="17">
                  <c:v>CA_Gasoline_Gasification_Non_CCS_Herb</c:v>
                </c:pt>
                <c:pt idx="18">
                  <c:v>CA_Gasoline_Gasification_Non_CCS_Herb</c:v>
                </c:pt>
                <c:pt idx="19">
                  <c:v>CA_Gasoline_Gasification_Non_CCS_Herb</c:v>
                </c:pt>
                <c:pt idx="20">
                  <c:v>CA_Gasoline_Gasification_Non_CCS_Herb</c:v>
                </c:pt>
                <c:pt idx="21">
                  <c:v>CA_Gasoline_Gasification_Non_CCS_Herb</c:v>
                </c:pt>
                <c:pt idx="22">
                  <c:v>CA_Gasoline_Gasification_Non_CCS_Herb</c:v>
                </c:pt>
                <c:pt idx="23">
                  <c:v>CA_Gasoline_Gasification_Non_CCS_Herb</c:v>
                </c:pt>
                <c:pt idx="24">
                  <c:v>CA_Gasoline_Gasification_Non_CCS_Herb</c:v>
                </c:pt>
                <c:pt idx="25">
                  <c:v>CA_Gasoline_Gasification_Non_CCS_Herb</c:v>
                </c:pt>
                <c:pt idx="26">
                  <c:v>CA_Gasoline_Gasification_Non_CCS_Herb</c:v>
                </c:pt>
                <c:pt idx="27">
                  <c:v>CA_Gasoline_Gasification_Non_CCS_Herb</c:v>
                </c:pt>
                <c:pt idx="28">
                  <c:v>CA_Gasoline_Gasification_Non_CCS_Herb</c:v>
                </c:pt>
                <c:pt idx="29">
                  <c:v>CA_Gasoline_Gasification_Non_CCS_Herb</c:v>
                </c:pt>
                <c:pt idx="30">
                  <c:v>CA_Gasoline_Gasification_Non_CCS_Herb</c:v>
                </c:pt>
                <c:pt idx="31">
                  <c:v>CA_Gasoline_Gasification_Non_CCS_Herb</c:v>
                </c:pt>
                <c:pt idx="32">
                  <c:v>CA_Gasoline_Gasification_Non_CCS_Herb</c:v>
                </c:pt>
                <c:pt idx="33">
                  <c:v>CA_Gasoline_Gasification_Non_CCS_Herb</c:v>
                </c:pt>
                <c:pt idx="34">
                  <c:v>CA_Gasoline_Gasification_Non_CCS_Herb</c:v>
                </c:pt>
                <c:pt idx="35">
                  <c:v>CA_Gasoline_Gasification_Non_CCS_Herb</c:v>
                </c:pt>
                <c:pt idx="36">
                  <c:v>CA_Gasoline_Gasification_Non_CCS_Herb</c:v>
                </c:pt>
                <c:pt idx="37">
                  <c:v>CA_Gasoline_Gasification_Non_CCS_Herb</c:v>
                </c:pt>
                <c:pt idx="38">
                  <c:v>CA_Gasoline_Gasification_Non_CCS_Herb</c:v>
                </c:pt>
                <c:pt idx="39">
                  <c:v>CA_Gasoline_Gasification_Non_CCS_Herb</c:v>
                </c:pt>
                <c:pt idx="40">
                  <c:v>CA_Gasoline_Gasification_Non_CCS_Herb</c:v>
                </c:pt>
                <c:pt idx="41">
                  <c:v>CA_Gasoline_Gasification_Non_CCS_Herb</c:v>
                </c:pt>
                <c:pt idx="42">
                  <c:v>CA_Gasoline_Gasification_Non_CCS_Herb</c:v>
                </c:pt>
                <c:pt idx="43">
                  <c:v>CA_Gasoline_Gasification_Non_CCS_Herb</c:v>
                </c:pt>
                <c:pt idx="44">
                  <c:v>CA_Gasoline_Gasification_Non_CCS_Herb</c:v>
                </c:pt>
                <c:pt idx="45">
                  <c:v>CA_Gasoline_Gasification_Non_CCS_Herb</c:v>
                </c:pt>
                <c:pt idx="46">
                  <c:v>CA_Gasoline_Gasification_Non_CCS_Herb</c:v>
                </c:pt>
                <c:pt idx="47">
                  <c:v>CA_Gasoline_Gasification_Non_CCS_Herb</c:v>
                </c:pt>
                <c:pt idx="48">
                  <c:v>CA_Gasoline_Gasification_Non_CCS_Herb</c:v>
                </c:pt>
                <c:pt idx="49">
                  <c:v>CA_Gasoline_Gasification_Non_CCS_Herb</c:v>
                </c:pt>
                <c:pt idx="50">
                  <c:v>CA_Gasoline_Gasification_Non_CCS_Herb</c:v>
                </c:pt>
                <c:pt idx="51">
                  <c:v>CA_Gasoline_Gasification_Non_CCS_Herb</c:v>
                </c:pt>
                <c:pt idx="52">
                  <c:v>CA_Gasoline_Gasification_Non_CCS_Herb</c:v>
                </c:pt>
                <c:pt idx="53">
                  <c:v>CA_Gasoline_Gasification_Non_CCS_Herb</c:v>
                </c:pt>
                <c:pt idx="54">
                  <c:v>CA_Gasoline_Gasification_Non_CCS_Herb</c:v>
                </c:pt>
                <c:pt idx="55">
                  <c:v>CA_Gasoline_Gasification_Non_CCS_Herb</c:v>
                </c:pt>
                <c:pt idx="56">
                  <c:v>CA_Gasoline_Gasification_Non_CCS_Herb</c:v>
                </c:pt>
                <c:pt idx="57">
                  <c:v>CA_Gasoline_Gasification_Non_CCS_Herb</c:v>
                </c:pt>
                <c:pt idx="58">
                  <c:v>CA_Gasoline_Gasification_Non_CCS_Herb</c:v>
                </c:pt>
                <c:pt idx="59">
                  <c:v>CA_Gasoline_Gasification_Non_CCS_Herb</c:v>
                </c:pt>
                <c:pt idx="60">
                  <c:v>CA_Gasoline_Gasification_Non_CCS_Herb</c:v>
                </c:pt>
                <c:pt idx="61">
                  <c:v>CA_Gasoline_Gasification_Non_CCS_Herb</c:v>
                </c:pt>
                <c:pt idx="62">
                  <c:v>CA_Gasoline_Gasification_Non_CCS_Herb</c:v>
                </c:pt>
                <c:pt idx="63">
                  <c:v>CA_Gasoline_Gasification_Non_CCS_Herb</c:v>
                </c:pt>
                <c:pt idx="64">
                  <c:v>CA_Gasoline_Gasification_Non_CCS_Herb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strCache>
            </c:strRef>
          </c:cat>
          <c:val>
            <c:numRef>
              <c:f>lc_summary!$W$3:$W$74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AC3-A14F-96AF-FBF11932B5CA}"/>
            </c:ext>
          </c:extLst>
        </c:ser>
        <c:ser>
          <c:idx val="8"/>
          <c:order val="8"/>
          <c:tx>
            <c:strRef>
              <c:f>lc_summary!$X$2</c:f>
              <c:strCache>
                <c:ptCount val="1"/>
                <c:pt idx="0">
                  <c:v>modified emissions cost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CA_Gasoline_Gasification_Non_CCS_Herb</c:v>
                </c:pt>
                <c:pt idx="1">
                  <c:v>CA_Gasoline_Gasification_Non_CCS_Herb</c:v>
                </c:pt>
                <c:pt idx="2">
                  <c:v>CA_Gasoline_Gasification_Non_CCS_Herb</c:v>
                </c:pt>
                <c:pt idx="3">
                  <c:v>CA_Gasoline_Gasification_Non_CCS_Herb</c:v>
                </c:pt>
                <c:pt idx="4">
                  <c:v>CA_Gasoline_Gasification_Non_CCS_Herb</c:v>
                </c:pt>
                <c:pt idx="5">
                  <c:v>CA_Gasoline_Gasification_Non_CCS_Herb</c:v>
                </c:pt>
                <c:pt idx="6">
                  <c:v>CA_Gasoline_Gasification_Non_CCS_Herb</c:v>
                </c:pt>
                <c:pt idx="7">
                  <c:v>CA_Gasoline_Gasification_Non_CCS_Herb</c:v>
                </c:pt>
                <c:pt idx="8">
                  <c:v>CA_Gasoline_Gasification_Non_CCS_Herb</c:v>
                </c:pt>
                <c:pt idx="9">
                  <c:v>CA_Gasoline_Gasification_Non_CCS_Herb</c:v>
                </c:pt>
                <c:pt idx="10">
                  <c:v>CA_Gasoline_Gasification_Non_CCS_Herb</c:v>
                </c:pt>
                <c:pt idx="11">
                  <c:v>CA_Gasoline_Gasification_Non_CCS_Herb</c:v>
                </c:pt>
                <c:pt idx="12">
                  <c:v>CA_Gasoline_Gasification_Non_CCS_Herb</c:v>
                </c:pt>
                <c:pt idx="13">
                  <c:v>CA_Gasoline_Gasification_Non_CCS_Herb</c:v>
                </c:pt>
                <c:pt idx="14">
                  <c:v>CA_Gasoline_Gasification_Non_CCS_Herb</c:v>
                </c:pt>
                <c:pt idx="15">
                  <c:v>CA_Gasoline_Gasification_Non_CCS_Herb</c:v>
                </c:pt>
                <c:pt idx="16">
                  <c:v>CA_Gasoline_Gasification_Non_CCS_Herb</c:v>
                </c:pt>
                <c:pt idx="17">
                  <c:v>CA_Gasoline_Gasification_Non_CCS_Herb</c:v>
                </c:pt>
                <c:pt idx="18">
                  <c:v>CA_Gasoline_Gasification_Non_CCS_Herb</c:v>
                </c:pt>
                <c:pt idx="19">
                  <c:v>CA_Gasoline_Gasification_Non_CCS_Herb</c:v>
                </c:pt>
                <c:pt idx="20">
                  <c:v>CA_Gasoline_Gasification_Non_CCS_Herb</c:v>
                </c:pt>
                <c:pt idx="21">
                  <c:v>CA_Gasoline_Gasification_Non_CCS_Herb</c:v>
                </c:pt>
                <c:pt idx="22">
                  <c:v>CA_Gasoline_Gasification_Non_CCS_Herb</c:v>
                </c:pt>
                <c:pt idx="23">
                  <c:v>CA_Gasoline_Gasification_Non_CCS_Herb</c:v>
                </c:pt>
                <c:pt idx="24">
                  <c:v>CA_Gasoline_Gasification_Non_CCS_Herb</c:v>
                </c:pt>
                <c:pt idx="25">
                  <c:v>CA_Gasoline_Gasification_Non_CCS_Herb</c:v>
                </c:pt>
                <c:pt idx="26">
                  <c:v>CA_Gasoline_Gasification_Non_CCS_Herb</c:v>
                </c:pt>
                <c:pt idx="27">
                  <c:v>CA_Gasoline_Gasification_Non_CCS_Herb</c:v>
                </c:pt>
                <c:pt idx="28">
                  <c:v>CA_Gasoline_Gasification_Non_CCS_Herb</c:v>
                </c:pt>
                <c:pt idx="29">
                  <c:v>CA_Gasoline_Gasification_Non_CCS_Herb</c:v>
                </c:pt>
                <c:pt idx="30">
                  <c:v>CA_Gasoline_Gasification_Non_CCS_Herb</c:v>
                </c:pt>
                <c:pt idx="31">
                  <c:v>CA_Gasoline_Gasification_Non_CCS_Herb</c:v>
                </c:pt>
                <c:pt idx="32">
                  <c:v>CA_Gasoline_Gasification_Non_CCS_Herb</c:v>
                </c:pt>
                <c:pt idx="33">
                  <c:v>CA_Gasoline_Gasification_Non_CCS_Herb</c:v>
                </c:pt>
                <c:pt idx="34">
                  <c:v>CA_Gasoline_Gasification_Non_CCS_Herb</c:v>
                </c:pt>
                <c:pt idx="35">
                  <c:v>CA_Gasoline_Gasification_Non_CCS_Herb</c:v>
                </c:pt>
                <c:pt idx="36">
                  <c:v>CA_Gasoline_Gasification_Non_CCS_Herb</c:v>
                </c:pt>
                <c:pt idx="37">
                  <c:v>CA_Gasoline_Gasification_Non_CCS_Herb</c:v>
                </c:pt>
                <c:pt idx="38">
                  <c:v>CA_Gasoline_Gasification_Non_CCS_Herb</c:v>
                </c:pt>
                <c:pt idx="39">
                  <c:v>CA_Gasoline_Gasification_Non_CCS_Herb</c:v>
                </c:pt>
                <c:pt idx="40">
                  <c:v>CA_Gasoline_Gasification_Non_CCS_Herb</c:v>
                </c:pt>
                <c:pt idx="41">
                  <c:v>CA_Gasoline_Gasification_Non_CCS_Herb</c:v>
                </c:pt>
                <c:pt idx="42">
                  <c:v>CA_Gasoline_Gasification_Non_CCS_Herb</c:v>
                </c:pt>
                <c:pt idx="43">
                  <c:v>CA_Gasoline_Gasification_Non_CCS_Herb</c:v>
                </c:pt>
                <c:pt idx="44">
                  <c:v>CA_Gasoline_Gasification_Non_CCS_Herb</c:v>
                </c:pt>
                <c:pt idx="45">
                  <c:v>CA_Gasoline_Gasification_Non_CCS_Herb</c:v>
                </c:pt>
                <c:pt idx="46">
                  <c:v>CA_Gasoline_Gasification_Non_CCS_Herb</c:v>
                </c:pt>
                <c:pt idx="47">
                  <c:v>CA_Gasoline_Gasification_Non_CCS_Herb</c:v>
                </c:pt>
                <c:pt idx="48">
                  <c:v>CA_Gasoline_Gasification_Non_CCS_Herb</c:v>
                </c:pt>
                <c:pt idx="49">
                  <c:v>CA_Gasoline_Gasification_Non_CCS_Herb</c:v>
                </c:pt>
                <c:pt idx="50">
                  <c:v>CA_Gasoline_Gasification_Non_CCS_Herb</c:v>
                </c:pt>
                <c:pt idx="51">
                  <c:v>CA_Gasoline_Gasification_Non_CCS_Herb</c:v>
                </c:pt>
                <c:pt idx="52">
                  <c:v>CA_Gasoline_Gasification_Non_CCS_Herb</c:v>
                </c:pt>
                <c:pt idx="53">
                  <c:v>CA_Gasoline_Gasification_Non_CCS_Herb</c:v>
                </c:pt>
                <c:pt idx="54">
                  <c:v>CA_Gasoline_Gasification_Non_CCS_Herb</c:v>
                </c:pt>
                <c:pt idx="55">
                  <c:v>CA_Gasoline_Gasification_Non_CCS_Herb</c:v>
                </c:pt>
                <c:pt idx="56">
                  <c:v>CA_Gasoline_Gasification_Non_CCS_Herb</c:v>
                </c:pt>
                <c:pt idx="57">
                  <c:v>CA_Gasoline_Gasification_Non_CCS_Herb</c:v>
                </c:pt>
                <c:pt idx="58">
                  <c:v>CA_Gasoline_Gasification_Non_CCS_Herb</c:v>
                </c:pt>
                <c:pt idx="59">
                  <c:v>CA_Gasoline_Gasification_Non_CCS_Herb</c:v>
                </c:pt>
                <c:pt idx="60">
                  <c:v>CA_Gasoline_Gasification_Non_CCS_Herb</c:v>
                </c:pt>
                <c:pt idx="61">
                  <c:v>CA_Gasoline_Gasification_Non_CCS_Herb</c:v>
                </c:pt>
                <c:pt idx="62">
                  <c:v>CA_Gasoline_Gasification_Non_CCS_Herb</c:v>
                </c:pt>
                <c:pt idx="63">
                  <c:v>CA_Gasoline_Gasification_Non_CCS_Herb</c:v>
                </c:pt>
                <c:pt idx="64">
                  <c:v>CA_Gasoline_Gasification_Non_CCS_Herb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strCache>
            </c:strRef>
          </c:cat>
          <c:val>
            <c:numRef>
              <c:f>lc_summary!$X$3:$X$74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AC3-A14F-96AF-FBF11932B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2013943488"/>
        <c:axId val="2013934048"/>
      </c:barChart>
      <c:catAx>
        <c:axId val="201394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34048"/>
        <c:crosses val="autoZero"/>
        <c:auto val="1"/>
        <c:lblAlgn val="ctr"/>
        <c:lblOffset val="100"/>
        <c:noMultiLvlLbl val="0"/>
      </c:catAx>
      <c:valAx>
        <c:axId val="201393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4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155925027786968"/>
          <c:y val="0.64383176745676285"/>
          <c:w val="0.11643628533802335"/>
          <c:h val="0.152146437104423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lc_summary!$O$3:$O$74</c:f>
              <c:strCache>
                <c:ptCount val="72"/>
                <c:pt idx="0">
                  <c:v>CA_Gasoline_Gasification_Non_CCS_Herb</c:v>
                </c:pt>
                <c:pt idx="1">
                  <c:v>CA_Gasoline_Gasification_Non_CCS_Herb</c:v>
                </c:pt>
                <c:pt idx="2">
                  <c:v>CA_Gasoline_Gasification_Non_CCS_Herb</c:v>
                </c:pt>
                <c:pt idx="3">
                  <c:v>CA_Gasoline_Gasification_Non_CCS_Herb</c:v>
                </c:pt>
                <c:pt idx="4">
                  <c:v>CA_Gasoline_Gasification_Non_CCS_Herb</c:v>
                </c:pt>
                <c:pt idx="5">
                  <c:v>CA_Gasoline_Gasification_Non_CCS_Herb</c:v>
                </c:pt>
                <c:pt idx="6">
                  <c:v>CA_Gasoline_Gasification_Non_CCS_Herb</c:v>
                </c:pt>
                <c:pt idx="7">
                  <c:v>CA_Gasoline_Gasification_Non_CCS_Herb</c:v>
                </c:pt>
                <c:pt idx="8">
                  <c:v>CA_Gasoline_Gasification_Non_CCS_Herb</c:v>
                </c:pt>
                <c:pt idx="9">
                  <c:v>CA_Gasoline_Gasification_Non_CCS_Herb</c:v>
                </c:pt>
                <c:pt idx="10">
                  <c:v>CA_Gasoline_Gasification_Non_CCS_Herb</c:v>
                </c:pt>
                <c:pt idx="11">
                  <c:v>CA_Gasoline_Gasification_Non_CCS_Herb</c:v>
                </c:pt>
                <c:pt idx="12">
                  <c:v>CA_Gasoline_Gasification_Non_CCS_Herb</c:v>
                </c:pt>
                <c:pt idx="13">
                  <c:v>CA_Gasoline_Gasification_Non_CCS_Herb</c:v>
                </c:pt>
                <c:pt idx="14">
                  <c:v>CA_Gasoline_Gasification_Non_CCS_Herb</c:v>
                </c:pt>
                <c:pt idx="15">
                  <c:v>CA_Gasoline_Gasification_Non_CCS_Herb</c:v>
                </c:pt>
                <c:pt idx="16">
                  <c:v>CA_Gasoline_Gasification_Non_CCS_Herb</c:v>
                </c:pt>
                <c:pt idx="17">
                  <c:v>CA_Gasoline_Gasification_Non_CCS_Herb</c:v>
                </c:pt>
                <c:pt idx="18">
                  <c:v>CA_Gasoline_Gasification_Non_CCS_Herb</c:v>
                </c:pt>
                <c:pt idx="19">
                  <c:v>CA_Gasoline_Gasification_Non_CCS_Herb</c:v>
                </c:pt>
                <c:pt idx="20">
                  <c:v>CA_Gasoline_Gasification_Non_CCS_Herb</c:v>
                </c:pt>
                <c:pt idx="21">
                  <c:v>CA_Gasoline_Gasification_Non_CCS_Herb</c:v>
                </c:pt>
                <c:pt idx="22">
                  <c:v>CA_Gasoline_Gasification_Non_CCS_Herb</c:v>
                </c:pt>
                <c:pt idx="23">
                  <c:v>CA_Gasoline_Gasification_Non_CCS_Herb</c:v>
                </c:pt>
                <c:pt idx="24">
                  <c:v>CA_Gasoline_Gasification_Non_CCS_Herb</c:v>
                </c:pt>
                <c:pt idx="25">
                  <c:v>CA_Gasoline_Gasification_Non_CCS_Herb</c:v>
                </c:pt>
                <c:pt idx="26">
                  <c:v>CA_Gasoline_Gasification_Non_CCS_Herb</c:v>
                </c:pt>
                <c:pt idx="27">
                  <c:v>CA_Gasoline_Gasification_Non_CCS_Herb</c:v>
                </c:pt>
                <c:pt idx="28">
                  <c:v>CA_Gasoline_Gasification_Non_CCS_Herb</c:v>
                </c:pt>
                <c:pt idx="29">
                  <c:v>CA_Gasoline_Gasification_Non_CCS_Herb</c:v>
                </c:pt>
                <c:pt idx="30">
                  <c:v>CA_Gasoline_Gasification_Non_CCS_Herb</c:v>
                </c:pt>
                <c:pt idx="31">
                  <c:v>CA_Gasoline_Gasification_Non_CCS_Herb</c:v>
                </c:pt>
                <c:pt idx="32">
                  <c:v>CA_Gasoline_Gasification_Non_CCS_Herb</c:v>
                </c:pt>
                <c:pt idx="33">
                  <c:v>CA_Gasoline_Gasification_Non_CCS_Herb</c:v>
                </c:pt>
                <c:pt idx="34">
                  <c:v>CA_Gasoline_Gasification_Non_CCS_Herb</c:v>
                </c:pt>
                <c:pt idx="35">
                  <c:v>CA_Gasoline_Gasification_Non_CCS_Herb</c:v>
                </c:pt>
                <c:pt idx="36">
                  <c:v>CA_Gasoline_Gasification_Non_CCS_Herb</c:v>
                </c:pt>
                <c:pt idx="37">
                  <c:v>CA_Gasoline_Gasification_Non_CCS_Herb</c:v>
                </c:pt>
                <c:pt idx="38">
                  <c:v>CA_Gasoline_Gasification_Non_CCS_Herb</c:v>
                </c:pt>
                <c:pt idx="39">
                  <c:v>CA_Gasoline_Gasification_Non_CCS_Herb</c:v>
                </c:pt>
                <c:pt idx="40">
                  <c:v>CA_Gasoline_Gasification_Non_CCS_Herb</c:v>
                </c:pt>
                <c:pt idx="41">
                  <c:v>CA_Gasoline_Gasification_Non_CCS_Herb</c:v>
                </c:pt>
                <c:pt idx="42">
                  <c:v>CA_Gasoline_Gasification_Non_CCS_Herb</c:v>
                </c:pt>
                <c:pt idx="43">
                  <c:v>CA_Gasoline_Gasification_Non_CCS_Herb</c:v>
                </c:pt>
                <c:pt idx="44">
                  <c:v>CA_Gasoline_Gasification_Non_CCS_Herb</c:v>
                </c:pt>
                <c:pt idx="45">
                  <c:v>CA_Gasoline_Gasification_Non_CCS_Herb</c:v>
                </c:pt>
                <c:pt idx="46">
                  <c:v>CA_Gasoline_Gasification_Non_CCS_Herb</c:v>
                </c:pt>
                <c:pt idx="47">
                  <c:v>CA_Gasoline_Gasification_Non_CCS_Herb</c:v>
                </c:pt>
                <c:pt idx="48">
                  <c:v>CA_Gasoline_Gasification_Non_CCS_Herb</c:v>
                </c:pt>
                <c:pt idx="49">
                  <c:v>CA_Gasoline_Gasification_Non_CCS_Herb</c:v>
                </c:pt>
                <c:pt idx="50">
                  <c:v>CA_Gasoline_Gasification_Non_CCS_Herb</c:v>
                </c:pt>
                <c:pt idx="51">
                  <c:v>CA_Gasoline_Gasification_Non_CCS_Herb</c:v>
                </c:pt>
                <c:pt idx="52">
                  <c:v>CA_Gasoline_Gasification_Non_CCS_Herb</c:v>
                </c:pt>
                <c:pt idx="53">
                  <c:v>CA_Gasoline_Gasification_Non_CCS_Herb</c:v>
                </c:pt>
                <c:pt idx="54">
                  <c:v>CA_Gasoline_Gasification_Non_CCS_Herb</c:v>
                </c:pt>
                <c:pt idx="55">
                  <c:v>CA_Gasoline_Gasification_Non_CCS_Herb</c:v>
                </c:pt>
                <c:pt idx="56">
                  <c:v>CA_Gasoline_Gasification_Non_CCS_Herb</c:v>
                </c:pt>
                <c:pt idx="57">
                  <c:v>CA_Gasoline_Gasification_Non_CCS_Herb</c:v>
                </c:pt>
                <c:pt idx="58">
                  <c:v>CA_Gasoline_Gasification_Non_CCS_Herb</c:v>
                </c:pt>
                <c:pt idx="59">
                  <c:v>CA_Gasoline_Gasification_Non_CCS_Herb</c:v>
                </c:pt>
                <c:pt idx="60">
                  <c:v>CA_Gasoline_Gasification_Non_CCS_Herb</c:v>
                </c:pt>
                <c:pt idx="61">
                  <c:v>CA_Gasoline_Gasification_Non_CCS_Herb</c:v>
                </c:pt>
                <c:pt idx="62">
                  <c:v>CA_Gasoline_Gasification_Non_CCS_Herb</c:v>
                </c:pt>
                <c:pt idx="63">
                  <c:v>CA_Gasoline_Gasification_Non_CCS_Herb</c:v>
                </c:pt>
                <c:pt idx="64">
                  <c:v>CA_Gasoline_Gasification_Non_CCS_Herb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strCache>
            </c:strRef>
          </c:cat>
          <c:val>
            <c:numRef>
              <c:f>lc_summary!$Y$3:$Y$74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A-8248-A0F8-B97389D02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4004336"/>
        <c:axId val="2014014032"/>
      </c:barChart>
      <c:catAx>
        <c:axId val="1604004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14032"/>
        <c:crosses val="autoZero"/>
        <c:auto val="1"/>
        <c:lblAlgn val="ctr"/>
        <c:lblOffset val="100"/>
        <c:noMultiLvlLbl val="0"/>
      </c:catAx>
      <c:valAx>
        <c:axId val="201401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004336"/>
        <c:crosses val="autoZero"/>
        <c:crossBetween val="between"/>
        <c:majorUnit val="10"/>
        <c:min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290079</xdr:colOff>
      <xdr:row>0</xdr:row>
      <xdr:rowOff>129887</xdr:rowOff>
    </xdr:from>
    <xdr:to>
      <xdr:col>46</xdr:col>
      <xdr:colOff>745067</xdr:colOff>
      <xdr:row>85</xdr:row>
      <xdr:rowOff>72158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325580-17FA-24F1-29ED-98E547F5F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139700</xdr:colOff>
      <xdr:row>0</xdr:row>
      <xdr:rowOff>88900</xdr:rowOff>
    </xdr:from>
    <xdr:to>
      <xdr:col>54</xdr:col>
      <xdr:colOff>787400</xdr:colOff>
      <xdr:row>85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938422-2DBF-B82E-A841-A83096AFC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E107"/>
  <sheetViews>
    <sheetView tabSelected="1" topLeftCell="AW1" zoomScale="106" zoomScaleNormal="157" workbookViewId="0">
      <selection activeCell="BB14" sqref="BB14"/>
    </sheetView>
  </sheetViews>
  <sheetFormatPr baseColWidth="10" defaultRowHeight="16" x14ac:dyDescent="0.2"/>
  <cols>
    <col min="1" max="1" width="2.6640625" style="1" customWidth="1"/>
    <col min="2" max="2" width="43.5" style="1" bestFit="1" customWidth="1"/>
    <col min="3" max="3" width="13.33203125" style="1" bestFit="1" customWidth="1"/>
    <col min="4" max="4" width="23.83203125" style="1" bestFit="1" customWidth="1"/>
    <col min="5" max="5" width="25.33203125" style="1" bestFit="1" customWidth="1"/>
    <col min="6" max="7" width="25.33203125" style="1" customWidth="1"/>
    <col min="8" max="8" width="33.33203125" style="1" bestFit="1" customWidth="1"/>
    <col min="9" max="9" width="28.33203125" style="1" bestFit="1" customWidth="1"/>
    <col min="10" max="10" width="27.83203125" style="1" bestFit="1" customWidth="1"/>
    <col min="11" max="11" width="21" style="1" customWidth="1"/>
    <col min="12" max="12" width="27.83203125" style="1" bestFit="1" customWidth="1"/>
    <col min="13" max="13" width="26.1640625" style="1" bestFit="1" customWidth="1"/>
    <col min="14" max="14" width="14" style="1" customWidth="1"/>
    <col min="15" max="15" width="3" style="1" customWidth="1"/>
    <col min="16" max="16" width="12" style="1" bestFit="1" customWidth="1"/>
    <col min="17" max="17" width="15.6640625" style="1" bestFit="1" customWidth="1"/>
    <col min="18" max="19" width="17.1640625" style="1" bestFit="1" customWidth="1"/>
    <col min="20" max="20" width="18" style="1" bestFit="1" customWidth="1"/>
    <col min="21" max="21" width="16.1640625" style="1" bestFit="1" customWidth="1"/>
    <col min="22" max="22" width="18.83203125" style="1" bestFit="1" customWidth="1"/>
    <col min="23" max="23" width="3.33203125" customWidth="1"/>
    <col min="24" max="24" width="37.83203125" style="1" bestFit="1" customWidth="1"/>
    <col min="25" max="25" width="19.83203125" style="1" customWidth="1"/>
    <col min="26" max="27" width="18.83203125" style="1" bestFit="1" customWidth="1"/>
    <col min="28" max="28" width="27.83203125" style="1" bestFit="1" customWidth="1"/>
    <col min="29" max="29" width="12.6640625" style="1" bestFit="1" customWidth="1"/>
    <col min="30" max="30" width="15.1640625" style="1" bestFit="1" customWidth="1"/>
    <col min="31" max="31" width="18.5" style="1" bestFit="1" customWidth="1"/>
    <col min="32" max="32" width="17.1640625" style="1" bestFit="1" customWidth="1"/>
    <col min="33" max="33" width="13.6640625" style="1" bestFit="1" customWidth="1"/>
    <col min="34" max="34" width="12.1640625" style="1" bestFit="1" customWidth="1"/>
    <col min="35" max="35" width="14.5" style="1" bestFit="1" customWidth="1"/>
    <col min="36" max="36" width="10.5" style="1" customWidth="1"/>
    <col min="37" max="37" width="17.83203125" style="1" bestFit="1" customWidth="1"/>
    <col min="38" max="38" width="19.6640625" style="1" bestFit="1" customWidth="1"/>
    <col min="39" max="39" width="12.1640625" style="1" customWidth="1"/>
    <col min="40" max="40" width="17.83203125" style="1" bestFit="1" customWidth="1"/>
    <col min="41" max="41" width="19.33203125" style="1" bestFit="1" customWidth="1"/>
    <col min="42" max="42" width="3.33203125" style="1" customWidth="1"/>
    <col min="43" max="43" width="27.6640625" style="1" bestFit="1" customWidth="1"/>
    <col min="44" max="44" width="26.5" style="1" bestFit="1" customWidth="1"/>
    <col min="45" max="45" width="22.33203125" style="1" bestFit="1" customWidth="1"/>
    <col min="46" max="46" width="23.83203125" style="1" bestFit="1" customWidth="1"/>
    <col min="47" max="47" width="24.1640625" style="1" bestFit="1" customWidth="1"/>
    <col min="48" max="48" width="3.6640625" style="1" customWidth="1"/>
    <col min="49" max="49" width="24.5" style="1" bestFit="1" customWidth="1"/>
    <col min="50" max="50" width="3.33203125" style="1" customWidth="1"/>
    <col min="51" max="51" width="25.83203125" style="1" bestFit="1" customWidth="1"/>
    <col min="52" max="52" width="23.83203125" style="1" bestFit="1" customWidth="1"/>
    <col min="53" max="53" width="24.5" style="1" bestFit="1" customWidth="1"/>
    <col min="54" max="54" width="33.1640625" style="1" bestFit="1" customWidth="1"/>
    <col min="55" max="55" width="32.33203125" style="1" bestFit="1" customWidth="1"/>
    <col min="56" max="56" width="10.83203125" style="1" customWidth="1"/>
    <col min="57" max="57" width="19.1640625" style="1" bestFit="1" customWidth="1"/>
    <col min="58" max="74" width="10.83203125" style="1" customWidth="1"/>
    <col min="75" max="16384" width="10.83203125" style="1"/>
  </cols>
  <sheetData>
    <row r="1" spans="2:57" ht="15" customHeight="1" x14ac:dyDescent="0.2">
      <c r="W1" s="1"/>
      <c r="AC1" s="17"/>
      <c r="AD1" s="17"/>
      <c r="AE1" s="17"/>
      <c r="AF1" s="17"/>
      <c r="AG1" s="17"/>
      <c r="AH1" s="17"/>
      <c r="AI1" s="17"/>
      <c r="AJ1" s="17"/>
    </row>
    <row r="2" spans="2:57" x14ac:dyDescent="0.2">
      <c r="B2" s="1" t="s">
        <v>0</v>
      </c>
      <c r="P2" s="1" t="s">
        <v>1</v>
      </c>
      <c r="X2" s="1" t="s">
        <v>2</v>
      </c>
      <c r="Z2" s="1" t="s">
        <v>3</v>
      </c>
      <c r="AA2" s="1" t="s">
        <v>4</v>
      </c>
      <c r="AJ2" s="1" t="s">
        <v>5</v>
      </c>
      <c r="AM2" s="1" t="s">
        <v>6</v>
      </c>
      <c r="AQ2" s="1" t="s">
        <v>7</v>
      </c>
      <c r="AW2" s="1" t="s">
        <v>8</v>
      </c>
      <c r="AY2" s="1" t="s">
        <v>9</v>
      </c>
      <c r="BE2" s="1" t="s">
        <v>10</v>
      </c>
    </row>
    <row r="3" spans="2:57" x14ac:dyDescent="0.2">
      <c r="B3" s="2" t="s">
        <v>11</v>
      </c>
      <c r="C3" s="2" t="s">
        <v>12</v>
      </c>
      <c r="D3" s="2" t="s">
        <v>13</v>
      </c>
      <c r="E3" s="2" t="s">
        <v>14</v>
      </c>
      <c r="F3" s="2" t="s">
        <v>55</v>
      </c>
      <c r="G3" s="2" t="s">
        <v>56</v>
      </c>
      <c r="H3" s="2" t="s">
        <v>57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P3" s="14" t="s">
        <v>21</v>
      </c>
      <c r="Q3" s="14" t="s">
        <v>22</v>
      </c>
      <c r="R3" s="14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X3" s="4" t="s">
        <v>28</v>
      </c>
      <c r="Y3" s="4" t="s">
        <v>29</v>
      </c>
      <c r="Z3" s="3" t="s">
        <v>30</v>
      </c>
      <c r="AA3" s="6" t="s">
        <v>30</v>
      </c>
      <c r="AB3" s="7" t="s">
        <v>32</v>
      </c>
      <c r="AC3" s="4" t="s">
        <v>33</v>
      </c>
      <c r="AD3" s="4" t="s">
        <v>34</v>
      </c>
      <c r="AE3" s="4" t="s">
        <v>35</v>
      </c>
      <c r="AF3" s="4" t="s">
        <v>36</v>
      </c>
      <c r="AG3" s="4" t="s">
        <v>37</v>
      </c>
      <c r="AH3" s="4" t="s">
        <v>38</v>
      </c>
      <c r="AI3" s="4" t="s">
        <v>39</v>
      </c>
      <c r="AJ3" s="3" t="s">
        <v>3</v>
      </c>
      <c r="AK3" s="3" t="s">
        <v>40</v>
      </c>
      <c r="AL3" s="3" t="s">
        <v>41</v>
      </c>
      <c r="AM3" s="6" t="s">
        <v>3</v>
      </c>
      <c r="AN3" s="6" t="s">
        <v>40</v>
      </c>
      <c r="AO3" s="6" t="s">
        <v>41</v>
      </c>
      <c r="AQ3" s="7" t="s">
        <v>42</v>
      </c>
      <c r="AR3" s="7" t="s">
        <v>61</v>
      </c>
      <c r="AS3" s="7" t="s">
        <v>62</v>
      </c>
      <c r="AT3" s="7" t="s">
        <v>63</v>
      </c>
      <c r="AU3" s="7" t="s">
        <v>43</v>
      </c>
      <c r="AW3" s="7" t="s">
        <v>44</v>
      </c>
      <c r="AY3" s="7" t="s">
        <v>58</v>
      </c>
      <c r="AZ3" s="7" t="s">
        <v>59</v>
      </c>
      <c r="BA3" s="7" t="s">
        <v>60</v>
      </c>
      <c r="BB3" s="7" t="s">
        <v>45</v>
      </c>
      <c r="BC3" s="7" t="s">
        <v>46</v>
      </c>
      <c r="BE3" s="7" t="s">
        <v>47</v>
      </c>
    </row>
    <row r="4" spans="2:57" x14ac:dyDescent="0.2">
      <c r="B4" s="13" t="s">
        <v>54</v>
      </c>
      <c r="C4" s="12" t="s">
        <v>48</v>
      </c>
      <c r="D4" s="12">
        <v>0.2142</v>
      </c>
      <c r="E4" s="12">
        <v>0</v>
      </c>
      <c r="F4" s="12"/>
      <c r="G4" s="12"/>
      <c r="H4" s="12">
        <v>1.9847999999999999</v>
      </c>
      <c r="I4" s="12">
        <v>1.7230000000000001</v>
      </c>
      <c r="J4" s="12">
        <v>0</v>
      </c>
      <c r="K4" s="12">
        <v>1.2657602005135551</v>
      </c>
      <c r="L4" s="12">
        <v>273134.21999999997</v>
      </c>
      <c r="M4" s="12">
        <v>144062.46</v>
      </c>
      <c r="N4" s="12">
        <v>0.45</v>
      </c>
      <c r="P4" s="15">
        <v>109.479795</v>
      </c>
      <c r="Q4" s="15">
        <v>-31.70346</v>
      </c>
      <c r="R4" s="15">
        <v>170</v>
      </c>
      <c r="S4" s="15">
        <v>110.461518</v>
      </c>
      <c r="T4" s="15">
        <v>127.408748</v>
      </c>
      <c r="U4" s="15">
        <v>98.832477999999995</v>
      </c>
      <c r="V4" s="15">
        <v>25.324636999999999</v>
      </c>
      <c r="X4" s="1" t="str">
        <f>B4</f>
        <v>CA_Gasoline_Gasification_Non_CCS_Herb</v>
      </c>
      <c r="Y4" s="1" t="str">
        <f>C4</f>
        <v>Biomass_Herb</v>
      </c>
      <c r="Z4" s="11" t="e">
        <f>SUM(AC4:AI4)+AK4+AL4</f>
        <v>#REF!</v>
      </c>
      <c r="AA4" s="11" t="e">
        <f>SUM(AC4:AI4)+AN4+AO4</f>
        <v>#REF!</v>
      </c>
      <c r="AB4" s="5" t="e">
        <f>Z4-AA4</f>
        <v>#REF!</v>
      </c>
      <c r="AC4" s="1">
        <f>D4/H4*V4*-1</f>
        <v>-2.7330397246070137</v>
      </c>
      <c r="AD4" s="1">
        <f>E4/H4*V4</f>
        <v>0</v>
      </c>
      <c r="AE4" s="1" cm="1">
        <f t="array" ref="AE4">_xlfn.IFS(C4="Biomass_Corn", 1/H4*R4, C4="Biomass_Agri", 1/H4*U4, C4="Biomass_Wood", 1/H4*T4, C4="Biomass_Herb", 1/H4*S4)</f>
        <v>55.653727327690454</v>
      </c>
      <c r="AF4" s="1" t="e">
        <f>#REF!/H4*#REF!</f>
        <v>#REF!</v>
      </c>
      <c r="AG4" s="1">
        <f>L4/H4/(0.9*8760)</f>
        <v>17.45471442935871</v>
      </c>
      <c r="AH4" s="1">
        <f>M4/H4/(0.9*8760)</f>
        <v>9.2063495350048488</v>
      </c>
      <c r="AI4" s="1">
        <f>N4/H4</f>
        <v>0.22672309552599759</v>
      </c>
      <c r="AJ4" s="1" t="e">
        <f>AY4+BB4+BC4-AW4+#REF!+#REF!</f>
        <v>#REF!</v>
      </c>
      <c r="AK4" s="1" t="e">
        <f>(P4+Q4)*-1*(J4+#REF!)/H4</f>
        <v>#REF!</v>
      </c>
      <c r="AL4" s="1" t="e">
        <f>AJ4*P4</f>
        <v>#REF!</v>
      </c>
      <c r="AM4" s="1">
        <f>SUM(AY4:BB4)-AW4</f>
        <v>0.26469320908850391</v>
      </c>
      <c r="AN4" s="1" t="e">
        <f>(J4+#REF!)/H4*-1*Q4</f>
        <v>#REF!</v>
      </c>
      <c r="AO4" s="1">
        <f>AM4*P4</f>
        <v>28.978558268901544</v>
      </c>
      <c r="AQ4" s="9">
        <f>I4</f>
        <v>1.7230000000000001</v>
      </c>
      <c r="AR4" s="9">
        <v>0.243968185</v>
      </c>
      <c r="AS4" s="9">
        <v>0.24942761299999999</v>
      </c>
      <c r="AT4" s="10">
        <v>0.24635668499999999</v>
      </c>
      <c r="AU4" s="9">
        <v>0.23037490999999999</v>
      </c>
      <c r="AW4" s="10">
        <f>AQ4/H4</f>
        <v>0.86809754131398642</v>
      </c>
      <c r="AY4" s="10">
        <f>AR4*F4</f>
        <v>0</v>
      </c>
      <c r="AZ4" s="10">
        <f>AS4*H4</f>
        <v>0.49506392628239998</v>
      </c>
      <c r="BA4" s="10"/>
      <c r="BB4" s="10">
        <f>K4/H4</f>
        <v>0.6377268241200903</v>
      </c>
      <c r="BC4" s="10">
        <f>J4/H4</f>
        <v>0</v>
      </c>
      <c r="BE4" s="1" t="e">
        <f>#REF!-#REF!</f>
        <v>#REF!</v>
      </c>
    </row>
    <row r="5" spans="2:57" x14ac:dyDescent="0.2">
      <c r="B5" s="13" t="s">
        <v>54</v>
      </c>
      <c r="C5" s="12" t="s">
        <v>48</v>
      </c>
      <c r="D5" s="12">
        <v>0.215</v>
      </c>
      <c r="E5" s="12">
        <v>0</v>
      </c>
      <c r="F5" s="12"/>
      <c r="G5" s="12"/>
      <c r="H5" s="12">
        <v>1.9923999999999999</v>
      </c>
      <c r="I5" s="12">
        <v>1.736</v>
      </c>
      <c r="J5" s="12">
        <v>0</v>
      </c>
      <c r="K5" s="12">
        <v>1.2770044799450391</v>
      </c>
      <c r="L5" s="12">
        <v>273134.21999999997</v>
      </c>
      <c r="M5" s="12">
        <v>144062.46</v>
      </c>
      <c r="N5" s="12">
        <v>0.45</v>
      </c>
      <c r="P5" s="15">
        <v>109.479795</v>
      </c>
      <c r="Q5" s="15">
        <v>-54.115442999999999</v>
      </c>
      <c r="R5" s="15">
        <v>170</v>
      </c>
      <c r="S5" s="15">
        <v>100.77374399999999</v>
      </c>
      <c r="T5" s="15">
        <v>108.668072</v>
      </c>
      <c r="U5" s="15">
        <v>89.424565000000001</v>
      </c>
      <c r="V5" s="15">
        <v>39.359471999999997</v>
      </c>
      <c r="X5" s="1" t="str">
        <f>B5</f>
        <v>CA_Gasoline_Gasification_Non_CCS_Herb</v>
      </c>
      <c r="Y5" s="1" t="str">
        <f>C5</f>
        <v>Biomass_Herb</v>
      </c>
      <c r="Z5" s="11" t="e">
        <f t="shared" ref="Z5:Z35" si="0">SUM(AC5:AI5)+AK5+AL5</f>
        <v>#REF!</v>
      </c>
      <c r="AA5" s="11" t="e">
        <f t="shared" ref="AA5:AA35" si="1">SUM(AC5:AI5)+AN5+AO5</f>
        <v>#REF!</v>
      </c>
      <c r="AB5" s="5" t="e">
        <f>Z5-AA5</f>
        <v>#REF!</v>
      </c>
      <c r="AC5" s="1">
        <f>D5/H5*V5*-1</f>
        <v>-4.2472829150772933</v>
      </c>
      <c r="AD5" s="1">
        <f>E5/H5*V5</f>
        <v>0</v>
      </c>
      <c r="AE5" s="1" cm="1">
        <f t="array" ref="AE5">_xlfn.IFS(C5="Biomass_Corn", 1/H5*R5, C5="Biomass_Agri", 1/H5*U5, C5="Biomass_Wood", 1/H5*T5, C5="Biomass_Herb", 1/H5*S5)</f>
        <v>50.579072475406548</v>
      </c>
      <c r="AF5" s="1" t="e">
        <f>#REF!/H5*#REF!</f>
        <v>#REF!</v>
      </c>
      <c r="AG5" s="1">
        <f>L5/H5/(0.9*8760)</f>
        <v>17.388133507022271</v>
      </c>
      <c r="AH5" s="1">
        <f>M5/H5/(0.9*8760)</f>
        <v>9.1712319599867627</v>
      </c>
      <c r="AI5" s="1">
        <f>N5/H5</f>
        <v>0.22585826139329454</v>
      </c>
      <c r="AJ5" s="1" t="e">
        <f>AY5+BB5+BC5-AW5+#REF!+#REF!</f>
        <v>#REF!</v>
      </c>
      <c r="AK5" s="1" t="e">
        <f>(P5+Q5)*-1*(J5+#REF!)/H5</f>
        <v>#REF!</v>
      </c>
      <c r="AL5" s="1" t="e">
        <f>AJ5*P5</f>
        <v>#REF!</v>
      </c>
      <c r="AM5" s="1">
        <f>SUM(AY5:BB5)-AW5</f>
        <v>1.7318957232781429E-6</v>
      </c>
      <c r="AN5" s="1" t="e">
        <f>(J5+#REF!)/H5*-1*Q5</f>
        <v>#REF!</v>
      </c>
      <c r="AO5" s="1">
        <f>AM5*P5</f>
        <v>1.8960758874586782E-4</v>
      </c>
      <c r="AQ5" s="9">
        <f>I5</f>
        <v>1.736</v>
      </c>
      <c r="AR5" s="9">
        <v>0.243968185</v>
      </c>
      <c r="AS5" s="9">
        <v>0.24942761299999999</v>
      </c>
      <c r="AT5" s="10">
        <v>0.24635668499999999</v>
      </c>
      <c r="AU5" s="9">
        <v>0.23037490999999999</v>
      </c>
      <c r="AW5" s="10">
        <f>AQ5/H5</f>
        <v>0.8713109817305762</v>
      </c>
      <c r="AY5" s="10">
        <f>AU5</f>
        <v>0.23037490999999999</v>
      </c>
      <c r="AZ5" s="10"/>
      <c r="BA5" s="10"/>
      <c r="BB5" s="10">
        <f>K5/H5</f>
        <v>0.64093780362629948</v>
      </c>
      <c r="BC5" s="10">
        <f>J5/H5</f>
        <v>0</v>
      </c>
      <c r="BE5" s="1" t="e">
        <f>#REF!-#REF!</f>
        <v>#REF!</v>
      </c>
    </row>
    <row r="6" spans="2:57" x14ac:dyDescent="0.2">
      <c r="B6" s="13" t="s">
        <v>54</v>
      </c>
      <c r="C6" s="12" t="s">
        <v>48</v>
      </c>
      <c r="D6" s="12">
        <v>0.2155</v>
      </c>
      <c r="E6" s="12">
        <v>0</v>
      </c>
      <c r="F6" s="12"/>
      <c r="G6" s="12"/>
      <c r="H6" s="12">
        <v>1.9966999999999999</v>
      </c>
      <c r="I6" s="12">
        <v>1.74</v>
      </c>
      <c r="J6" s="12">
        <v>0</v>
      </c>
      <c r="K6" s="12">
        <v>1.280001211048744</v>
      </c>
      <c r="L6" s="12">
        <v>273134.21999999997</v>
      </c>
      <c r="M6" s="12">
        <v>144062.46</v>
      </c>
      <c r="N6" s="12">
        <v>0.45</v>
      </c>
      <c r="P6" s="15">
        <v>109.479795</v>
      </c>
      <c r="Q6" s="15">
        <v>-41.717134999999999</v>
      </c>
      <c r="R6" s="15">
        <v>170</v>
      </c>
      <c r="S6" s="15">
        <v>104.167382</v>
      </c>
      <c r="T6" s="15">
        <v>115.52638899999999</v>
      </c>
      <c r="U6" s="15">
        <v>92.044978</v>
      </c>
      <c r="V6" s="15">
        <v>30.708172999999999</v>
      </c>
      <c r="X6" s="1" t="str">
        <f>B6</f>
        <v>CA_Gasoline_Gasification_Non_CCS_Herb</v>
      </c>
      <c r="Y6" s="1" t="str">
        <f>C6</f>
        <v>Biomass_Herb</v>
      </c>
      <c r="Z6" s="11" t="e">
        <f t="shared" si="0"/>
        <v>#REF!</v>
      </c>
      <c r="AA6" s="11" t="e">
        <f t="shared" si="1"/>
        <v>#REF!</v>
      </c>
      <c r="AB6" s="5" t="e">
        <f>Z6-AA6</f>
        <v>#REF!</v>
      </c>
      <c r="AC6" s="1">
        <f>D6/H6*V6*-1</f>
        <v>-3.3142741931687283</v>
      </c>
      <c r="AD6" s="1">
        <f>E6/H6*V6</f>
        <v>0</v>
      </c>
      <c r="AE6" s="1" cm="1">
        <f t="array" ref="AE6">_xlfn.IFS(C6="Biomass_Corn", 1/H6*R6, C6="Biomass_Agri", 1/H6*U6, C6="Biomass_Wood", 1/H6*T6, C6="Biomass_Herb", 1/H6*S6)</f>
        <v>52.169771122351882</v>
      </c>
      <c r="AF6" s="1" t="e">
        <f>#REF!/H6*#REF!</f>
        <v>#REF!</v>
      </c>
      <c r="AG6" s="1">
        <f>L6/H6/(0.9*8760)</f>
        <v>17.350687233631078</v>
      </c>
      <c r="AH6" s="1">
        <f>M6/H6/(0.9*8760)</f>
        <v>9.1514812225560309</v>
      </c>
      <c r="AI6" s="1">
        <f>N6/H6</f>
        <v>0.22537186357489861</v>
      </c>
      <c r="AJ6" s="1" t="e">
        <f>AY6+BB6+BC6-AW6+#REF!+#REF!</f>
        <v>#REF!</v>
      </c>
      <c r="AK6" s="1" t="e">
        <f>(P6+Q6)*-1*(J6+#REF!)/H6</f>
        <v>#REF!</v>
      </c>
      <c r="AL6" s="1" t="e">
        <f>AJ6*P6</f>
        <v>#REF!</v>
      </c>
      <c r="AM6" s="1">
        <f>SUM(AY6:BB6)-AW6</f>
        <v>-4.6106847578775145E-6</v>
      </c>
      <c r="AN6" s="1" t="e">
        <f>(J6+#REF!)/H6*-1*Q6</f>
        <v>#REF!</v>
      </c>
      <c r="AO6" s="1">
        <f>AM6*P6</f>
        <v>-5.0477682210205491E-4</v>
      </c>
      <c r="AQ6" s="9">
        <f>I6</f>
        <v>1.74</v>
      </c>
      <c r="AR6" s="9">
        <v>0.243968185</v>
      </c>
      <c r="AS6" s="9">
        <v>0.24942761299999999</v>
      </c>
      <c r="AT6" s="10">
        <v>0.24635668499999999</v>
      </c>
      <c r="AU6" s="9">
        <v>0.23037490999999999</v>
      </c>
      <c r="AW6" s="10">
        <f>AQ6/H6</f>
        <v>0.87143787248960791</v>
      </c>
      <c r="AY6" s="10">
        <f>AU6</f>
        <v>0.23037490999999999</v>
      </c>
      <c r="AZ6" s="10"/>
      <c r="BA6" s="10"/>
      <c r="BB6" s="10">
        <f>K6/H6</f>
        <v>0.64105835180485005</v>
      </c>
      <c r="BC6" s="10">
        <f>J6/H6</f>
        <v>0</v>
      </c>
      <c r="BE6" s="1" t="e">
        <f>#REF!-#REF!</f>
        <v>#REF!</v>
      </c>
    </row>
    <row r="7" spans="2:57" x14ac:dyDescent="0.2">
      <c r="B7" s="13" t="s">
        <v>54</v>
      </c>
      <c r="C7" s="12" t="s">
        <v>48</v>
      </c>
      <c r="D7" s="12">
        <v>0.21379999999999999</v>
      </c>
      <c r="E7" s="12">
        <v>0</v>
      </c>
      <c r="F7" s="12"/>
      <c r="G7" s="12"/>
      <c r="H7" s="12">
        <v>1.9815</v>
      </c>
      <c r="I7" s="12">
        <v>1.7170000000000001</v>
      </c>
      <c r="J7" s="12">
        <v>0</v>
      </c>
      <c r="K7" s="12">
        <v>1.260512652185777</v>
      </c>
      <c r="L7" s="12">
        <v>273134.21999999997</v>
      </c>
      <c r="M7" s="12">
        <v>144062.46</v>
      </c>
      <c r="N7" s="12">
        <v>0.45</v>
      </c>
      <c r="P7" s="15">
        <v>109.479795</v>
      </c>
      <c r="Q7" s="15">
        <v>-47.70091</v>
      </c>
      <c r="R7" s="15">
        <v>170</v>
      </c>
      <c r="S7" s="15">
        <v>99.632842999999994</v>
      </c>
      <c r="T7" s="15">
        <v>113.227017</v>
      </c>
      <c r="U7" s="15">
        <v>88.855315000000004</v>
      </c>
      <c r="V7" s="15">
        <v>38.218446</v>
      </c>
      <c r="X7" s="1" t="str">
        <f>B7</f>
        <v>CA_Gasoline_Gasification_Non_CCS_Herb</v>
      </c>
      <c r="Y7" s="1" t="str">
        <f>C7</f>
        <v>Biomass_Herb</v>
      </c>
      <c r="Z7" s="11" t="e">
        <f t="shared" si="0"/>
        <v>#REF!</v>
      </c>
      <c r="AA7" s="11" t="e">
        <f t="shared" si="1"/>
        <v>#REF!</v>
      </c>
      <c r="AB7" s="5" t="e">
        <f>Z7-AA7</f>
        <v>#REF!</v>
      </c>
      <c r="AC7" s="1">
        <f>D7/H7*V7*-1</f>
        <v>-4.1236960660105977</v>
      </c>
      <c r="AD7" s="1">
        <f>E7/H7*V7</f>
        <v>0</v>
      </c>
      <c r="AE7" s="1" cm="1">
        <f t="array" ref="AE7">_xlfn.IFS(C7="Biomass_Corn", 1/H7*R7, C7="Biomass_Agri", 1/H7*U7, C7="Biomass_Wood", 1/H7*T7, C7="Biomass_Herb", 1/H7*S7)</f>
        <v>50.281525611910162</v>
      </c>
      <c r="AF7" s="1" t="e">
        <f>#REF!/H7*#REF!</f>
        <v>#REF!</v>
      </c>
      <c r="AG7" s="1">
        <f>L7/H7/(0.9*8760)</f>
        <v>17.483783597976871</v>
      </c>
      <c r="AH7" s="1">
        <f>M7/H7/(0.9*8760)</f>
        <v>9.2216818355173462</v>
      </c>
      <c r="AI7" s="1">
        <f>N7/H7</f>
        <v>0.22710068130204392</v>
      </c>
      <c r="AJ7" s="1" t="e">
        <f>AY7+BB7+BC7-AW7+#REF!+#REF!</f>
        <v>#REF!</v>
      </c>
      <c r="AK7" s="1" t="e">
        <f>(P7+Q7)*-1*(J7+#REF!)/H7</f>
        <v>#REF!</v>
      </c>
      <c r="AL7" s="1" t="e">
        <f>AJ7*P7</f>
        <v>#REF!</v>
      </c>
      <c r="AM7" s="1">
        <f>SUM(AY7:BB7)-AW7</f>
        <v>2.7067917074408143E-7</v>
      </c>
      <c r="AN7" s="1" t="e">
        <f>(J7+#REF!)/H7*-1*Q7</f>
        <v>#REF!</v>
      </c>
      <c r="AO7" s="1">
        <f>AM7*P7</f>
        <v>2.963390012383203E-5</v>
      </c>
      <c r="AQ7" s="9">
        <f>I7</f>
        <v>1.7170000000000001</v>
      </c>
      <c r="AR7" s="9">
        <v>0.243968185</v>
      </c>
      <c r="AS7" s="9">
        <v>0.24942761299999999</v>
      </c>
      <c r="AT7" s="10">
        <v>0.24635668499999999</v>
      </c>
      <c r="AU7" s="9">
        <v>0.23037490999999999</v>
      </c>
      <c r="AW7" s="10">
        <f>AQ7/H7</f>
        <v>0.86651526621246533</v>
      </c>
      <c r="AY7" s="10">
        <f>AU7</f>
        <v>0.23037490999999999</v>
      </c>
      <c r="AZ7" s="10"/>
      <c r="BA7" s="10"/>
      <c r="BB7" s="10">
        <f>K7/H7</f>
        <v>0.63614062689163609</v>
      </c>
      <c r="BC7" s="10">
        <f>J7/H7</f>
        <v>0</v>
      </c>
      <c r="BE7" s="1" t="e">
        <f>#REF!-#REF!</f>
        <v>#REF!</v>
      </c>
    </row>
    <row r="8" spans="2:57" x14ac:dyDescent="0.2">
      <c r="B8" s="13" t="s">
        <v>54</v>
      </c>
      <c r="C8" s="12" t="s">
        <v>48</v>
      </c>
      <c r="D8" s="12">
        <v>0.2132</v>
      </c>
      <c r="E8" s="12">
        <v>0</v>
      </c>
      <c r="F8" s="12"/>
      <c r="G8" s="12"/>
      <c r="H8" s="12">
        <v>1.9761</v>
      </c>
      <c r="I8" s="12">
        <v>1.714</v>
      </c>
      <c r="J8" s="12">
        <v>0</v>
      </c>
      <c r="K8" s="12">
        <v>1.2587667383061449</v>
      </c>
      <c r="L8" s="12">
        <v>273134.21999999997</v>
      </c>
      <c r="M8" s="12">
        <v>144062.46</v>
      </c>
      <c r="N8" s="12">
        <v>0.45</v>
      </c>
      <c r="P8" s="15">
        <v>109.479795</v>
      </c>
      <c r="Q8" s="15">
        <v>-21.506692000000001</v>
      </c>
      <c r="R8" s="15">
        <v>170</v>
      </c>
      <c r="S8" s="15">
        <v>137.93464800000001</v>
      </c>
      <c r="T8" s="15">
        <v>157.881351</v>
      </c>
      <c r="U8" s="15">
        <v>111.364845</v>
      </c>
      <c r="V8" s="15">
        <v>20.230252</v>
      </c>
      <c r="X8" s="1" t="str">
        <f>B8</f>
        <v>CA_Gasoline_Gasification_Non_CCS_Herb</v>
      </c>
      <c r="Y8" s="1" t="str">
        <f>C8</f>
        <v>Biomass_Herb</v>
      </c>
      <c r="Z8" s="11" t="e">
        <f t="shared" si="0"/>
        <v>#REF!</v>
      </c>
      <c r="AA8" s="11" t="e">
        <f t="shared" si="1"/>
        <v>#REF!</v>
      </c>
      <c r="AB8" s="5" t="e">
        <f>Z8-AA8</f>
        <v>#REF!</v>
      </c>
      <c r="AC8" s="1">
        <f>D8/H8*V8*-1</f>
        <v>-2.1826272589443856</v>
      </c>
      <c r="AD8" s="1">
        <f>E8/H8*V8</f>
        <v>0</v>
      </c>
      <c r="AE8" s="1" cm="1">
        <f t="array" ref="AE8">_xlfn.IFS(C8="Biomass_Corn", 1/H8*R8, C8="Biomass_Agri", 1/H8*U8, C8="Biomass_Wood", 1/H8*T8, C8="Biomass_Herb", 1/H8*S8)</f>
        <v>69.801451343555485</v>
      </c>
      <c r="AF8" s="1" t="e">
        <f>#REF!/H8*#REF!</f>
        <v>#REF!</v>
      </c>
      <c r="AG8" s="1">
        <f>L8/H8/(0.9*8760)</f>
        <v>17.531560750666046</v>
      </c>
      <c r="AH8" s="1">
        <f>M8/H8/(0.9*8760)</f>
        <v>9.2468815126145572</v>
      </c>
      <c r="AI8" s="1">
        <f>N8/H8</f>
        <v>0.22772126916654017</v>
      </c>
      <c r="AJ8" s="1" t="e">
        <f>AY8+BB8+BC8-AW8+#REF!+#REF!</f>
        <v>#REF!</v>
      </c>
      <c r="AK8" s="1" t="e">
        <f>(P8+Q8)*-1*(J8+#REF!)/H8</f>
        <v>#REF!</v>
      </c>
      <c r="AL8" s="1" t="e">
        <f>AJ8*P8</f>
        <v>#REF!</v>
      </c>
      <c r="AM8" s="1">
        <f>SUM(AY8:BB8)-AW8</f>
        <v>5.3630672258719869E-6</v>
      </c>
      <c r="AN8" s="1" t="e">
        <f>(J8+#REF!)/H8*-1*Q8</f>
        <v>#REF!</v>
      </c>
      <c r="AO8" s="1">
        <f>AM8*P8</f>
        <v>5.8714750045968378E-4</v>
      </c>
      <c r="AQ8" s="9">
        <f>I8</f>
        <v>1.714</v>
      </c>
      <c r="AR8" s="9">
        <v>0.243968185</v>
      </c>
      <c r="AS8" s="9">
        <v>0.24942761299999999</v>
      </c>
      <c r="AT8" s="10">
        <v>0.24635668499999999</v>
      </c>
      <c r="AU8" s="9">
        <v>0.23037490999999999</v>
      </c>
      <c r="AW8" s="10">
        <f>AQ8/H8</f>
        <v>0.86736501189211068</v>
      </c>
      <c r="AY8" s="10">
        <f>AU8</f>
        <v>0.23037490999999999</v>
      </c>
      <c r="AZ8" s="10"/>
      <c r="BA8" s="10"/>
      <c r="BB8" s="10">
        <f>K8/H8</f>
        <v>0.63699546495933657</v>
      </c>
      <c r="BC8" s="10">
        <f>J8/H8</f>
        <v>0</v>
      </c>
      <c r="BE8" s="1" t="e">
        <f>#REF!-#REF!</f>
        <v>#REF!</v>
      </c>
    </row>
    <row r="9" spans="2:57" ht="17" customHeight="1" x14ac:dyDescent="0.2">
      <c r="B9" s="13" t="s">
        <v>54</v>
      </c>
      <c r="C9" s="12" t="s">
        <v>49</v>
      </c>
      <c r="D9" s="12">
        <v>0.22409999999999999</v>
      </c>
      <c r="E9" s="12">
        <v>0</v>
      </c>
      <c r="F9" s="12"/>
      <c r="G9" s="12"/>
      <c r="H9" s="12">
        <v>2.0762</v>
      </c>
      <c r="I9" s="12">
        <v>1.802</v>
      </c>
      <c r="J9" s="12">
        <v>0</v>
      </c>
      <c r="K9" s="12">
        <v>1.32369155369136</v>
      </c>
      <c r="L9" s="12">
        <v>273134.21999999997</v>
      </c>
      <c r="M9" s="12">
        <v>144062.46</v>
      </c>
      <c r="N9" s="12">
        <v>0.45</v>
      </c>
      <c r="P9" s="15">
        <v>109.479795</v>
      </c>
      <c r="Q9" s="15">
        <v>-31.70346</v>
      </c>
      <c r="R9" s="15">
        <v>170</v>
      </c>
      <c r="S9" s="15">
        <v>110.461518</v>
      </c>
      <c r="T9" s="15">
        <v>127.408748</v>
      </c>
      <c r="U9" s="15">
        <v>98.832477999999995</v>
      </c>
      <c r="V9" s="15">
        <v>25.324636999999999</v>
      </c>
      <c r="X9" s="1" t="str">
        <f>B9</f>
        <v>CA_Gasoline_Gasification_Non_CCS_Herb</v>
      </c>
      <c r="Y9" s="1" t="str">
        <f>C9</f>
        <v>Biomass_Wood</v>
      </c>
      <c r="Z9" s="11" t="e">
        <f t="shared" si="0"/>
        <v>#REF!</v>
      </c>
      <c r="AA9" s="11" t="e">
        <f t="shared" si="1"/>
        <v>#REF!</v>
      </c>
      <c r="AB9" s="5" t="e">
        <f>Z9-AA9</f>
        <v>#REF!</v>
      </c>
      <c r="AC9" s="1">
        <f>D9/H9*V9*-1</f>
        <v>-2.7334799882959251</v>
      </c>
      <c r="AD9" s="1">
        <f>E9/H9*V9</f>
        <v>0</v>
      </c>
      <c r="AE9" s="1" cm="1">
        <f t="array" ref="AE9">_xlfn.IFS(C9="Biomass_Corn", 1/H9*R9, C9="Biomass_Agri", 1/H9*U9, C9="Biomass_Wood", 1/H9*T9, C9="Biomass_Herb", 1/H9*S9)</f>
        <v>61.366317310471054</v>
      </c>
      <c r="AF9" s="1" t="e">
        <f>#REF!/H9*#REF!</f>
        <v>#REF!</v>
      </c>
      <c r="AG9" s="1">
        <f>L9/H9/(0.9*8760)</f>
        <v>16.686310181770139</v>
      </c>
      <c r="AH9" s="1">
        <f>M9/H9/(0.9*8760)</f>
        <v>8.8010608597811508</v>
      </c>
      <c r="AI9" s="1">
        <f>N9/H9</f>
        <v>0.2167421250361237</v>
      </c>
      <c r="AJ9" s="1" t="e">
        <f>AY9+BB9+BC9-AW9+#REF!+#REF!</f>
        <v>#REF!</v>
      </c>
      <c r="AK9" s="1" t="e">
        <f>(P9+Q9)*-1*(J9+#REF!)/H9</f>
        <v>#REF!</v>
      </c>
      <c r="AL9" s="1" t="e">
        <f>AJ9*P9</f>
        <v>#REF!</v>
      </c>
      <c r="AM9" s="1">
        <f>SUM(AY9:BB9)-AW9</f>
        <v>-1.9546125806790826E-6</v>
      </c>
      <c r="AN9" s="1" t="e">
        <f>(J9+#REF!)/H9*-1*Q9</f>
        <v>#REF!</v>
      </c>
      <c r="AO9" s="1">
        <f>AM9*P9</f>
        <v>-2.1399058463716691E-4</v>
      </c>
      <c r="AQ9" s="9">
        <f>I9</f>
        <v>1.802</v>
      </c>
      <c r="AR9" s="9">
        <v>0.243968185</v>
      </c>
      <c r="AS9" s="9">
        <v>0.24942761299999999</v>
      </c>
      <c r="AT9" s="10">
        <v>0.24635668499999999</v>
      </c>
      <c r="AU9" s="9">
        <v>0.23037490999999999</v>
      </c>
      <c r="AW9" s="10">
        <f>AQ9/H9</f>
        <v>0.86793179847798863</v>
      </c>
      <c r="AY9" s="10">
        <f>AU9</f>
        <v>0.23037490999999999</v>
      </c>
      <c r="AZ9" s="10"/>
      <c r="BA9" s="10"/>
      <c r="BB9" s="10">
        <f>K9/H9</f>
        <v>0.63755493386540796</v>
      </c>
      <c r="BC9" s="10">
        <f>J9/H9</f>
        <v>0</v>
      </c>
      <c r="BE9" s="1" t="e">
        <f>#REF!-#REF!</f>
        <v>#REF!</v>
      </c>
    </row>
    <row r="10" spans="2:57" x14ac:dyDescent="0.2">
      <c r="B10" s="13" t="s">
        <v>54</v>
      </c>
      <c r="C10" s="12" t="s">
        <v>49</v>
      </c>
      <c r="D10" s="12">
        <v>0.2233</v>
      </c>
      <c r="E10" s="12">
        <v>0</v>
      </c>
      <c r="F10" s="12"/>
      <c r="G10" s="12"/>
      <c r="H10" s="12">
        <v>2.0697000000000001</v>
      </c>
      <c r="I10" s="12">
        <v>1.806</v>
      </c>
      <c r="J10" s="12">
        <v>0</v>
      </c>
      <c r="K10" s="12">
        <v>1.329196457035803</v>
      </c>
      <c r="L10" s="12">
        <v>273134.21999999997</v>
      </c>
      <c r="M10" s="12">
        <v>144062.46</v>
      </c>
      <c r="N10" s="12">
        <v>0.45</v>
      </c>
      <c r="P10" s="15">
        <v>109.479795</v>
      </c>
      <c r="Q10" s="15">
        <v>-54.115442999999999</v>
      </c>
      <c r="R10" s="15">
        <v>170</v>
      </c>
      <c r="S10" s="15">
        <v>100.77374399999999</v>
      </c>
      <c r="T10" s="15">
        <v>108.668072</v>
      </c>
      <c r="U10" s="15">
        <v>89.424565000000001</v>
      </c>
      <c r="V10" s="15">
        <v>39.359471999999997</v>
      </c>
      <c r="X10" s="1" t="str">
        <f>B10</f>
        <v>CA_Gasoline_Gasification_Non_CCS_Herb</v>
      </c>
      <c r="Y10" s="1" t="str">
        <f>C10</f>
        <v>Biomass_Wood</v>
      </c>
      <c r="Z10" s="11" t="e">
        <f t="shared" si="0"/>
        <v>#REF!</v>
      </c>
      <c r="AA10" s="11" t="e">
        <f t="shared" si="1"/>
        <v>#REF!</v>
      </c>
      <c r="AB10" s="5" t="e">
        <f>Z10-AA10</f>
        <v>#REF!</v>
      </c>
      <c r="AC10" s="1">
        <f>D10/H10*V10*-1</f>
        <v>-4.2464947082185818</v>
      </c>
      <c r="AD10" s="1">
        <f>E10/H10*V10</f>
        <v>0</v>
      </c>
      <c r="AE10" s="1" cm="1">
        <f t="array" ref="AE10">_xlfn.IFS(C10="Biomass_Corn", 1/H10*R10, C10="Biomass_Agri", 1/H10*U10, C10="Biomass_Wood", 1/H10*T10, C10="Biomass_Herb", 1/H10*S10)</f>
        <v>52.50426245349567</v>
      </c>
      <c r="AF10" s="1" t="e">
        <f>#REF!/H10*#REF!</f>
        <v>#REF!</v>
      </c>
      <c r="AG10" s="1">
        <f>L10/H10/(0.9*8760)</f>
        <v>16.738714402759417</v>
      </c>
      <c r="AH10" s="1">
        <f>M10/H10/(0.9*8760)</f>
        <v>8.8287010470491492</v>
      </c>
      <c r="AI10" s="1">
        <f>N10/H10</f>
        <v>0.21742281490071025</v>
      </c>
      <c r="AJ10" s="1" t="e">
        <f>AY10+BB10+BC10-AW10+#REF!+#REF!</f>
        <v>#REF!</v>
      </c>
      <c r="AK10" s="1" t="e">
        <f>(P10+Q10)*-1*(J10+#REF!)/H10</f>
        <v>#REF!</v>
      </c>
      <c r="AL10" s="1" t="e">
        <f>AJ10*P10</f>
        <v>#REF!</v>
      </c>
      <c r="AM10" s="1">
        <f>SUM(AY10:BB10)-AW10</f>
        <v>1.6467424278632237E-6</v>
      </c>
      <c r="AN10" s="1" t="e">
        <f>(J10+#REF!)/H10*-1*Q10</f>
        <v>#REF!</v>
      </c>
      <c r="AO10" s="1">
        <f>AM10*P10</f>
        <v>1.80285023420268E-4</v>
      </c>
      <c r="AQ10" s="9">
        <f>I10</f>
        <v>1.806</v>
      </c>
      <c r="AR10" s="9">
        <v>0.243968185</v>
      </c>
      <c r="AS10" s="9">
        <v>0.24942761299999999</v>
      </c>
      <c r="AT10" s="10">
        <v>0.24635668499999999</v>
      </c>
      <c r="AU10" s="9">
        <v>0.23037490999999999</v>
      </c>
      <c r="AW10" s="10">
        <f>AQ10/H10</f>
        <v>0.87259023046818374</v>
      </c>
      <c r="AY10" s="10">
        <f>AU10</f>
        <v>0.23037490999999999</v>
      </c>
      <c r="AZ10" s="10"/>
      <c r="BA10" s="10"/>
      <c r="BB10" s="10">
        <f>K10/H10</f>
        <v>0.64221696721061161</v>
      </c>
      <c r="BC10" s="10">
        <f>J10/H10</f>
        <v>0</v>
      </c>
      <c r="BE10" s="1" t="e">
        <f>#REF!-#REF!</f>
        <v>#REF!</v>
      </c>
    </row>
    <row r="11" spans="2:57" x14ac:dyDescent="0.2">
      <c r="B11" s="13" t="s">
        <v>54</v>
      </c>
      <c r="C11" s="12" t="s">
        <v>49</v>
      </c>
      <c r="D11" s="12">
        <v>0.22389999999999999</v>
      </c>
      <c r="E11" s="12">
        <v>0</v>
      </c>
      <c r="F11" s="12"/>
      <c r="G11" s="12"/>
      <c r="H11" s="12">
        <v>2.0750999999999999</v>
      </c>
      <c r="I11" s="12">
        <v>1.802</v>
      </c>
      <c r="J11" s="12">
        <v>0</v>
      </c>
      <c r="K11" s="12">
        <v>1.3239423709154341</v>
      </c>
      <c r="L11" s="12">
        <v>273134.21999999997</v>
      </c>
      <c r="M11" s="12">
        <v>144062.46</v>
      </c>
      <c r="N11" s="12">
        <v>0.45</v>
      </c>
      <c r="P11" s="15">
        <v>109.479795</v>
      </c>
      <c r="Q11" s="15">
        <v>-41.717134999999999</v>
      </c>
      <c r="R11" s="15">
        <v>170</v>
      </c>
      <c r="S11" s="15">
        <v>104.167382</v>
      </c>
      <c r="T11" s="15">
        <v>115.52638899999999</v>
      </c>
      <c r="U11" s="15">
        <v>92.044978</v>
      </c>
      <c r="V11" s="15">
        <v>30.708172999999999</v>
      </c>
      <c r="X11" s="1" t="str">
        <f>B11</f>
        <v>CA_Gasoline_Gasification_Non_CCS_Herb</v>
      </c>
      <c r="Y11" s="1" t="str">
        <f>C11</f>
        <v>Biomass_Wood</v>
      </c>
      <c r="Z11" s="11" t="e">
        <f t="shared" si="0"/>
        <v>#REF!</v>
      </c>
      <c r="AA11" s="11" t="e">
        <f t="shared" si="1"/>
        <v>#REF!</v>
      </c>
      <c r="AB11" s="5" t="e">
        <f>Z11-AA11</f>
        <v>#REF!</v>
      </c>
      <c r="AC11" s="1">
        <f>D11/H11*V11*-1</f>
        <v>-3.3133631799431353</v>
      </c>
      <c r="AD11" s="1">
        <f>E11/H11*V11</f>
        <v>0</v>
      </c>
      <c r="AE11" s="1" cm="1">
        <f t="array" ref="AE11">_xlfn.IFS(C11="Biomass_Corn", 1/H11*R11, C11="Biomass_Agri", 1/H11*U11, C11="Biomass_Wood", 1/H11*T11, C11="Biomass_Herb", 1/H11*S11)</f>
        <v>55.672685171798946</v>
      </c>
      <c r="AF11" s="1" t="e">
        <f>#REF!/H11*#REF!</f>
        <v>#REF!</v>
      </c>
      <c r="AG11" s="1">
        <f>L11/H11/(0.9*8760)</f>
        <v>16.695155510284405</v>
      </c>
      <c r="AH11" s="1">
        <f>M11/H11/(0.9*8760)</f>
        <v>8.8057262575671658</v>
      </c>
      <c r="AI11" s="1">
        <f>N11/H11</f>
        <v>0.21685701893884632</v>
      </c>
      <c r="AJ11" s="1" t="e">
        <f>AY11+BB11+BC11-AW11+#REF!+#REF!</f>
        <v>#REF!</v>
      </c>
      <c r="AK11" s="1" t="e">
        <f>(P11+Q11)*-1*(J11+#REF!)/H11</f>
        <v>#REF!</v>
      </c>
      <c r="AL11" s="1" t="e">
        <f>AJ11*P11</f>
        <v>#REF!</v>
      </c>
      <c r="AM11" s="1">
        <f>SUM(AY11:BB11)-AW11</f>
        <v>-3.2062761148310415E-6</v>
      </c>
      <c r="AN11" s="1" t="e">
        <f>(J11+#REF!)/H11*-1*Q11</f>
        <v>#REF!</v>
      </c>
      <c r="AO11" s="1">
        <f>AM11*P11</f>
        <v>-3.5102245176509884E-4</v>
      </c>
      <c r="AQ11" s="9">
        <f>I11</f>
        <v>1.802</v>
      </c>
      <c r="AR11" s="9">
        <v>0.243968185</v>
      </c>
      <c r="AS11" s="9">
        <v>0.24942761299999999</v>
      </c>
      <c r="AT11" s="10">
        <v>0.24635668499999999</v>
      </c>
      <c r="AU11" s="9">
        <v>0.23037490999999999</v>
      </c>
      <c r="AW11" s="10">
        <f>AQ11/H11</f>
        <v>0.86839188472844686</v>
      </c>
      <c r="AY11" s="10">
        <f>AU11</f>
        <v>0.23037490999999999</v>
      </c>
      <c r="AZ11" s="10"/>
      <c r="BA11" s="10"/>
      <c r="BB11" s="10">
        <f>K11/H11</f>
        <v>0.63801376845233204</v>
      </c>
      <c r="BC11" s="10">
        <f>J11/H11</f>
        <v>0</v>
      </c>
      <c r="BE11" s="1" t="e">
        <f>#REF!-#REF!</f>
        <v>#REF!</v>
      </c>
    </row>
    <row r="12" spans="2:57" x14ac:dyDescent="0.2">
      <c r="B12" s="13" t="s">
        <v>54</v>
      </c>
      <c r="C12" s="12" t="s">
        <v>49</v>
      </c>
      <c r="D12" s="12">
        <v>0.22489999999999999</v>
      </c>
      <c r="E12" s="12">
        <v>0</v>
      </c>
      <c r="F12" s="12"/>
      <c r="G12" s="12"/>
      <c r="H12" s="12">
        <v>2.0838000000000001</v>
      </c>
      <c r="I12" s="12">
        <v>1.821</v>
      </c>
      <c r="J12" s="12">
        <v>0</v>
      </c>
      <c r="K12" s="12">
        <v>1.340935833122844</v>
      </c>
      <c r="L12" s="12">
        <v>273134.21999999997</v>
      </c>
      <c r="M12" s="12">
        <v>144062.46</v>
      </c>
      <c r="N12" s="12">
        <v>0.45</v>
      </c>
      <c r="P12" s="15">
        <v>109.479795</v>
      </c>
      <c r="Q12" s="15">
        <v>-47.70091</v>
      </c>
      <c r="R12" s="15">
        <v>170</v>
      </c>
      <c r="S12" s="15">
        <v>99.632842999999994</v>
      </c>
      <c r="T12" s="15">
        <v>113.227017</v>
      </c>
      <c r="U12" s="15">
        <v>88.855315000000004</v>
      </c>
      <c r="V12" s="15">
        <v>38.218446</v>
      </c>
      <c r="X12" s="1" t="str">
        <f>B12</f>
        <v>CA_Gasoline_Gasification_Non_CCS_Herb</v>
      </c>
      <c r="Y12" s="1" t="str">
        <f>C12</f>
        <v>Biomass_Wood</v>
      </c>
      <c r="Z12" s="11" t="e">
        <f t="shared" si="0"/>
        <v>#REF!</v>
      </c>
      <c r="AA12" s="11" t="e">
        <f t="shared" si="1"/>
        <v>#REF!</v>
      </c>
      <c r="AB12" s="5" t="e">
        <f>Z12-AA12</f>
        <v>#REF!</v>
      </c>
      <c r="AC12" s="1">
        <f>D12/H12*V12*-1</f>
        <v>-4.1248337198387555</v>
      </c>
      <c r="AD12" s="1">
        <f>E12/H12*V12</f>
        <v>0</v>
      </c>
      <c r="AE12" s="1" cm="1">
        <f t="array" ref="AE12">_xlfn.IFS(C12="Biomass_Corn", 1/H12*R12, C12="Biomass_Agri", 1/H12*U12, C12="Biomass_Wood", 1/H12*T12, C12="Biomass_Herb", 1/H12*S12)</f>
        <v>54.336796717535272</v>
      </c>
      <c r="AF12" s="1" t="e">
        <f>#REF!/H12*#REF!</f>
        <v>#REF!</v>
      </c>
      <c r="AG12" s="1">
        <f>L12/H12/(0.9*8760)</f>
        <v>16.625452154425169</v>
      </c>
      <c r="AH12" s="1">
        <f>M12/H12/(0.9*8760)</f>
        <v>8.7689617799585484</v>
      </c>
      <c r="AI12" s="1">
        <f>N12/H12</f>
        <v>0.21595162683558883</v>
      </c>
      <c r="AJ12" s="1" t="e">
        <f>AY12+BB12+BC12-AW12+#REF!+#REF!</f>
        <v>#REF!</v>
      </c>
      <c r="AK12" s="1" t="e">
        <f>(P12+Q12)*-1*(J12+#REF!)/H12</f>
        <v>#REF!</v>
      </c>
      <c r="AL12" s="1" t="e">
        <f>AJ12*P12</f>
        <v>#REF!</v>
      </c>
      <c r="AM12" s="1">
        <f>SUM(AY12:BB12)-AW12</f>
        <v>-4.2851613186734028E-6</v>
      </c>
      <c r="AN12" s="1" t="e">
        <f>(J12+#REF!)/H12*-1*Q12</f>
        <v>#REF!</v>
      </c>
      <c r="AO12" s="1">
        <f>AM12*P12</f>
        <v>-4.6913858271029377E-4</v>
      </c>
      <c r="AQ12" s="9">
        <f>I12</f>
        <v>1.821</v>
      </c>
      <c r="AR12" s="9">
        <v>0.243968185</v>
      </c>
      <c r="AS12" s="9">
        <v>0.24942761299999999</v>
      </c>
      <c r="AT12" s="10">
        <v>0.24635668499999999</v>
      </c>
      <c r="AU12" s="9">
        <v>0.23037490999999999</v>
      </c>
      <c r="AW12" s="10">
        <f>AQ12/H12</f>
        <v>0.87388424992801605</v>
      </c>
      <c r="AY12" s="10">
        <f>AU12</f>
        <v>0.23037490999999999</v>
      </c>
      <c r="AZ12" s="10"/>
      <c r="BA12" s="10"/>
      <c r="BB12" s="10">
        <f>K12/H12</f>
        <v>0.64350505476669739</v>
      </c>
      <c r="BC12" s="10">
        <f>J12/H12</f>
        <v>0</v>
      </c>
      <c r="BE12" s="1" t="e">
        <f>#REF!-#REF!</f>
        <v>#REF!</v>
      </c>
    </row>
    <row r="13" spans="2:57" x14ac:dyDescent="0.2">
      <c r="B13" s="13" t="s">
        <v>54</v>
      </c>
      <c r="C13" s="12" t="s">
        <v>49</v>
      </c>
      <c r="D13" s="12">
        <v>0.22209999999999999</v>
      </c>
      <c r="E13" s="12">
        <v>0</v>
      </c>
      <c r="F13" s="12"/>
      <c r="G13" s="12"/>
      <c r="H13" s="12">
        <v>2.0577000000000001</v>
      </c>
      <c r="I13" s="12">
        <v>1.821</v>
      </c>
      <c r="J13" s="12">
        <v>0</v>
      </c>
      <c r="K13" s="12">
        <v>1.3469554465006139</v>
      </c>
      <c r="L13" s="12">
        <v>273134.21999999997</v>
      </c>
      <c r="M13" s="12">
        <v>144062.46</v>
      </c>
      <c r="N13" s="12">
        <v>0.45</v>
      </c>
      <c r="P13" s="15">
        <v>109.479795</v>
      </c>
      <c r="Q13" s="15">
        <v>-21.506692000000001</v>
      </c>
      <c r="R13" s="15">
        <v>170</v>
      </c>
      <c r="S13" s="15">
        <v>137.93464800000001</v>
      </c>
      <c r="T13" s="15">
        <v>157.881351</v>
      </c>
      <c r="U13" s="15">
        <v>111.364845</v>
      </c>
      <c r="V13" s="15">
        <v>20.230252</v>
      </c>
      <c r="X13" s="1" t="str">
        <f>B13</f>
        <v>CA_Gasoline_Gasification_Non_CCS_Herb</v>
      </c>
      <c r="Y13" s="1" t="str">
        <f>C13</f>
        <v>Biomass_Wood</v>
      </c>
      <c r="Z13" s="11" t="e">
        <f t="shared" si="0"/>
        <v>#REF!</v>
      </c>
      <c r="AA13" s="11" t="e">
        <f t="shared" si="1"/>
        <v>#REF!</v>
      </c>
      <c r="AB13" s="5" t="e">
        <f>Z13-AA13</f>
        <v>#REF!</v>
      </c>
      <c r="AC13" s="1">
        <f>D13/H13*V13*-1</f>
        <v>-2.1835733922340474</v>
      </c>
      <c r="AD13" s="1">
        <f>E13/H13*V13</f>
        <v>0</v>
      </c>
      <c r="AE13" s="1" cm="1">
        <f t="array" ref="AE13">_xlfn.IFS(C13="Biomass_Corn", 1/H13*R13, C13="Biomass_Agri", 1/H13*U13, C13="Biomass_Wood", 1/H13*T13, C13="Biomass_Herb", 1/H13*S13)</f>
        <v>76.727098702434745</v>
      </c>
      <c r="AF13" s="1" t="e">
        <f>#REF!/H13*#REF!</f>
        <v>#REF!</v>
      </c>
      <c r="AG13" s="1">
        <f>L13/H13/(0.9*8760)</f>
        <v>16.836330465758454</v>
      </c>
      <c r="AH13" s="1">
        <f>M13/H13/(0.9*8760)</f>
        <v>8.8801878588120839</v>
      </c>
      <c r="AI13" s="1">
        <f>N13/H13</f>
        <v>0.21869077124945327</v>
      </c>
      <c r="AJ13" s="1" t="e">
        <f>AY13+BB13+BC13-AW13+#REF!+#REF!</f>
        <v>#REF!</v>
      </c>
      <c r="AK13" s="1" t="e">
        <f>(P13+Q13)*-1*(J13+#REF!)/H13</f>
        <v>#REF!</v>
      </c>
      <c r="AL13" s="1" t="e">
        <f>AJ13*P13</f>
        <v>#REF!</v>
      </c>
      <c r="AM13" s="1">
        <f>SUM(AY13:BB13)-AW13</f>
        <v>-1.0211364076528895E-6</v>
      </c>
      <c r="AN13" s="1" t="e">
        <f>(J13+#REF!)/H13*-1*Q13</f>
        <v>#REF!</v>
      </c>
      <c r="AO13" s="1">
        <f>AM13*P13</f>
        <v>-1.1179380457687476E-4</v>
      </c>
      <c r="AQ13" s="9">
        <f>I13</f>
        <v>1.821</v>
      </c>
      <c r="AR13" s="9">
        <v>0.243968185</v>
      </c>
      <c r="AS13" s="9">
        <v>0.24942761299999999</v>
      </c>
      <c r="AT13" s="10">
        <v>0.24635668499999999</v>
      </c>
      <c r="AU13" s="9">
        <v>0.23037490999999999</v>
      </c>
      <c r="AW13" s="10">
        <f>AQ13/H13</f>
        <v>0.88496865432278748</v>
      </c>
      <c r="AY13" s="10">
        <f>AU13</f>
        <v>0.23037490999999999</v>
      </c>
      <c r="AZ13" s="10"/>
      <c r="BA13" s="10"/>
      <c r="BB13" s="10">
        <f>K13/H13</f>
        <v>0.65459272318637984</v>
      </c>
      <c r="BC13" s="10">
        <f>J13/H13</f>
        <v>0</v>
      </c>
      <c r="BE13" s="1" t="e">
        <f>#REF!-#REF!</f>
        <v>#REF!</v>
      </c>
    </row>
    <row r="14" spans="2:57" x14ac:dyDescent="0.2">
      <c r="B14" s="13" t="s">
        <v>54</v>
      </c>
      <c r="C14" s="12" t="s">
        <v>50</v>
      </c>
      <c r="D14" s="12">
        <v>0.20169999999999999</v>
      </c>
      <c r="E14" s="12">
        <v>0</v>
      </c>
      <c r="F14" s="12"/>
      <c r="G14" s="12"/>
      <c r="H14" s="12">
        <v>1.8694</v>
      </c>
      <c r="I14" s="12">
        <v>1.7</v>
      </c>
      <c r="J14" s="12">
        <v>0</v>
      </c>
      <c r="K14" s="12">
        <v>1.2693468262653731</v>
      </c>
      <c r="L14" s="12">
        <v>273134.21999999997</v>
      </c>
      <c r="M14" s="12">
        <v>144062.46</v>
      </c>
      <c r="N14" s="12">
        <v>0.45</v>
      </c>
      <c r="P14" s="15">
        <v>109.479795</v>
      </c>
      <c r="Q14" s="15">
        <v>-31.70346</v>
      </c>
      <c r="R14" s="15">
        <v>170</v>
      </c>
      <c r="S14" s="15">
        <v>110.461518</v>
      </c>
      <c r="T14" s="15">
        <v>127.408748</v>
      </c>
      <c r="U14" s="15">
        <v>98.832477999999995</v>
      </c>
      <c r="V14" s="15">
        <v>25.324636999999999</v>
      </c>
      <c r="X14" s="1" t="str">
        <f>B14</f>
        <v>CA_Gasoline_Gasification_Non_CCS_Herb</v>
      </c>
      <c r="Y14" s="1" t="str">
        <f>C14</f>
        <v>Biomass_Agri</v>
      </c>
      <c r="Z14" s="11" t="e">
        <f t="shared" si="0"/>
        <v>#REF!</v>
      </c>
      <c r="AA14" s="11" t="e">
        <f t="shared" si="1"/>
        <v>#REF!</v>
      </c>
      <c r="AB14" s="5" t="e">
        <f>Z14-AA14</f>
        <v>#REF!</v>
      </c>
      <c r="AC14" s="1">
        <f>D14/H14*V14*-1</f>
        <v>-2.7324164346314324</v>
      </c>
      <c r="AD14" s="1">
        <f>E14/H14*V14</f>
        <v>0</v>
      </c>
      <c r="AE14" s="1" cm="1">
        <f t="array" ref="AE14">_xlfn.IFS(C14="Biomass_Corn", 1/H14*R14, C14="Biomass_Agri", 1/H14*U14, C14="Biomass_Wood", 1/H14*T14, C14="Biomass_Herb", 1/H14*S14)</f>
        <v>52.868555686316462</v>
      </c>
      <c r="AF14" s="1" t="e">
        <f>#REF!/H14*#REF!</f>
        <v>#REF!</v>
      </c>
      <c r="AG14" s="1">
        <f>L14/H14/(0.9*8760)</f>
        <v>18.5322120463203</v>
      </c>
      <c r="AH14" s="1">
        <f>M14/H14/(0.9*8760)</f>
        <v>9.7746670359888874</v>
      </c>
      <c r="AI14" s="1">
        <f>N14/H14</f>
        <v>0.24071894725580401</v>
      </c>
      <c r="AJ14" s="1" t="e">
        <f>AY14+BB14+BC14-AW14+#REF!+#REF!</f>
        <v>#REF!</v>
      </c>
      <c r="AK14" s="1" t="e">
        <f>(P14+Q14)*-1*(J14+#REF!)/H14</f>
        <v>#REF!</v>
      </c>
      <c r="AL14" s="1" t="e">
        <f>AJ14*P14</f>
        <v>#REF!</v>
      </c>
      <c r="AM14" s="1">
        <f>SUM(AY14:BB14)-AW14</f>
        <v>5.1797471771752868E-6</v>
      </c>
      <c r="AN14" s="1" t="e">
        <f>(J14+#REF!)/H14*-1*Q14</f>
        <v>#REF!</v>
      </c>
      <c r="AO14" s="1">
        <f>AM14*P14</f>
        <v>5.6707765910897902E-4</v>
      </c>
      <c r="AQ14" s="9">
        <f>I14</f>
        <v>1.7</v>
      </c>
      <c r="AR14" s="9">
        <v>0.243968185</v>
      </c>
      <c r="AS14" s="9">
        <v>0.24942761299999999</v>
      </c>
      <c r="AT14" s="10">
        <v>0.24635668499999999</v>
      </c>
      <c r="AU14" s="9">
        <v>0.23037490999999999</v>
      </c>
      <c r="AW14" s="10">
        <f>AQ14/H14</f>
        <v>0.90938268963303737</v>
      </c>
      <c r="AY14" s="10">
        <f>AU14</f>
        <v>0.23037490999999999</v>
      </c>
      <c r="AZ14" s="10"/>
      <c r="BA14" s="10"/>
      <c r="BB14" s="10">
        <f>K14/H14</f>
        <v>0.67901295938021455</v>
      </c>
      <c r="BC14" s="10">
        <f>J14/H14</f>
        <v>0</v>
      </c>
      <c r="BE14" s="1" t="e">
        <f>#REF!-#REF!</f>
        <v>#REF!</v>
      </c>
    </row>
    <row r="15" spans="2:57" x14ac:dyDescent="0.2">
      <c r="B15" s="13" t="s">
        <v>54</v>
      </c>
      <c r="C15" s="12" t="s">
        <v>50</v>
      </c>
      <c r="D15" s="12">
        <v>0.20300000000000001</v>
      </c>
      <c r="E15" s="12">
        <v>0</v>
      </c>
      <c r="F15" s="12"/>
      <c r="G15" s="12"/>
      <c r="H15" s="12">
        <v>1.8813</v>
      </c>
      <c r="I15" s="12">
        <v>1.708</v>
      </c>
      <c r="J15" s="12">
        <v>0</v>
      </c>
      <c r="K15" s="12">
        <v>1.274587836800561</v>
      </c>
      <c r="L15" s="12">
        <v>273134.21999999997</v>
      </c>
      <c r="M15" s="12">
        <v>144062.46</v>
      </c>
      <c r="N15" s="12">
        <v>0.45</v>
      </c>
      <c r="P15" s="15">
        <v>109.479795</v>
      </c>
      <c r="Q15" s="15">
        <v>-54.115442999999999</v>
      </c>
      <c r="R15" s="15">
        <v>170</v>
      </c>
      <c r="S15" s="15">
        <v>100.77374399999999</v>
      </c>
      <c r="T15" s="15">
        <v>108.668072</v>
      </c>
      <c r="U15" s="15">
        <v>89.424565000000001</v>
      </c>
      <c r="V15" s="15">
        <v>39.359471999999997</v>
      </c>
      <c r="X15" s="1" t="str">
        <f>B15</f>
        <v>CA_Gasoline_Gasification_Non_CCS_Herb</v>
      </c>
      <c r="Y15" s="1" t="str">
        <f>C15</f>
        <v>Biomass_Agri</v>
      </c>
      <c r="Z15" s="11" t="e">
        <f t="shared" si="0"/>
        <v>#REF!</v>
      </c>
      <c r="AA15" s="11" t="e">
        <f t="shared" si="1"/>
        <v>#REF!</v>
      </c>
      <c r="AB15" s="5" t="e">
        <f>Z15-AA15</f>
        <v>#REF!</v>
      </c>
      <c r="AC15" s="1">
        <f>D15/H15*V15*-1</f>
        <v>-4.2470487513953117</v>
      </c>
      <c r="AD15" s="1">
        <f>E15/H15*V15</f>
        <v>0</v>
      </c>
      <c r="AE15" s="1" cm="1">
        <f t="array" ref="AE15">_xlfn.IFS(C15="Biomass_Corn", 1/H15*R15, C15="Biomass_Agri", 1/H15*U15, C15="Biomass_Wood", 1/H15*T15, C15="Biomass_Herb", 1/H15*S15)</f>
        <v>47.53338914580344</v>
      </c>
      <c r="AF15" s="1" t="e">
        <f>#REF!/H15*#REF!</f>
        <v>#REF!</v>
      </c>
      <c r="AG15" s="1">
        <f>L15/H15/(0.9*8760)</f>
        <v>18.41498814617082</v>
      </c>
      <c r="AH15" s="1">
        <f>M15/H15/(0.9*8760)</f>
        <v>9.7128382273309022</v>
      </c>
      <c r="AI15" s="1">
        <f>N15/H15</f>
        <v>0.23919630043055334</v>
      </c>
      <c r="AJ15" s="1" t="e">
        <f>AY15+BB15+BC15-AW15+#REF!+#REF!</f>
        <v>#REF!</v>
      </c>
      <c r="AK15" s="1" t="e">
        <f>(P15+Q15)*-1*(J15+#REF!)/H15</f>
        <v>#REF!</v>
      </c>
      <c r="AL15" s="1" t="e">
        <f>AJ15*P15</f>
        <v>#REF!</v>
      </c>
      <c r="AM15" s="1">
        <f>SUM(AY15:BB15)-AW15</f>
        <v>-4.1699975755760121E-6</v>
      </c>
      <c r="AN15" s="1" t="e">
        <f>(J15+#REF!)/H15*-1*Q15</f>
        <v>#REF!</v>
      </c>
      <c r="AO15" s="1">
        <f>AM15*P15</f>
        <v>-4.5653047972455882E-4</v>
      </c>
      <c r="AQ15" s="9">
        <f>I15</f>
        <v>1.708</v>
      </c>
      <c r="AR15" s="9">
        <v>0.243968185</v>
      </c>
      <c r="AS15" s="9">
        <v>0.24942761299999999</v>
      </c>
      <c r="AT15" s="10">
        <v>0.24635668499999999</v>
      </c>
      <c r="AU15" s="9">
        <v>0.23037490999999999</v>
      </c>
      <c r="AW15" s="10">
        <f>AQ15/H15</f>
        <v>0.90788284696752242</v>
      </c>
      <c r="AY15" s="10">
        <f>AU15</f>
        <v>0.23037490999999999</v>
      </c>
      <c r="AZ15" s="10"/>
      <c r="BA15" s="10"/>
      <c r="BB15" s="10">
        <f>K15/H15</f>
        <v>0.67750376696994685</v>
      </c>
      <c r="BC15" s="10">
        <f>J15/H15</f>
        <v>0</v>
      </c>
      <c r="BE15" s="1" t="e">
        <f>#REF!-#REF!</f>
        <v>#REF!</v>
      </c>
    </row>
    <row r="16" spans="2:57" x14ac:dyDescent="0.2">
      <c r="B16" s="13" t="s">
        <v>54</v>
      </c>
      <c r="C16" s="12" t="s">
        <v>50</v>
      </c>
      <c r="D16" s="12">
        <v>0.20330000000000001</v>
      </c>
      <c r="E16" s="12">
        <v>0</v>
      </c>
      <c r="F16" s="12"/>
      <c r="G16" s="12"/>
      <c r="H16" s="12">
        <v>1.8835</v>
      </c>
      <c r="I16" s="12">
        <v>1.71</v>
      </c>
      <c r="J16" s="12">
        <v>0</v>
      </c>
      <c r="K16" s="12">
        <v>1.276086202352414</v>
      </c>
      <c r="L16" s="12">
        <v>273134.21999999997</v>
      </c>
      <c r="M16" s="12">
        <v>144062.46</v>
      </c>
      <c r="N16" s="12">
        <v>0.45</v>
      </c>
      <c r="P16" s="15">
        <v>109.479795</v>
      </c>
      <c r="Q16" s="15">
        <v>-41.717134999999999</v>
      </c>
      <c r="R16" s="15">
        <v>170</v>
      </c>
      <c r="S16" s="15">
        <v>104.167382</v>
      </c>
      <c r="T16" s="15">
        <v>115.52638899999999</v>
      </c>
      <c r="U16" s="15">
        <v>92.044978</v>
      </c>
      <c r="V16" s="15">
        <v>30.708172999999999</v>
      </c>
      <c r="X16" s="1" t="str">
        <f>B16</f>
        <v>CA_Gasoline_Gasification_Non_CCS_Herb</v>
      </c>
      <c r="Y16" s="1" t="str">
        <f>C16</f>
        <v>Biomass_Agri</v>
      </c>
      <c r="Z16" s="11" t="e">
        <f t="shared" si="0"/>
        <v>#REF!</v>
      </c>
      <c r="AA16" s="11" t="e">
        <f t="shared" si="1"/>
        <v>#REF!</v>
      </c>
      <c r="AB16" s="5" t="e">
        <f>Z16-AA16</f>
        <v>#REF!</v>
      </c>
      <c r="AC16" s="1">
        <f>D16/H16*V16*-1</f>
        <v>-3.3145588377488719</v>
      </c>
      <c r="AD16" s="1">
        <f>E16/H16*V16</f>
        <v>0</v>
      </c>
      <c r="AE16" s="1" cm="1">
        <f t="array" ref="AE16">_xlfn.IFS(C16="Biomass_Corn", 1/H16*R16, C16="Biomass_Agri", 1/H16*U16, C16="Biomass_Wood", 1/H16*T16, C16="Biomass_Herb", 1/H16*S16)</f>
        <v>48.869114945580044</v>
      </c>
      <c r="AF16" s="1" t="e">
        <f>#REF!/H16*#REF!</f>
        <v>#REF!</v>
      </c>
      <c r="AG16" s="1">
        <f>L16/H16/(0.9*8760)</f>
        <v>18.393478736071767</v>
      </c>
      <c r="AH16" s="1">
        <f>M16/H16/(0.9*8760)</f>
        <v>9.7014932609915725</v>
      </c>
      <c r="AI16" s="1">
        <f>N16/H16</f>
        <v>0.23891691000796392</v>
      </c>
      <c r="AJ16" s="1" t="e">
        <f>AY16+BB16+BC16-AW16+#REF!+#REF!</f>
        <v>#REF!</v>
      </c>
      <c r="AK16" s="1" t="e">
        <f>(P16+Q16)*-1*(J16+#REF!)/H16</f>
        <v>#REF!</v>
      </c>
      <c r="AL16" s="1" t="e">
        <f>AJ16*P16</f>
        <v>#REF!</v>
      </c>
      <c r="AM16" s="1">
        <f>SUM(AY16:BB16)-AW16</f>
        <v>-1.4094306270973078E-6</v>
      </c>
      <c r="AN16" s="1" t="e">
        <f>(J16+#REF!)/H16*-1*Q16</f>
        <v>#REF!</v>
      </c>
      <c r="AO16" s="1">
        <f>AM16*P16</f>
        <v>-1.5430417612133471E-4</v>
      </c>
      <c r="AQ16" s="9">
        <f>I16</f>
        <v>1.71</v>
      </c>
      <c r="AR16" s="9">
        <v>0.243968185</v>
      </c>
      <c r="AS16" s="9">
        <v>0.24942761299999999</v>
      </c>
      <c r="AT16" s="10">
        <v>0.24635668499999999</v>
      </c>
      <c r="AU16" s="9">
        <v>0.23037490999999999</v>
      </c>
      <c r="AW16" s="10">
        <f>AQ16/H16</f>
        <v>0.90788425803026285</v>
      </c>
      <c r="AY16" s="10">
        <f>AU16</f>
        <v>0.23037490999999999</v>
      </c>
      <c r="AZ16" s="10"/>
      <c r="BA16" s="10"/>
      <c r="BB16" s="10">
        <f>K16/H16</f>
        <v>0.67750793859963576</v>
      </c>
      <c r="BC16" s="10">
        <f>J16/H16</f>
        <v>0</v>
      </c>
      <c r="BE16" s="1" t="e">
        <f>#REF!-#REF!</f>
        <v>#REF!</v>
      </c>
    </row>
    <row r="17" spans="2:57" x14ac:dyDescent="0.2">
      <c r="B17" s="13" t="s">
        <v>54</v>
      </c>
      <c r="C17" s="12" t="s">
        <v>50</v>
      </c>
      <c r="D17" s="12">
        <v>0.2024</v>
      </c>
      <c r="E17" s="12">
        <v>0</v>
      </c>
      <c r="F17" s="12"/>
      <c r="G17" s="12"/>
      <c r="H17" s="12">
        <v>1.8758999999999999</v>
      </c>
      <c r="I17" s="12">
        <v>1.6890000000000001</v>
      </c>
      <c r="J17" s="12">
        <v>0</v>
      </c>
      <c r="K17" s="12">
        <v>1.25684192292093</v>
      </c>
      <c r="L17" s="12">
        <v>273134.21999999997</v>
      </c>
      <c r="M17" s="12">
        <v>144062.46</v>
      </c>
      <c r="N17" s="12">
        <v>0.45</v>
      </c>
      <c r="P17" s="15">
        <v>109.479795</v>
      </c>
      <c r="Q17" s="15">
        <v>-47.70091</v>
      </c>
      <c r="R17" s="15">
        <v>170</v>
      </c>
      <c r="S17" s="15">
        <v>99.632842999999994</v>
      </c>
      <c r="T17" s="15">
        <v>113.227017</v>
      </c>
      <c r="U17" s="15">
        <v>88.855315000000004</v>
      </c>
      <c r="V17" s="15">
        <v>38.218446</v>
      </c>
      <c r="X17" s="1" t="str">
        <f>B17</f>
        <v>CA_Gasoline_Gasification_Non_CCS_Herb</v>
      </c>
      <c r="Y17" s="1" t="str">
        <f>C17</f>
        <v>Biomass_Agri</v>
      </c>
      <c r="Z17" s="11" t="e">
        <f t="shared" si="0"/>
        <v>#REF!</v>
      </c>
      <c r="AA17" s="11" t="e">
        <f t="shared" si="1"/>
        <v>#REF!</v>
      </c>
      <c r="AB17" s="5" t="e">
        <f>Z17-AA17</f>
        <v>#REF!</v>
      </c>
      <c r="AC17" s="1">
        <f>D17/H17*V17*-1</f>
        <v>-4.1235745351031508</v>
      </c>
      <c r="AD17" s="1">
        <f>E17/H17*V17</f>
        <v>0</v>
      </c>
      <c r="AE17" s="1" cm="1">
        <f t="array" ref="AE17">_xlfn.IFS(C17="Biomass_Corn", 1/H17*R17, C17="Biomass_Agri", 1/H17*U17, C17="Biomass_Wood", 1/H17*T17, C17="Biomass_Herb", 1/H17*S17)</f>
        <v>47.36676528599606</v>
      </c>
      <c r="AF17" s="1" t="e">
        <f>#REF!/H17*#REF!</f>
        <v>#REF!</v>
      </c>
      <c r="AG17" s="1">
        <f>L17/H17/(0.9*8760)</f>
        <v>18.467997867365622</v>
      </c>
      <c r="AH17" s="1">
        <f>M17/H17/(0.9*8760)</f>
        <v>9.7407977808399302</v>
      </c>
      <c r="AI17" s="1">
        <f>N17/H17</f>
        <v>0.23988485526947068</v>
      </c>
      <c r="AJ17" s="1" t="e">
        <f>AY17+BB17+BC17-AW17+#REF!+#REF!</f>
        <v>#REF!</v>
      </c>
      <c r="AK17" s="1" t="e">
        <f>(P17+Q17)*-1*(J17+#REF!)/H17</f>
        <v>#REF!</v>
      </c>
      <c r="AL17" s="1" t="e">
        <f>AJ17*P17</f>
        <v>#REF!</v>
      </c>
      <c r="AM17" s="1">
        <f>SUM(AY17:BB17)-AW17</f>
        <v>1.1816141211040687E-6</v>
      </c>
      <c r="AN17" s="1" t="e">
        <f>(J17+#REF!)/H17*-1*Q17</f>
        <v>#REF!</v>
      </c>
      <c r="AO17" s="1">
        <f>AM17*P17</f>
        <v>1.2936287174757861E-4</v>
      </c>
      <c r="AQ17" s="9">
        <f>I17</f>
        <v>1.6890000000000001</v>
      </c>
      <c r="AR17" s="9">
        <v>0.243968185</v>
      </c>
      <c r="AS17" s="9">
        <v>0.24942761299999999</v>
      </c>
      <c r="AT17" s="10">
        <v>0.24635668499999999</v>
      </c>
      <c r="AU17" s="9">
        <v>0.23037490999999999</v>
      </c>
      <c r="AW17" s="10">
        <f>AQ17/H17</f>
        <v>0.90036782344474664</v>
      </c>
      <c r="AY17" s="10">
        <f>AU17</f>
        <v>0.23037490999999999</v>
      </c>
      <c r="AZ17" s="10"/>
      <c r="BA17" s="10"/>
      <c r="BB17" s="10">
        <f>K17/H17</f>
        <v>0.66999409505886776</v>
      </c>
      <c r="BC17" s="10">
        <f>J17/H17</f>
        <v>0</v>
      </c>
      <c r="BE17" s="1" t="e">
        <f>#REF!-#REF!</f>
        <v>#REF!</v>
      </c>
    </row>
    <row r="18" spans="2:57" x14ac:dyDescent="0.2">
      <c r="B18" s="13" t="s">
        <v>54</v>
      </c>
      <c r="C18" s="12" t="s">
        <v>50</v>
      </c>
      <c r="D18" s="12">
        <v>0.19489999999999999</v>
      </c>
      <c r="E18" s="12">
        <v>0</v>
      </c>
      <c r="F18" s="12"/>
      <c r="G18" s="12"/>
      <c r="H18" s="12">
        <v>1.8062</v>
      </c>
      <c r="I18" s="12">
        <v>1.633</v>
      </c>
      <c r="J18" s="12">
        <v>0</v>
      </c>
      <c r="K18" s="12">
        <v>1.2168942252616499</v>
      </c>
      <c r="L18" s="12">
        <v>273134.21999999997</v>
      </c>
      <c r="M18" s="12">
        <v>144062.46</v>
      </c>
      <c r="N18" s="12">
        <v>0.45</v>
      </c>
      <c r="P18" s="15">
        <v>109.479795</v>
      </c>
      <c r="Q18" s="15">
        <v>-21.506692000000001</v>
      </c>
      <c r="R18" s="15">
        <v>170</v>
      </c>
      <c r="S18" s="15">
        <v>137.93464800000001</v>
      </c>
      <c r="T18" s="15">
        <v>157.881351</v>
      </c>
      <c r="U18" s="15">
        <v>111.364845</v>
      </c>
      <c r="V18" s="15">
        <v>20.230252</v>
      </c>
      <c r="X18" s="1" t="str">
        <f>B18</f>
        <v>CA_Gasoline_Gasification_Non_CCS_Herb</v>
      </c>
      <c r="Y18" s="1" t="str">
        <f>C18</f>
        <v>Biomass_Agri</v>
      </c>
      <c r="Z18" s="11" t="e">
        <f t="shared" si="0"/>
        <v>#REF!</v>
      </c>
      <c r="AA18" s="11" t="e">
        <f t="shared" si="1"/>
        <v>#REF!</v>
      </c>
      <c r="AB18" s="5" t="e">
        <f>Z18-AA18</f>
        <v>#REF!</v>
      </c>
      <c r="AC18" s="1">
        <f>D18/H18*V18*-1</f>
        <v>-2.1829676197541801</v>
      </c>
      <c r="AD18" s="1">
        <f>E18/H18*V18</f>
        <v>0</v>
      </c>
      <c r="AE18" s="1" cm="1">
        <f t="array" ref="AE18">_xlfn.IFS(C18="Biomass_Corn", 1/H18*R18, C18="Biomass_Agri", 1/H18*U18, C18="Biomass_Wood", 1/H18*T18, C18="Biomass_Herb", 1/H18*S18)</f>
        <v>61.656984276381351</v>
      </c>
      <c r="AF18" s="1" t="e">
        <f>#REF!/H18*#REF!</f>
        <v>#REF!</v>
      </c>
      <c r="AG18" s="1">
        <f>L18/H18/(0.9*8760)</f>
        <v>19.18066504229386</v>
      </c>
      <c r="AH18" s="1">
        <f>M18/H18/(0.9*8760)</f>
        <v>10.11668838283558</v>
      </c>
      <c r="AI18" s="1">
        <f>N18/H18</f>
        <v>0.24914184475694828</v>
      </c>
      <c r="AJ18" s="1" t="e">
        <f>AY18+BB18+BC18-AW18+#REF!+#REF!</f>
        <v>#REF!</v>
      </c>
      <c r="AK18" s="1" t="e">
        <f>(P18+Q18)*-1*(J18+#REF!)/H18</f>
        <v>#REF!</v>
      </c>
      <c r="AL18" s="1" t="e">
        <f>AJ18*P18</f>
        <v>#REF!</v>
      </c>
      <c r="AM18" s="1">
        <f>SUM(AY18:BB18)-AW18</f>
        <v>-1.4462940705062266E-6</v>
      </c>
      <c r="AN18" s="1" t="e">
        <f>(J18+#REF!)/H18*-1*Q18</f>
        <v>#REF!</v>
      </c>
      <c r="AO18" s="1">
        <f>AM18*P18</f>
        <v>-1.5833997834873722E-4</v>
      </c>
      <c r="AQ18" s="9">
        <f>I18</f>
        <v>1.633</v>
      </c>
      <c r="AR18" s="9">
        <v>0.243968185</v>
      </c>
      <c r="AS18" s="9">
        <v>0.24942761299999999</v>
      </c>
      <c r="AT18" s="10">
        <v>0.24635668499999999</v>
      </c>
      <c r="AU18" s="9">
        <v>0.23037490999999999</v>
      </c>
      <c r="AW18" s="10">
        <f>AQ18/H18</f>
        <v>0.90410807219577016</v>
      </c>
      <c r="AY18" s="10">
        <f>AU18</f>
        <v>0.23037490999999999</v>
      </c>
      <c r="AZ18" s="10"/>
      <c r="BA18" s="10"/>
      <c r="BB18" s="10">
        <f>K18/H18</f>
        <v>0.67373171590169967</v>
      </c>
      <c r="BC18" s="10">
        <f>J18/H18</f>
        <v>0</v>
      </c>
      <c r="BE18" s="1" t="e">
        <f>#REF!-#REF!</f>
        <v>#REF!</v>
      </c>
    </row>
    <row r="19" spans="2:57" x14ac:dyDescent="0.2">
      <c r="B19" s="13" t="s">
        <v>54</v>
      </c>
      <c r="C19" s="12" t="s">
        <v>48</v>
      </c>
      <c r="D19" s="12">
        <v>0</v>
      </c>
      <c r="E19" s="12">
        <v>0</v>
      </c>
      <c r="F19" s="12"/>
      <c r="G19" s="12"/>
      <c r="H19" s="12">
        <v>1.9847999999999999</v>
      </c>
      <c r="I19" s="12">
        <v>1.7230000000000001</v>
      </c>
      <c r="J19" s="12">
        <v>0.25912642818944348</v>
      </c>
      <c r="K19" s="12">
        <v>1.0066337720325349</v>
      </c>
      <c r="L19" s="12">
        <v>293026.95</v>
      </c>
      <c r="M19" s="12">
        <v>154950.42000000001</v>
      </c>
      <c r="N19" s="12">
        <v>0.48</v>
      </c>
      <c r="P19" s="15">
        <v>109.479795</v>
      </c>
      <c r="Q19" s="15">
        <v>-31.70346</v>
      </c>
      <c r="R19" s="15">
        <v>170</v>
      </c>
      <c r="S19" s="15">
        <v>110.461518</v>
      </c>
      <c r="T19" s="15">
        <v>127.408748</v>
      </c>
      <c r="U19" s="15">
        <v>98.832477999999995</v>
      </c>
      <c r="V19" s="15">
        <v>25.324636999999999</v>
      </c>
      <c r="X19" s="1" t="str">
        <f>B19</f>
        <v>CA_Gasoline_Gasification_Non_CCS_Herb</v>
      </c>
      <c r="Y19" s="1" t="str">
        <f>C19</f>
        <v>Biomass_Herb</v>
      </c>
      <c r="Z19" s="11" t="e">
        <f t="shared" si="0"/>
        <v>#REF!</v>
      </c>
      <c r="AA19" s="11" t="e">
        <f t="shared" si="1"/>
        <v>#REF!</v>
      </c>
      <c r="AB19" s="5" t="e">
        <f>Z19-AA19</f>
        <v>#REF!</v>
      </c>
      <c r="AC19" s="1">
        <f>D19/H19*V19*-1</f>
        <v>0</v>
      </c>
      <c r="AD19" s="1">
        <f>E19/H19*V19</f>
        <v>0</v>
      </c>
      <c r="AE19" s="1" cm="1">
        <f t="array" ref="AE19">_xlfn.IFS(C19="Biomass_Corn", 1/H19*R19, C19="Biomass_Agri", 1/H19*U19, C19="Biomass_Wood", 1/H19*T19, C19="Biomass_Herb", 1/H19*S19)</f>
        <v>55.653727327690454</v>
      </c>
      <c r="AF19" s="1" t="e">
        <f>#REF!/H19*#REF!</f>
        <v>#REF!</v>
      </c>
      <c r="AG19" s="1">
        <f>L19/H19/(0.9*8760)</f>
        <v>18.725964591166843</v>
      </c>
      <c r="AH19" s="1">
        <f>M19/H19/(0.9*8760)</f>
        <v>9.9021474929402586</v>
      </c>
      <c r="AI19" s="1">
        <f>N19/H19</f>
        <v>0.2418379685610641</v>
      </c>
      <c r="AJ19" s="1" t="e">
        <f>AY19+BB19+BC19-AW19+#REF!+#REF!</f>
        <v>#REF!</v>
      </c>
      <c r="AK19" s="1" t="e">
        <f>(P19+Q19)*-1*(J19+#REF!)/H19</f>
        <v>#REF!</v>
      </c>
      <c r="AL19" s="1" t="e">
        <f>AJ19*P19</f>
        <v>#REF!</v>
      </c>
      <c r="AM19" s="1">
        <f>SUM(AY19:BB19)-AW19</f>
        <v>-0.13055124274459151</v>
      </c>
      <c r="AN19" s="1" t="e">
        <f>(J19+#REF!)/H19*-1*Q19</f>
        <v>#REF!</v>
      </c>
      <c r="AO19" s="1">
        <f>AM19*P19</f>
        <v>-14.292723292673115</v>
      </c>
      <c r="AQ19" s="9">
        <f>I19</f>
        <v>1.7230000000000001</v>
      </c>
      <c r="AR19" s="9">
        <v>0.243968185</v>
      </c>
      <c r="AS19" s="9">
        <v>0.24942761299999999</v>
      </c>
      <c r="AT19" s="10">
        <v>0.24635668499999999</v>
      </c>
      <c r="AU19" s="9">
        <v>0.23037490999999999</v>
      </c>
      <c r="AW19" s="10">
        <f>AQ19/H19</f>
        <v>0.86809754131398642</v>
      </c>
      <c r="AY19" s="10">
        <f>AU19</f>
        <v>0.23037490999999999</v>
      </c>
      <c r="AZ19" s="10"/>
      <c r="BA19" s="10"/>
      <c r="BB19" s="10">
        <f>K19/H19</f>
        <v>0.50717138856939492</v>
      </c>
      <c r="BC19" s="10">
        <f>J19/H19</f>
        <v>0.13055543540379055</v>
      </c>
      <c r="BE19" s="1" t="e">
        <f>#REF!-#REF!</f>
        <v>#REF!</v>
      </c>
    </row>
    <row r="20" spans="2:57" x14ac:dyDescent="0.2">
      <c r="B20" s="13" t="s">
        <v>54</v>
      </c>
      <c r="C20" s="12" t="s">
        <v>48</v>
      </c>
      <c r="D20" s="12">
        <v>0</v>
      </c>
      <c r="E20" s="12">
        <v>0</v>
      </c>
      <c r="F20" s="12"/>
      <c r="G20" s="12"/>
      <c r="H20" s="12">
        <v>1.9923999999999999</v>
      </c>
      <c r="I20" s="12">
        <v>1.736</v>
      </c>
      <c r="J20" s="12">
        <v>0.26142835707442769</v>
      </c>
      <c r="K20" s="12">
        <v>1.015576122577915</v>
      </c>
      <c r="L20" s="12">
        <v>293026.95</v>
      </c>
      <c r="M20" s="12">
        <v>154950.42000000001</v>
      </c>
      <c r="N20" s="12">
        <v>0.48</v>
      </c>
      <c r="P20" s="15">
        <v>109.479795</v>
      </c>
      <c r="Q20" s="15">
        <v>-54.115442999999999</v>
      </c>
      <c r="R20" s="15">
        <v>170</v>
      </c>
      <c r="S20" s="15">
        <v>100.77374399999999</v>
      </c>
      <c r="T20" s="15">
        <v>108.668072</v>
      </c>
      <c r="U20" s="15">
        <v>89.424565000000001</v>
      </c>
      <c r="V20" s="15">
        <v>39.359471999999997</v>
      </c>
      <c r="X20" s="1" t="str">
        <f>B20</f>
        <v>CA_Gasoline_Gasification_Non_CCS_Herb</v>
      </c>
      <c r="Y20" s="1" t="str">
        <f>C20</f>
        <v>Biomass_Herb</v>
      </c>
      <c r="Z20" s="11" t="e">
        <f t="shared" si="0"/>
        <v>#REF!</v>
      </c>
      <c r="AA20" s="11" t="e">
        <f t="shared" si="1"/>
        <v>#REF!</v>
      </c>
      <c r="AB20" s="5" t="e">
        <f>Z20-AA20</f>
        <v>#REF!</v>
      </c>
      <c r="AC20" s="1">
        <f>D20/H20*V20*-1</f>
        <v>0</v>
      </c>
      <c r="AD20" s="1">
        <f>E20/H20*V20</f>
        <v>0</v>
      </c>
      <c r="AE20" s="1" cm="1">
        <f t="array" ref="AE20">_xlfn.IFS(C20="Biomass_Corn", 1/H20*R20, C20="Biomass_Agri", 1/H20*U20, C20="Biomass_Wood", 1/H20*T20, C20="Biomass_Herb", 1/H20*S20)</f>
        <v>50.579072475406548</v>
      </c>
      <c r="AF20" s="1" t="e">
        <f>#REF!/H20*#REF!</f>
        <v>#REF!</v>
      </c>
      <c r="AG20" s="1">
        <f>L20/H20/(0.9*8760)</f>
        <v>18.654534491341071</v>
      </c>
      <c r="AH20" s="1">
        <f>M20/H20/(0.9*8760)</f>
        <v>9.8643758000340416</v>
      </c>
      <c r="AI20" s="1">
        <f>N20/H20</f>
        <v>0.24091547881951414</v>
      </c>
      <c r="AJ20" s="1" t="e">
        <f>AY20+BB20+BC20-AW20+#REF!+#REF!</f>
        <v>#REF!</v>
      </c>
      <c r="AK20" s="1" t="e">
        <f>(P20+Q20)*-1*(J20+#REF!)/H20</f>
        <v>#REF!</v>
      </c>
      <c r="AL20" s="1" t="e">
        <f>AJ20*P20</f>
        <v>#REF!</v>
      </c>
      <c r="AM20" s="1">
        <f>SUM(AY20:BB20)-AW20</f>
        <v>-0.13121105537948452</v>
      </c>
      <c r="AN20" s="1" t="e">
        <f>(J20+#REF!)/H20*-1*Q20</f>
        <v>#REF!</v>
      </c>
      <c r="AO20" s="1">
        <f>AM20*P20</f>
        <v>-14.364959444679611</v>
      </c>
      <c r="AQ20" s="9">
        <f>I20</f>
        <v>1.736</v>
      </c>
      <c r="AR20" s="9">
        <v>0.243968185</v>
      </c>
      <c r="AS20" s="9">
        <v>0.24942761299999999</v>
      </c>
      <c r="AT20" s="10">
        <v>0.24635668499999999</v>
      </c>
      <c r="AU20" s="9">
        <v>0.23037490999999999</v>
      </c>
      <c r="AW20" s="10">
        <f>AQ20/H20</f>
        <v>0.8713109817305762</v>
      </c>
      <c r="AY20" s="10">
        <f>AU20</f>
        <v>0.23037490999999999</v>
      </c>
      <c r="AZ20" s="10"/>
      <c r="BA20" s="10"/>
      <c r="BB20" s="10">
        <f>K20/H20</f>
        <v>0.50972501635109169</v>
      </c>
      <c r="BC20" s="10">
        <f>J20/H20</f>
        <v>0.13121278712830139</v>
      </c>
      <c r="BE20" s="1" t="e">
        <f>#REF!-#REF!</f>
        <v>#REF!</v>
      </c>
    </row>
    <row r="21" spans="2:57" x14ac:dyDescent="0.2">
      <c r="B21" s="13" t="s">
        <v>54</v>
      </c>
      <c r="C21" s="12" t="s">
        <v>48</v>
      </c>
      <c r="D21" s="12">
        <v>0</v>
      </c>
      <c r="E21" s="12">
        <v>0</v>
      </c>
      <c r="F21" s="12"/>
      <c r="G21" s="12"/>
      <c r="H21" s="12">
        <v>1.9966999999999999</v>
      </c>
      <c r="I21" s="12">
        <v>1.74</v>
      </c>
      <c r="J21" s="12">
        <v>0.26204184786584722</v>
      </c>
      <c r="K21" s="12">
        <v>1.0179593628895609</v>
      </c>
      <c r="L21" s="12">
        <v>293026.95</v>
      </c>
      <c r="M21" s="12">
        <v>154950.42000000001</v>
      </c>
      <c r="N21" s="12">
        <v>0.48</v>
      </c>
      <c r="P21" s="15">
        <v>109.479795</v>
      </c>
      <c r="Q21" s="15">
        <v>-41.717134999999999</v>
      </c>
      <c r="R21" s="15">
        <v>170</v>
      </c>
      <c r="S21" s="15">
        <v>104.167382</v>
      </c>
      <c r="T21" s="15">
        <v>115.52638899999999</v>
      </c>
      <c r="U21" s="15">
        <v>92.044978</v>
      </c>
      <c r="V21" s="15">
        <v>30.708172999999999</v>
      </c>
      <c r="X21" s="1" t="str">
        <f>B21</f>
        <v>CA_Gasoline_Gasification_Non_CCS_Herb</v>
      </c>
      <c r="Y21" s="1" t="str">
        <f>C21</f>
        <v>Biomass_Herb</v>
      </c>
      <c r="Z21" s="11" t="e">
        <f t="shared" si="0"/>
        <v>#REF!</v>
      </c>
      <c r="AA21" s="11" t="e">
        <f t="shared" si="1"/>
        <v>#REF!</v>
      </c>
      <c r="AB21" s="5" t="e">
        <f>Z21-AA21</f>
        <v>#REF!</v>
      </c>
      <c r="AC21" s="1">
        <f>D21/H21*V21*-1</f>
        <v>0</v>
      </c>
      <c r="AD21" s="1">
        <f>E21/H21*V21</f>
        <v>0</v>
      </c>
      <c r="AE21" s="1" cm="1">
        <f t="array" ref="AE21">_xlfn.IFS(C21="Biomass_Corn", 1/H21*R21, C21="Biomass_Agri", 1/H21*U21, C21="Biomass_Wood", 1/H21*T21, C21="Biomass_Herb", 1/H21*S21)</f>
        <v>52.169771122351882</v>
      </c>
      <c r="AF21" s="1" t="e">
        <f>#REF!/H21*#REF!</f>
        <v>#REF!</v>
      </c>
      <c r="AG21" s="1">
        <f>L21/H21/(0.9*8760)</f>
        <v>18.614360955851129</v>
      </c>
      <c r="AH21" s="1">
        <f>M21/H21/(0.9*8760)</f>
        <v>9.8431323403554991</v>
      </c>
      <c r="AI21" s="1">
        <f>N21/H21</f>
        <v>0.24039665447989184</v>
      </c>
      <c r="AJ21" s="1" t="e">
        <f>AY21+BB21+BC21-AW21+#REF!+#REF!</f>
        <v>#REF!</v>
      </c>
      <c r="AK21" s="1" t="e">
        <f>(P21+Q21)*-1*(J21+#REF!)/H21</f>
        <v>#REF!</v>
      </c>
      <c r="AL21" s="1" t="e">
        <f>AJ21*P21</f>
        <v>#REF!</v>
      </c>
      <c r="AM21" s="1">
        <f>SUM(AY21:BB21)-AW21</f>
        <v>-0.13124207658308173</v>
      </c>
      <c r="AN21" s="1" t="e">
        <f>(J21+#REF!)/H21*-1*Q21</f>
        <v>#REF!</v>
      </c>
      <c r="AO21" s="1">
        <f>AM21*P21</f>
        <v>-14.368355639690089</v>
      </c>
      <c r="AQ21" s="9">
        <f>I21</f>
        <v>1.74</v>
      </c>
      <c r="AR21" s="9">
        <v>0.243968185</v>
      </c>
      <c r="AS21" s="9">
        <v>0.24942761299999999</v>
      </c>
      <c r="AT21" s="10">
        <v>0.24635668499999999</v>
      </c>
      <c r="AU21" s="9">
        <v>0.23037490999999999</v>
      </c>
      <c r="AW21" s="10">
        <f>AQ21/H21</f>
        <v>0.87143787248960791</v>
      </c>
      <c r="AY21" s="10">
        <f>AU21</f>
        <v>0.23037490999999999</v>
      </c>
      <c r="AZ21" s="10"/>
      <c r="BA21" s="10"/>
      <c r="BB21" s="10">
        <f>K21/H21</f>
        <v>0.50982088590652619</v>
      </c>
      <c r="BC21" s="10">
        <f>J21/H21</f>
        <v>0.13123746575141346</v>
      </c>
      <c r="BE21" s="1" t="e">
        <f>#REF!-#REF!</f>
        <v>#REF!</v>
      </c>
    </row>
    <row r="22" spans="2:57" x14ac:dyDescent="0.2">
      <c r="B22" s="13" t="s">
        <v>54</v>
      </c>
      <c r="C22" s="12" t="s">
        <v>48</v>
      </c>
      <c r="D22" s="12">
        <v>0</v>
      </c>
      <c r="E22" s="12">
        <v>0</v>
      </c>
      <c r="F22" s="12"/>
      <c r="G22" s="12"/>
      <c r="H22" s="12">
        <v>1.9815</v>
      </c>
      <c r="I22" s="12">
        <v>1.7170000000000001</v>
      </c>
      <c r="J22" s="12">
        <v>0.2580521500958789</v>
      </c>
      <c r="K22" s="12">
        <v>1.0024605017988011</v>
      </c>
      <c r="L22" s="12">
        <v>293026.95</v>
      </c>
      <c r="M22" s="12">
        <v>154950.42000000001</v>
      </c>
      <c r="N22" s="12">
        <v>0.48</v>
      </c>
      <c r="P22" s="15">
        <v>109.479795</v>
      </c>
      <c r="Q22" s="15">
        <v>-47.70091</v>
      </c>
      <c r="R22" s="15">
        <v>170</v>
      </c>
      <c r="S22" s="15">
        <v>99.632842999999994</v>
      </c>
      <c r="T22" s="15">
        <v>113.227017</v>
      </c>
      <c r="U22" s="15">
        <v>88.855315000000004</v>
      </c>
      <c r="V22" s="15">
        <v>38.218446</v>
      </c>
      <c r="X22" s="1" t="str">
        <f>B22</f>
        <v>CA_Gasoline_Gasification_Non_CCS_Herb</v>
      </c>
      <c r="Y22" s="1" t="str">
        <f>C22</f>
        <v>Biomass_Herb</v>
      </c>
      <c r="Z22" s="11" t="e">
        <f t="shared" si="0"/>
        <v>#REF!</v>
      </c>
      <c r="AA22" s="11" t="e">
        <f t="shared" si="1"/>
        <v>#REF!</v>
      </c>
      <c r="AB22" s="5" t="e">
        <f>Z22-AA22</f>
        <v>#REF!</v>
      </c>
      <c r="AC22" s="1">
        <f>D22/H22*V22*-1</f>
        <v>0</v>
      </c>
      <c r="AD22" s="1">
        <f>E22/H22*V22</f>
        <v>0</v>
      </c>
      <c r="AE22" s="1" cm="1">
        <f t="array" ref="AE22">_xlfn.IFS(C22="Biomass_Corn", 1/H22*R22, C22="Biomass_Agri", 1/H22*U22, C22="Biomass_Wood", 1/H22*T22, C22="Biomass_Herb", 1/H22*S22)</f>
        <v>50.281525611910162</v>
      </c>
      <c r="AF22" s="1" t="e">
        <f>#REF!/H22*#REF!</f>
        <v>#REF!</v>
      </c>
      <c r="AG22" s="1">
        <f>L22/H22/(0.9*8760)</f>
        <v>18.757150906155914</v>
      </c>
      <c r="AH22" s="1">
        <f>M22/H22/(0.9*8760)</f>
        <v>9.9186385788482578</v>
      </c>
      <c r="AI22" s="1">
        <f>N22/H22</f>
        <v>0.24224072672218017</v>
      </c>
      <c r="AJ22" s="1" t="e">
        <f>AY22+BB22+BC22-AW22+#REF!+#REF!</f>
        <v>#REF!</v>
      </c>
      <c r="AK22" s="1" t="e">
        <f>(P22+Q22)*-1*(J22+#REF!)/H22</f>
        <v>#REF!</v>
      </c>
      <c r="AL22" s="1" t="e">
        <f>AJ22*P22</f>
        <v>#REF!</v>
      </c>
      <c r="AM22" s="1">
        <f>SUM(AY22:BB22)-AW22</f>
        <v>-0.13023043857491745</v>
      </c>
      <c r="AN22" s="1" t="e">
        <f>(J22+#REF!)/H22*-1*Q22</f>
        <v>#REF!</v>
      </c>
      <c r="AO22" s="1">
        <f>AM22*P22</f>
        <v>-14.257601717942054</v>
      </c>
      <c r="AQ22" s="9">
        <f>I22</f>
        <v>1.7170000000000001</v>
      </c>
      <c r="AR22" s="9">
        <v>0.243968185</v>
      </c>
      <c r="AS22" s="9">
        <v>0.24942761299999999</v>
      </c>
      <c r="AT22" s="10">
        <v>0.24635668499999999</v>
      </c>
      <c r="AU22" s="9">
        <v>0.23037490999999999</v>
      </c>
      <c r="AW22" s="10">
        <f>AQ22/H22</f>
        <v>0.86651526621246533</v>
      </c>
      <c r="AY22" s="10">
        <f>AU22</f>
        <v>0.23037490999999999</v>
      </c>
      <c r="AZ22" s="10"/>
      <c r="BA22" s="10"/>
      <c r="BB22" s="10">
        <f>K22/H22</f>
        <v>0.50590991763754789</v>
      </c>
      <c r="BC22" s="10">
        <f>J22/H22</f>
        <v>0.13023070910718088</v>
      </c>
      <c r="BE22" s="1" t="e">
        <f>#REF!-#REF!</f>
        <v>#REF!</v>
      </c>
    </row>
    <row r="23" spans="2:57" x14ac:dyDescent="0.2">
      <c r="B23" s="13" t="s">
        <v>54</v>
      </c>
      <c r="C23" s="12" t="s">
        <v>48</v>
      </c>
      <c r="D23" s="12">
        <v>0</v>
      </c>
      <c r="E23" s="12">
        <v>0</v>
      </c>
      <c r="F23" s="12"/>
      <c r="G23" s="12"/>
      <c r="H23" s="12">
        <v>1.9761</v>
      </c>
      <c r="I23" s="12">
        <v>1.714</v>
      </c>
      <c r="J23" s="12">
        <v>0.25769472660660447</v>
      </c>
      <c r="K23" s="12">
        <v>1.001072011409244</v>
      </c>
      <c r="L23" s="12">
        <v>293026.95</v>
      </c>
      <c r="M23" s="12">
        <v>154950.42000000001</v>
      </c>
      <c r="N23" s="12">
        <v>0.48</v>
      </c>
      <c r="P23" s="15">
        <v>109.479795</v>
      </c>
      <c r="Q23" s="15">
        <v>-21.506692000000001</v>
      </c>
      <c r="R23" s="15">
        <v>170</v>
      </c>
      <c r="S23" s="15">
        <v>137.93464800000001</v>
      </c>
      <c r="T23" s="15">
        <v>157.881351</v>
      </c>
      <c r="U23" s="15">
        <v>111.364845</v>
      </c>
      <c r="V23" s="15">
        <v>20.230252</v>
      </c>
      <c r="X23" s="1" t="str">
        <f>B23</f>
        <v>CA_Gasoline_Gasification_Non_CCS_Herb</v>
      </c>
      <c r="Y23" s="1" t="str">
        <f>C23</f>
        <v>Biomass_Herb</v>
      </c>
      <c r="Z23" s="11" t="e">
        <f t="shared" si="0"/>
        <v>#REF!</v>
      </c>
      <c r="AA23" s="11" t="e">
        <f t="shared" si="1"/>
        <v>#REF!</v>
      </c>
      <c r="AB23" s="5" t="e">
        <f>Z23-AA23</f>
        <v>#REF!</v>
      </c>
      <c r="AC23" s="1">
        <f>D23/H23*V23*-1</f>
        <v>0</v>
      </c>
      <c r="AD23" s="1">
        <f>E23/H23*V23</f>
        <v>0</v>
      </c>
      <c r="AE23" s="1" cm="1">
        <f t="array" ref="AE23">_xlfn.IFS(C23="Biomass_Corn", 1/H23*R23, C23="Biomass_Agri", 1/H23*U23, C23="Biomass_Wood", 1/H23*T23, C23="Biomass_Herb", 1/H23*S23)</f>
        <v>69.801451343555485</v>
      </c>
      <c r="AF23" s="1" t="e">
        <f>#REF!/H23*#REF!</f>
        <v>#REF!</v>
      </c>
      <c r="AG23" s="1">
        <f>L23/H23/(0.9*8760)</f>
        <v>18.808407732679495</v>
      </c>
      <c r="AH23" s="1">
        <f>M23/H23/(0.9*8760)</f>
        <v>9.945742798435214</v>
      </c>
      <c r="AI23" s="1">
        <f>N23/H23</f>
        <v>0.24290268711097615</v>
      </c>
      <c r="AJ23" s="1" t="e">
        <f>AY23+BB23+BC23-AW23+#REF!+#REF!</f>
        <v>#REF!</v>
      </c>
      <c r="AK23" s="1" t="e">
        <f>(P23+Q23)*-1*(J23+#REF!)/H23</f>
        <v>#REF!</v>
      </c>
      <c r="AL23" s="1" t="e">
        <f>AJ23*P23</f>
        <v>#REF!</v>
      </c>
      <c r="AM23" s="1">
        <f>SUM(AY23:BB23)-AW23</f>
        <v>-0.13040034863607908</v>
      </c>
      <c r="AN23" s="1" t="e">
        <f>(J23+#REF!)/H23*-1*Q23</f>
        <v>#REF!</v>
      </c>
      <c r="AO23" s="1">
        <f>AM23*P23</f>
        <v>-14.276203436606467</v>
      </c>
      <c r="AQ23" s="9">
        <f>I23</f>
        <v>1.714</v>
      </c>
      <c r="AR23" s="9">
        <v>0.243968185</v>
      </c>
      <c r="AS23" s="9">
        <v>0.24942761299999999</v>
      </c>
      <c r="AT23" s="10">
        <v>0.24635668499999999</v>
      </c>
      <c r="AU23" s="9">
        <v>0.23037490999999999</v>
      </c>
      <c r="AW23" s="10">
        <f>AQ23/H23</f>
        <v>0.86736501189211068</v>
      </c>
      <c r="AY23" s="10">
        <f>AU23</f>
        <v>0.23037490999999999</v>
      </c>
      <c r="AZ23" s="10"/>
      <c r="BA23" s="10"/>
      <c r="BB23" s="10">
        <f>K23/H23</f>
        <v>0.50658975325603162</v>
      </c>
      <c r="BC23" s="10">
        <f>J23/H23</f>
        <v>0.13040571155640124</v>
      </c>
      <c r="BE23" s="1" t="e">
        <f>#REF!-#REF!</f>
        <v>#REF!</v>
      </c>
    </row>
    <row r="24" spans="2:57" x14ac:dyDescent="0.2">
      <c r="B24" s="13" t="s">
        <v>54</v>
      </c>
      <c r="C24" s="12" t="s">
        <v>49</v>
      </c>
      <c r="D24" s="12">
        <v>0</v>
      </c>
      <c r="E24" s="12">
        <v>0</v>
      </c>
      <c r="F24" s="12"/>
      <c r="G24" s="12"/>
      <c r="H24" s="12">
        <v>2.0762</v>
      </c>
      <c r="I24" s="12">
        <v>1.802</v>
      </c>
      <c r="J24" s="12">
        <v>0.27098613480925338</v>
      </c>
      <c r="K24" s="12">
        <v>1.0527054185770961</v>
      </c>
      <c r="L24" s="12">
        <v>293026.95</v>
      </c>
      <c r="M24" s="12">
        <v>154950.42000000001</v>
      </c>
      <c r="N24" s="12">
        <v>0.48</v>
      </c>
      <c r="P24" s="15">
        <v>109.479795</v>
      </c>
      <c r="Q24" s="15">
        <v>-31.70346</v>
      </c>
      <c r="R24" s="15">
        <v>170</v>
      </c>
      <c r="S24" s="15">
        <v>110.461518</v>
      </c>
      <c r="T24" s="15">
        <v>127.408748</v>
      </c>
      <c r="U24" s="15">
        <v>98.832477999999995</v>
      </c>
      <c r="V24" s="15">
        <v>25.324636999999999</v>
      </c>
      <c r="X24" s="1" t="str">
        <f>B24</f>
        <v>CA_Gasoline_Gasification_Non_CCS_Herb</v>
      </c>
      <c r="Y24" s="1" t="str">
        <f>C24</f>
        <v>Biomass_Wood</v>
      </c>
      <c r="Z24" s="11" t="e">
        <f t="shared" si="0"/>
        <v>#REF!</v>
      </c>
      <c r="AA24" s="11" t="e">
        <f t="shared" si="1"/>
        <v>#REF!</v>
      </c>
      <c r="AB24" s="5" t="e">
        <f>Z24-AA24</f>
        <v>#REF!</v>
      </c>
      <c r="AC24" s="1">
        <f>D24/H24*V24*-1</f>
        <v>0</v>
      </c>
      <c r="AD24" s="1">
        <f>E24/H24*V24</f>
        <v>0</v>
      </c>
      <c r="AE24" s="1" cm="1">
        <f t="array" ref="AE24">_xlfn.IFS(C24="Biomass_Corn", 1/H24*R24, C24="Biomass_Agri", 1/H24*U24, C24="Biomass_Wood", 1/H24*T24, C24="Biomass_Herb", 1/H24*S24)</f>
        <v>61.366317310471054</v>
      </c>
      <c r="AF24" s="1" t="e">
        <f>#REF!/H24*#REF!</f>
        <v>#REF!</v>
      </c>
      <c r="AG24" s="1">
        <f>L24/H24/(0.9*8760)</f>
        <v>17.901596436060082</v>
      </c>
      <c r="AH24" s="1">
        <f>M24/H24/(0.9*8760)</f>
        <v>9.4662278894074863</v>
      </c>
      <c r="AI24" s="1">
        <f>N24/H24</f>
        <v>0.23119160003853192</v>
      </c>
      <c r="AJ24" s="1" t="e">
        <f>AY24+BB24+BC24-AW24+#REF!+#REF!</f>
        <v>#REF!</v>
      </c>
      <c r="AK24" s="1" t="e">
        <f>(P24+Q24)*-1*(J24+#REF!)/H24</f>
        <v>#REF!</v>
      </c>
      <c r="AL24" s="1" t="e">
        <f>AJ24*P24</f>
        <v>#REF!</v>
      </c>
      <c r="AM24" s="1">
        <f>SUM(AY24:BB24)-AW24</f>
        <v>-0.13052220079034005</v>
      </c>
      <c r="AN24" s="1" t="e">
        <f>(J24+#REF!)/H24*-1*Q24</f>
        <v>#REF!</v>
      </c>
      <c r="AO24" s="1">
        <f>AM24*P24</f>
        <v>-14.289543785475265</v>
      </c>
      <c r="AQ24" s="9">
        <f>I24</f>
        <v>1.802</v>
      </c>
      <c r="AR24" s="9">
        <v>0.243968185</v>
      </c>
      <c r="AS24" s="9">
        <v>0.24942761299999999</v>
      </c>
      <c r="AT24" s="10">
        <v>0.24635668499999999</v>
      </c>
      <c r="AU24" s="9">
        <v>0.23037490999999999</v>
      </c>
      <c r="AW24" s="10">
        <f>AQ24/H24</f>
        <v>0.86793179847798863</v>
      </c>
      <c r="AY24" s="10">
        <f>AU24</f>
        <v>0.23037490999999999</v>
      </c>
      <c r="AZ24" s="10"/>
      <c r="BA24" s="10"/>
      <c r="BB24" s="10">
        <f>K24/H24</f>
        <v>0.50703468768764859</v>
      </c>
      <c r="BC24" s="10">
        <f>J24/H24</f>
        <v>0.13052024603085124</v>
      </c>
      <c r="BE24" s="1" t="e">
        <f>#REF!-#REF!</f>
        <v>#REF!</v>
      </c>
    </row>
    <row r="25" spans="2:57" x14ac:dyDescent="0.2">
      <c r="B25" s="13" t="s">
        <v>54</v>
      </c>
      <c r="C25" s="12" t="s">
        <v>49</v>
      </c>
      <c r="D25" s="12">
        <v>0</v>
      </c>
      <c r="E25" s="12">
        <v>0</v>
      </c>
      <c r="F25" s="12"/>
      <c r="G25" s="12"/>
      <c r="H25" s="12">
        <v>2.0697000000000001</v>
      </c>
      <c r="I25" s="12">
        <v>1.806</v>
      </c>
      <c r="J25" s="12">
        <v>0.27211309862212413</v>
      </c>
      <c r="K25" s="12">
        <v>1.0570833581096271</v>
      </c>
      <c r="L25" s="12">
        <v>293026.95</v>
      </c>
      <c r="M25" s="12">
        <v>154950.42000000001</v>
      </c>
      <c r="N25" s="12">
        <v>0.48</v>
      </c>
      <c r="P25" s="15">
        <v>109.479795</v>
      </c>
      <c r="Q25" s="15">
        <v>-54.115442999999999</v>
      </c>
      <c r="R25" s="15">
        <v>170</v>
      </c>
      <c r="S25" s="15">
        <v>100.77374399999999</v>
      </c>
      <c r="T25" s="15">
        <v>108.668072</v>
      </c>
      <c r="U25" s="15">
        <v>89.424565000000001</v>
      </c>
      <c r="V25" s="15">
        <v>39.359471999999997</v>
      </c>
      <c r="X25" s="1" t="str">
        <f>B25</f>
        <v>CA_Gasoline_Gasification_Non_CCS_Herb</v>
      </c>
      <c r="Y25" s="1" t="str">
        <f>C25</f>
        <v>Biomass_Wood</v>
      </c>
      <c r="Z25" s="11" t="e">
        <f t="shared" si="0"/>
        <v>#REF!</v>
      </c>
      <c r="AA25" s="11" t="e">
        <f t="shared" si="1"/>
        <v>#REF!</v>
      </c>
      <c r="AB25" s="5" t="e">
        <f>Z25-AA25</f>
        <v>#REF!</v>
      </c>
      <c r="AC25" s="1">
        <f>D25/H25*V25*-1</f>
        <v>0</v>
      </c>
      <c r="AD25" s="1">
        <f>E25/H25*V25</f>
        <v>0</v>
      </c>
      <c r="AE25" s="1" cm="1">
        <f t="array" ref="AE25">_xlfn.IFS(C25="Biomass_Corn", 1/H25*R25, C25="Biomass_Agri", 1/H25*U25, C25="Biomass_Wood", 1/H25*T25, C25="Biomass_Herb", 1/H25*S25)</f>
        <v>52.50426245349567</v>
      </c>
      <c r="AF25" s="1" t="e">
        <f>#REF!/H25*#REF!</f>
        <v>#REF!</v>
      </c>
      <c r="AG25" s="1">
        <f>L25/H25/(0.9*8760)</f>
        <v>17.957817326447284</v>
      </c>
      <c r="AH25" s="1">
        <f>M25/H25/(0.9*8760)</f>
        <v>9.4959570681682486</v>
      </c>
      <c r="AI25" s="1">
        <f>N25/H25</f>
        <v>0.23191766922742424</v>
      </c>
      <c r="AJ25" s="1" t="e">
        <f>AY25+BB25+BC25-AW25+#REF!+#REF!</f>
        <v>#REF!</v>
      </c>
      <c r="AK25" s="1" t="e">
        <f>(P25+Q25)*-1*(J25+#REF!)/H25</f>
        <v>#REF!</v>
      </c>
      <c r="AL25" s="1" t="e">
        <f>AJ25*P25</f>
        <v>#REF!</v>
      </c>
      <c r="AM25" s="1">
        <f>SUM(AY25:BB25)-AW25</f>
        <v>-0.13147301090176011</v>
      </c>
      <c r="AN25" s="1" t="e">
        <f>(J25+#REF!)/H25*-1*Q25</f>
        <v>#REF!</v>
      </c>
      <c r="AO25" s="1">
        <f>AM25*P25</f>
        <v>-14.393638281557461</v>
      </c>
      <c r="AQ25" s="9">
        <f>I25</f>
        <v>1.806</v>
      </c>
      <c r="AR25" s="9">
        <v>0.243968185</v>
      </c>
      <c r="AS25" s="9">
        <v>0.24942761299999999</v>
      </c>
      <c r="AT25" s="10">
        <v>0.24635668499999999</v>
      </c>
      <c r="AU25" s="9">
        <v>0.23037490999999999</v>
      </c>
      <c r="AW25" s="10">
        <f>AQ25/H25</f>
        <v>0.87259023046818374</v>
      </c>
      <c r="AY25" s="10">
        <f>AU25</f>
        <v>0.23037490999999999</v>
      </c>
      <c r="AZ25" s="10"/>
      <c r="BA25" s="10"/>
      <c r="BB25" s="10">
        <f>K25/H25</f>
        <v>0.51074230956642364</v>
      </c>
      <c r="BC25" s="10">
        <f>J25/H25</f>
        <v>0.13147465749728179</v>
      </c>
      <c r="BE25" s="1" t="e">
        <f>#REF!-#REF!</f>
        <v>#REF!</v>
      </c>
    </row>
    <row r="26" spans="2:57" x14ac:dyDescent="0.2">
      <c r="B26" s="13" t="s">
        <v>54</v>
      </c>
      <c r="C26" s="12" t="s">
        <v>49</v>
      </c>
      <c r="D26" s="12">
        <v>0</v>
      </c>
      <c r="E26" s="12">
        <v>0</v>
      </c>
      <c r="F26" s="12"/>
      <c r="G26" s="12"/>
      <c r="H26" s="12">
        <v>2.0750999999999999</v>
      </c>
      <c r="I26" s="12">
        <v>1.802</v>
      </c>
      <c r="J26" s="12">
        <v>0.2710374821113985</v>
      </c>
      <c r="K26" s="12">
        <v>1.0529048884991841</v>
      </c>
      <c r="L26" s="12">
        <v>293026.95</v>
      </c>
      <c r="M26" s="12">
        <v>154950.42000000001</v>
      </c>
      <c r="N26" s="12">
        <v>0.48</v>
      </c>
      <c r="P26" s="15">
        <v>109.479795</v>
      </c>
      <c r="Q26" s="15">
        <v>-41.717134999999999</v>
      </c>
      <c r="R26" s="15">
        <v>170</v>
      </c>
      <c r="S26" s="15">
        <v>104.167382</v>
      </c>
      <c r="T26" s="15">
        <v>115.52638899999999</v>
      </c>
      <c r="U26" s="15">
        <v>92.044978</v>
      </c>
      <c r="V26" s="15">
        <v>30.708172999999999</v>
      </c>
      <c r="X26" s="1" t="str">
        <f>B26</f>
        <v>CA_Gasoline_Gasification_Non_CCS_Herb</v>
      </c>
      <c r="Y26" s="1" t="str">
        <f>C26</f>
        <v>Biomass_Wood</v>
      </c>
      <c r="Z26" s="11" t="e">
        <f t="shared" si="0"/>
        <v>#REF!</v>
      </c>
      <c r="AA26" s="11" t="e">
        <f t="shared" si="1"/>
        <v>#REF!</v>
      </c>
      <c r="AB26" s="5" t="e">
        <f>Z26-AA26</f>
        <v>#REF!</v>
      </c>
      <c r="AC26" s="1">
        <f>D26/H26*V26*-1</f>
        <v>0</v>
      </c>
      <c r="AD26" s="1">
        <f>E26/H26*V26</f>
        <v>0</v>
      </c>
      <c r="AE26" s="1" cm="1">
        <f t="array" ref="AE26">_xlfn.IFS(C26="Biomass_Corn", 1/H26*R26, C26="Biomass_Agri", 1/H26*U26, C26="Biomass_Wood", 1/H26*T26, C26="Biomass_Herb", 1/H26*S26)</f>
        <v>55.672685171798946</v>
      </c>
      <c r="AF26" s="1" t="e">
        <f>#REF!/H26*#REF!</f>
        <v>#REF!</v>
      </c>
      <c r="AG26" s="1">
        <f>L26/H26/(0.9*8760)</f>
        <v>17.911085981662545</v>
      </c>
      <c r="AH26" s="1">
        <f>M26/H26/(0.9*8760)</f>
        <v>9.4712458888669584</v>
      </c>
      <c r="AI26" s="1">
        <f>N26/H26</f>
        <v>0.23131415353476942</v>
      </c>
      <c r="AJ26" s="1" t="e">
        <f>AY26+BB26+BC26-AW26+#REF!+#REF!</f>
        <v>#REF!</v>
      </c>
      <c r="AK26" s="1" t="e">
        <f>(P26+Q26)*-1*(J26+#REF!)/H26</f>
        <v>#REF!</v>
      </c>
      <c r="AL26" s="1" t="e">
        <f>AJ26*P26</f>
        <v>#REF!</v>
      </c>
      <c r="AM26" s="1">
        <f>SUM(AY26:BB26)-AW26</f>
        <v>-0.13061738507051035</v>
      </c>
      <c r="AN26" s="1" t="e">
        <f>(J26+#REF!)/H26*-1*Q26</f>
        <v>#REF!</v>
      </c>
      <c r="AO26" s="1">
        <f>AM26*P26</f>
        <v>-14.299964540955534</v>
      </c>
      <c r="AQ26" s="9">
        <f>I26</f>
        <v>1.802</v>
      </c>
      <c r="AR26" s="9">
        <v>0.243968185</v>
      </c>
      <c r="AS26" s="9">
        <v>0.24942761299999999</v>
      </c>
      <c r="AT26" s="10">
        <v>0.24635668499999999</v>
      </c>
      <c r="AU26" s="9">
        <v>0.23037490999999999</v>
      </c>
      <c r="AW26" s="10">
        <f>AQ26/H26</f>
        <v>0.86839188472844686</v>
      </c>
      <c r="AY26" s="10">
        <f>AU26</f>
        <v>0.23037490999999999</v>
      </c>
      <c r="AZ26" s="10"/>
      <c r="BA26" s="10"/>
      <c r="BB26" s="10">
        <f>K26/H26</f>
        <v>0.50739958965793652</v>
      </c>
      <c r="BC26" s="10">
        <f>J26/H26</f>
        <v>0.13061417864748615</v>
      </c>
      <c r="BE26" s="1" t="e">
        <f>#REF!-#REF!</f>
        <v>#REF!</v>
      </c>
    </row>
    <row r="27" spans="2:57" x14ac:dyDescent="0.2">
      <c r="B27" s="13" t="s">
        <v>54</v>
      </c>
      <c r="C27" s="12" t="s">
        <v>49</v>
      </c>
      <c r="D27" s="12">
        <v>0</v>
      </c>
      <c r="E27" s="12">
        <v>0</v>
      </c>
      <c r="F27" s="12"/>
      <c r="G27" s="12"/>
      <c r="H27" s="12">
        <v>2.0838000000000001</v>
      </c>
      <c r="I27" s="12">
        <v>1.821</v>
      </c>
      <c r="J27" s="12">
        <v>0.27451638369423748</v>
      </c>
      <c r="K27" s="12">
        <v>1.066419449122475</v>
      </c>
      <c r="L27" s="12">
        <v>293026.95</v>
      </c>
      <c r="M27" s="12">
        <v>154950.42000000001</v>
      </c>
      <c r="N27" s="12">
        <v>0.48</v>
      </c>
      <c r="P27" s="15">
        <v>109.479795</v>
      </c>
      <c r="Q27" s="15">
        <v>-47.70091</v>
      </c>
      <c r="R27" s="15">
        <v>170</v>
      </c>
      <c r="S27" s="15">
        <v>99.632842999999994</v>
      </c>
      <c r="T27" s="15">
        <v>113.227017</v>
      </c>
      <c r="U27" s="15">
        <v>88.855315000000004</v>
      </c>
      <c r="V27" s="15">
        <v>38.218446</v>
      </c>
      <c r="X27" s="1" t="str">
        <f>B27</f>
        <v>CA_Gasoline_Gasification_Non_CCS_Herb</v>
      </c>
      <c r="Y27" s="1" t="str">
        <f>C27</f>
        <v>Biomass_Wood</v>
      </c>
      <c r="Z27" s="11" t="e">
        <f t="shared" si="0"/>
        <v>#REF!</v>
      </c>
      <c r="AA27" s="11" t="e">
        <f t="shared" si="1"/>
        <v>#REF!</v>
      </c>
      <c r="AB27" s="5" t="e">
        <f>Z27-AA27</f>
        <v>#REF!</v>
      </c>
      <c r="AC27" s="1">
        <f>D27/H27*V27*-1</f>
        <v>0</v>
      </c>
      <c r="AD27" s="1">
        <f>E27/H27*V27</f>
        <v>0</v>
      </c>
      <c r="AE27" s="1" cm="1">
        <f t="array" ref="AE27">_xlfn.IFS(C27="Biomass_Corn", 1/H27*R27, C27="Biomass_Agri", 1/H27*U27, C27="Biomass_Wood", 1/H27*T27, C27="Biomass_Herb", 1/H27*S27)</f>
        <v>54.336796717535272</v>
      </c>
      <c r="AF27" s="1" t="e">
        <f>#REF!/H27*#REF!</f>
        <v>#REF!</v>
      </c>
      <c r="AG27" s="1">
        <f>L27/H27/(0.9*8760)</f>
        <v>17.836306037310653</v>
      </c>
      <c r="AH27" s="1">
        <f>M27/H27/(0.9*8760)</f>
        <v>9.4317028236816505</v>
      </c>
      <c r="AI27" s="1">
        <f>N27/H27</f>
        <v>0.23034840195796139</v>
      </c>
      <c r="AJ27" s="1" t="e">
        <f>AY27+BB27+BC27-AW27+#REF!+#REF!</f>
        <v>#REF!</v>
      </c>
      <c r="AK27" s="1" t="e">
        <f>(P27+Q27)*-1*(J27+#REF!)/H27</f>
        <v>#REF!</v>
      </c>
      <c r="AL27" s="1" t="e">
        <f>AJ27*P27</f>
        <v>#REF!</v>
      </c>
      <c r="AM27" s="1">
        <f>SUM(AY27:BB27)-AW27</f>
        <v>-0.13174264008999181</v>
      </c>
      <c r="AN27" s="1" t="e">
        <f>(J27+#REF!)/H27*-1*Q27</f>
        <v>#REF!</v>
      </c>
      <c r="AO27" s="1">
        <f>AM27*P27</f>
        <v>-14.423157229811086</v>
      </c>
      <c r="AQ27" s="9">
        <f>I27</f>
        <v>1.821</v>
      </c>
      <c r="AR27" s="9">
        <v>0.243968185</v>
      </c>
      <c r="AS27" s="9">
        <v>0.24942761299999999</v>
      </c>
      <c r="AT27" s="10">
        <v>0.24635668499999999</v>
      </c>
      <c r="AU27" s="9">
        <v>0.23037490999999999</v>
      </c>
      <c r="AW27" s="10">
        <f>AQ27/H27</f>
        <v>0.87388424992801605</v>
      </c>
      <c r="AY27" s="10">
        <f>AU27</f>
        <v>0.23037490999999999</v>
      </c>
      <c r="AZ27" s="10"/>
      <c r="BA27" s="10"/>
      <c r="BB27" s="10">
        <f>K27/H27</f>
        <v>0.51176669983802425</v>
      </c>
      <c r="BC27" s="10">
        <f>J27/H27</f>
        <v>0.13173835478176288</v>
      </c>
      <c r="BE27" s="1" t="e">
        <f>#REF!-#REF!</f>
        <v>#REF!</v>
      </c>
    </row>
    <row r="28" spans="2:57" x14ac:dyDescent="0.2">
      <c r="B28" s="13" t="s">
        <v>54</v>
      </c>
      <c r="C28" s="12" t="s">
        <v>49</v>
      </c>
      <c r="D28" s="12">
        <v>0</v>
      </c>
      <c r="E28" s="12">
        <v>0</v>
      </c>
      <c r="F28" s="12"/>
      <c r="G28" s="12"/>
      <c r="H28" s="12">
        <v>2.0577000000000001</v>
      </c>
      <c r="I28" s="12">
        <v>1.821</v>
      </c>
      <c r="J28" s="12">
        <v>0.27574871894572039</v>
      </c>
      <c r="K28" s="12">
        <v>1.0712067272526009</v>
      </c>
      <c r="L28" s="12">
        <v>293026.95</v>
      </c>
      <c r="M28" s="12">
        <v>154950.42000000001</v>
      </c>
      <c r="N28" s="12">
        <v>0.48</v>
      </c>
      <c r="P28" s="15">
        <v>109.479795</v>
      </c>
      <c r="Q28" s="15">
        <v>-21.506692000000001</v>
      </c>
      <c r="R28" s="15">
        <v>170</v>
      </c>
      <c r="S28" s="15">
        <v>137.93464800000001</v>
      </c>
      <c r="T28" s="15">
        <v>157.881351</v>
      </c>
      <c r="U28" s="15">
        <v>111.364845</v>
      </c>
      <c r="V28" s="15">
        <v>20.230252</v>
      </c>
      <c r="X28" t="str">
        <f>B28</f>
        <v>CA_Gasoline_Gasification_Non_CCS_Herb</v>
      </c>
      <c r="Y28" t="str">
        <f>C28</f>
        <v>Biomass_Wood</v>
      </c>
      <c r="Z28" s="11" t="e">
        <f t="shared" si="0"/>
        <v>#REF!</v>
      </c>
      <c r="AA28" s="11" t="e">
        <f t="shared" si="1"/>
        <v>#REF!</v>
      </c>
      <c r="AB28" s="5" t="e">
        <f>Z28-AA28</f>
        <v>#REF!</v>
      </c>
      <c r="AC28">
        <f>D28/H28*V28*-1</f>
        <v>0</v>
      </c>
      <c r="AD28">
        <f>E28/H28*V28</f>
        <v>0</v>
      </c>
      <c r="AE28" s="1" cm="1">
        <f t="array" ref="AE28">_xlfn.IFS(C28="Biomass_Corn", 1/H28*R28, C28="Biomass_Agri", 1/H28*U28, C28="Biomass_Wood", 1/H28*T28, C28="Biomass_Herb", 1/H28*S28)</f>
        <v>76.727098702434745</v>
      </c>
      <c r="AF28" t="e">
        <f>#REF!/H28*#REF!</f>
        <v>#REF!</v>
      </c>
      <c r="AG28">
        <f>L28/H28/(0.9*8760)</f>
        <v>18.062542897676021</v>
      </c>
      <c r="AH28">
        <f>M28/H28/(0.9*8760)</f>
        <v>9.551335152834632</v>
      </c>
      <c r="AI28">
        <f>N28/H28</f>
        <v>0.23327015599941681</v>
      </c>
      <c r="AJ28" s="1" t="e">
        <f>AY28+BB28+BC28-AW28+#REF!+#REF!</f>
        <v>#REF!</v>
      </c>
      <c r="AK28" s="1" t="e">
        <f>(P28+Q28)*-1*(J28+#REF!)/H28</f>
        <v>#REF!</v>
      </c>
      <c r="AL28" t="e">
        <f>AJ28*P28</f>
        <v>#REF!</v>
      </c>
      <c r="AM28">
        <f>SUM(AY28:BB28)-AW28</f>
        <v>-0.13400924354395638</v>
      </c>
      <c r="AN28" s="1" t="e">
        <f>(J28+#REF!)/H28*-1*Q28</f>
        <v>#REF!</v>
      </c>
      <c r="AO28">
        <f>AM28*P28</f>
        <v>-14.671304511297418</v>
      </c>
      <c r="AQ28" s="9">
        <f>I28</f>
        <v>1.821</v>
      </c>
      <c r="AR28" s="9">
        <v>0.243968185</v>
      </c>
      <c r="AS28" s="9">
        <v>0.24942761299999999</v>
      </c>
      <c r="AT28" s="10">
        <v>0.24635668499999999</v>
      </c>
      <c r="AU28" s="9">
        <v>0.23037490999999999</v>
      </c>
      <c r="AW28" s="10">
        <f>AQ28/H28</f>
        <v>0.88496865432278748</v>
      </c>
      <c r="AY28" s="10">
        <f>AU28</f>
        <v>0.23037490999999999</v>
      </c>
      <c r="AZ28" s="10"/>
      <c r="BA28" s="10"/>
      <c r="BB28" s="10">
        <f>K28/H28</f>
        <v>0.52058450077883112</v>
      </c>
      <c r="BC28" s="10">
        <f>J28/H28</f>
        <v>0.13400822226064071</v>
      </c>
      <c r="BE28" t="e">
        <f>#REF!-#REF!</f>
        <v>#REF!</v>
      </c>
    </row>
    <row r="29" spans="2:57" x14ac:dyDescent="0.2">
      <c r="B29" s="13" t="s">
        <v>54</v>
      </c>
      <c r="C29" s="12" t="s">
        <v>50</v>
      </c>
      <c r="D29" s="12">
        <v>0</v>
      </c>
      <c r="E29" s="12">
        <v>0</v>
      </c>
      <c r="F29" s="12"/>
      <c r="G29" s="12"/>
      <c r="H29" s="12">
        <v>1.8694</v>
      </c>
      <c r="I29" s="12">
        <v>1.7</v>
      </c>
      <c r="J29" s="12">
        <v>0.2598606822168264</v>
      </c>
      <c r="K29" s="12">
        <v>1.009486143773924</v>
      </c>
      <c r="L29" s="12">
        <v>293026.95</v>
      </c>
      <c r="M29" s="12">
        <v>154950.42000000001</v>
      </c>
      <c r="N29" s="12">
        <v>0.48</v>
      </c>
      <c r="P29" s="15">
        <v>109.479795</v>
      </c>
      <c r="Q29" s="15">
        <v>-31.70346</v>
      </c>
      <c r="R29" s="15">
        <v>170</v>
      </c>
      <c r="S29" s="15">
        <v>110.461518</v>
      </c>
      <c r="T29" s="15">
        <v>127.408748</v>
      </c>
      <c r="U29" s="15">
        <v>98.832477999999995</v>
      </c>
      <c r="V29" s="15">
        <v>25.324636999999999</v>
      </c>
      <c r="X29" t="str">
        <f>B29</f>
        <v>CA_Gasoline_Gasification_Non_CCS_Herb</v>
      </c>
      <c r="Y29" t="str">
        <f>C29</f>
        <v>Biomass_Agri</v>
      </c>
      <c r="Z29" s="11" t="e">
        <f t="shared" si="0"/>
        <v>#REF!</v>
      </c>
      <c r="AA29" s="11" t="e">
        <f t="shared" si="1"/>
        <v>#REF!</v>
      </c>
      <c r="AB29" s="5" t="e">
        <f>Z29-AA29</f>
        <v>#REF!</v>
      </c>
      <c r="AC29">
        <f>D29/H29*V29*-1</f>
        <v>0</v>
      </c>
      <c r="AD29">
        <f>E29/H29*V29</f>
        <v>0</v>
      </c>
      <c r="AE29" s="1" cm="1">
        <f t="array" ref="AE29">_xlfn.IFS(C29="Biomass_Corn", 1/H29*R29, C29="Biomass_Agri", 1/H29*U29, C29="Biomass_Wood", 1/H29*T29, C29="Biomass_Herb", 1/H29*S29)</f>
        <v>52.868555686316462</v>
      </c>
      <c r="AF29" t="e">
        <f>#REF!/H29*#REF!</f>
        <v>#REF!</v>
      </c>
      <c r="AG29">
        <f>L29/H29/(0.9*8760)</f>
        <v>19.881937798517143</v>
      </c>
      <c r="AH29">
        <f>M29/H29/(0.9*8760)</f>
        <v>10.513417323198794</v>
      </c>
      <c r="AI29">
        <f>N29/H29</f>
        <v>0.25676687707285761</v>
      </c>
      <c r="AJ29" s="1" t="e">
        <f>AY29+BB29+BC29-AW29+#REF!+#REF!</f>
        <v>#REF!</v>
      </c>
      <c r="AK29" s="1" t="e">
        <f>(P29+Q29)*-1*(J29+#REF!)/H29</f>
        <v>#REF!</v>
      </c>
      <c r="AL29" t="e">
        <f>AJ29*P29</f>
        <v>#REF!</v>
      </c>
      <c r="AM29">
        <f>SUM(AY29:BB29)-AW29</f>
        <v>-0.13900235341397027</v>
      </c>
      <c r="AN29" s="1" t="e">
        <f>(J29+#REF!)/H29*-1*Q29</f>
        <v>#REF!</v>
      </c>
      <c r="AO29">
        <f>AM29*P29</f>
        <v>-15.217949156279015</v>
      </c>
      <c r="AQ29" s="9">
        <f>I29</f>
        <v>1.7</v>
      </c>
      <c r="AR29" s="9">
        <v>0.243968185</v>
      </c>
      <c r="AS29" s="9">
        <v>0.24942761299999999</v>
      </c>
      <c r="AT29" s="10">
        <v>0.24635668499999999</v>
      </c>
      <c r="AU29" s="9">
        <v>0.23037490999999999</v>
      </c>
      <c r="AW29" s="10">
        <f>AQ29/H29</f>
        <v>0.90938268963303737</v>
      </c>
      <c r="AY29" s="10">
        <f>AU29</f>
        <v>0.23037490999999999</v>
      </c>
      <c r="AZ29" s="10"/>
      <c r="BA29" s="10"/>
      <c r="BB29" s="10">
        <f>K29/H29</f>
        <v>0.54000542621906711</v>
      </c>
      <c r="BC29" s="10">
        <f>J29/H29</f>
        <v>0.13900753301424329</v>
      </c>
      <c r="BE29" t="e">
        <f>#REF!-#REF!</f>
        <v>#REF!</v>
      </c>
    </row>
    <row r="30" spans="2:57" x14ac:dyDescent="0.2">
      <c r="B30" s="13" t="s">
        <v>54</v>
      </c>
      <c r="C30" s="12" t="s">
        <v>50</v>
      </c>
      <c r="D30" s="12">
        <v>0</v>
      </c>
      <c r="E30" s="12">
        <v>0</v>
      </c>
      <c r="F30" s="12"/>
      <c r="G30" s="12"/>
      <c r="H30" s="12">
        <v>1.8813</v>
      </c>
      <c r="I30" s="12">
        <v>1.708</v>
      </c>
      <c r="J30" s="12">
        <v>0.26093362189322999</v>
      </c>
      <c r="K30" s="12">
        <v>1.01365421463095</v>
      </c>
      <c r="L30" s="12">
        <v>293026.95</v>
      </c>
      <c r="M30" s="12">
        <v>154950.42000000001</v>
      </c>
      <c r="N30" s="12">
        <v>0.48</v>
      </c>
      <c r="P30" s="15">
        <v>109.479795</v>
      </c>
      <c r="Q30" s="15">
        <v>-54.115442999999999</v>
      </c>
      <c r="R30" s="15">
        <v>170</v>
      </c>
      <c r="S30" s="15">
        <v>100.77374399999999</v>
      </c>
      <c r="T30" s="15">
        <v>108.668072</v>
      </c>
      <c r="U30" s="15">
        <v>89.424565000000001</v>
      </c>
      <c r="V30" s="15">
        <v>39.359471999999997</v>
      </c>
      <c r="X30" t="str">
        <f>B30</f>
        <v>CA_Gasoline_Gasification_Non_CCS_Herb</v>
      </c>
      <c r="Y30" t="str">
        <f>C30</f>
        <v>Biomass_Agri</v>
      </c>
      <c r="Z30" s="11" t="e">
        <f t="shared" si="0"/>
        <v>#REF!</v>
      </c>
      <c r="AA30" s="11" t="e">
        <f t="shared" si="1"/>
        <v>#REF!</v>
      </c>
      <c r="AB30" s="5" t="e">
        <f>Z30-AA30</f>
        <v>#REF!</v>
      </c>
      <c r="AC30">
        <f>D30/H30*V30*-1</f>
        <v>0</v>
      </c>
      <c r="AD30">
        <f>E30/H30*V30</f>
        <v>0</v>
      </c>
      <c r="AE30" s="1" cm="1">
        <f t="array" ref="AE30">_xlfn.IFS(C30="Biomass_Corn", 1/H30*R30, C30="Biomass_Agri", 1/H30*U30, C30="Biomass_Wood", 1/H30*T30, C30="Biomass_Herb", 1/H30*S30)</f>
        <v>47.53338914580344</v>
      </c>
      <c r="AF30" t="e">
        <f>#REF!/H30*#REF!</f>
        <v>#REF!</v>
      </c>
      <c r="AG30">
        <f>L30/H30/(0.9*8760)</f>
        <v>19.756176325172991</v>
      </c>
      <c r="AH30">
        <f>M30/H30/(0.9*8760)</f>
        <v>10.446915613664926</v>
      </c>
      <c r="AI30">
        <f>N30/H30</f>
        <v>0.2551427204592569</v>
      </c>
      <c r="AJ30" s="1" t="e">
        <f>AY30+BB30+BC30-AW30+#REF!+#REF!</f>
        <v>#REF!</v>
      </c>
      <c r="AK30" s="1" t="e">
        <f>(P30+Q30)*-1*(J30+#REF!)/H30</f>
        <v>#REF!</v>
      </c>
      <c r="AL30" t="e">
        <f>AJ30*P30</f>
        <v>#REF!</v>
      </c>
      <c r="AM30">
        <f>SUM(AY30:BB30)-AW30</f>
        <v>-0.13870274128849736</v>
      </c>
      <c r="AN30" s="1" t="e">
        <f>(J30+#REF!)/H30*-1*Q30</f>
        <v>#REF!</v>
      </c>
      <c r="AO30">
        <f>AM30*P30</f>
        <v>-15.185147682202725</v>
      </c>
      <c r="AQ30" s="9">
        <f>I30</f>
        <v>1.708</v>
      </c>
      <c r="AR30" s="9">
        <v>0.243968185</v>
      </c>
      <c r="AS30" s="9">
        <v>0.24942761299999999</v>
      </c>
      <c r="AT30" s="10">
        <v>0.24635668499999999</v>
      </c>
      <c r="AU30" s="9">
        <v>0.23037490999999999</v>
      </c>
      <c r="AW30" s="10">
        <f>AQ30/H30</f>
        <v>0.90788284696752242</v>
      </c>
      <c r="AY30" s="10">
        <f>AU30</f>
        <v>0.23037490999999999</v>
      </c>
      <c r="AZ30" s="10"/>
      <c r="BA30" s="10"/>
      <c r="BB30" s="10">
        <f>K30/H30</f>
        <v>0.53880519567902507</v>
      </c>
      <c r="BC30" s="10">
        <f>J30/H30</f>
        <v>0.13869857114401213</v>
      </c>
      <c r="BE30" t="e">
        <f>#REF!-#REF!</f>
        <v>#REF!</v>
      </c>
    </row>
    <row r="31" spans="2:57" x14ac:dyDescent="0.2">
      <c r="B31" s="13" t="s">
        <v>54</v>
      </c>
      <c r="C31" s="12" t="s">
        <v>50</v>
      </c>
      <c r="D31" s="12">
        <v>0</v>
      </c>
      <c r="E31" s="12">
        <v>0</v>
      </c>
      <c r="F31" s="12"/>
      <c r="G31" s="12"/>
      <c r="H31" s="12">
        <v>1.8835</v>
      </c>
      <c r="I31" s="12">
        <v>1.71</v>
      </c>
      <c r="J31" s="12">
        <v>0.26124036728893979</v>
      </c>
      <c r="K31" s="12">
        <v>1.014845834786773</v>
      </c>
      <c r="L31" s="12">
        <v>293026.95</v>
      </c>
      <c r="M31" s="12">
        <v>154950.42000000001</v>
      </c>
      <c r="N31" s="12">
        <v>0.48</v>
      </c>
      <c r="P31" s="15">
        <v>109.479795</v>
      </c>
      <c r="Q31" s="15">
        <v>-41.717134999999999</v>
      </c>
      <c r="R31" s="15">
        <v>170</v>
      </c>
      <c r="S31" s="15">
        <v>104.167382</v>
      </c>
      <c r="T31" s="15">
        <v>115.52638899999999</v>
      </c>
      <c r="U31" s="15">
        <v>92.044978</v>
      </c>
      <c r="V31" s="15">
        <v>30.708172999999999</v>
      </c>
      <c r="X31" t="str">
        <f>B31</f>
        <v>CA_Gasoline_Gasification_Non_CCS_Herb</v>
      </c>
      <c r="Y31" t="str">
        <f>C31</f>
        <v>Biomass_Agri</v>
      </c>
      <c r="Z31" s="11" t="e">
        <f t="shared" si="0"/>
        <v>#REF!</v>
      </c>
      <c r="AA31" s="11" t="e">
        <f t="shared" si="1"/>
        <v>#REF!</v>
      </c>
      <c r="AB31" s="5" t="e">
        <f>Z31-AA31</f>
        <v>#REF!</v>
      </c>
      <c r="AC31">
        <f>D31/H31*V31*-1</f>
        <v>0</v>
      </c>
      <c r="AD31">
        <f>E31/H31*V31</f>
        <v>0</v>
      </c>
      <c r="AE31" s="1" cm="1">
        <f t="array" ref="AE31">_xlfn.IFS(C31="Biomass_Corn", 1/H31*R31, C31="Biomass_Agri", 1/H31*U31, C31="Biomass_Wood", 1/H31*T31, C31="Biomass_Herb", 1/H31*S31)</f>
        <v>48.869114945580044</v>
      </c>
      <c r="AF31" t="e">
        <f>#REF!/H31*#REF!</f>
        <v>#REF!</v>
      </c>
      <c r="AG31">
        <f>L31/H31/(0.9*8760)</f>
        <v>19.733100356011654</v>
      </c>
      <c r="AH31">
        <f>M31/H31/(0.9*8760)</f>
        <v>10.434713216876997</v>
      </c>
      <c r="AI31">
        <f>N31/H31</f>
        <v>0.25484470400849479</v>
      </c>
      <c r="AJ31" s="1" t="e">
        <f>AY31+BB31+BC31-AW31+#REF!+#REF!</f>
        <v>#REF!</v>
      </c>
      <c r="AK31" s="1" t="e">
        <f>(P31+Q31)*-1*(J31+#REF!)/H31</f>
        <v>#REF!</v>
      </c>
      <c r="AL31" t="e">
        <f>AJ31*P31</f>
        <v>#REF!</v>
      </c>
      <c r="AM31">
        <f>SUM(AY31:BB31)-AW31</f>
        <v>-0.13870083473757744</v>
      </c>
      <c r="AN31" s="1" t="e">
        <f>(J31+#REF!)/H31*-1*Q31</f>
        <v>#REF!</v>
      </c>
      <c r="AO31">
        <f>AM31*P31</f>
        <v>-15.184938953398856</v>
      </c>
      <c r="AQ31" s="9">
        <f>I31</f>
        <v>1.71</v>
      </c>
      <c r="AR31" s="9">
        <v>0.243968185</v>
      </c>
      <c r="AS31" s="9">
        <v>0.24942761299999999</v>
      </c>
      <c r="AT31" s="10">
        <v>0.24635668499999999</v>
      </c>
      <c r="AU31" s="9">
        <v>0.23037490999999999</v>
      </c>
      <c r="AW31" s="10">
        <f>AQ31/H31</f>
        <v>0.90788425803026285</v>
      </c>
      <c r="AY31" s="10">
        <f>AU31</f>
        <v>0.23037490999999999</v>
      </c>
      <c r="AZ31" s="10"/>
      <c r="BA31" s="10"/>
      <c r="BB31" s="10">
        <f>K31/H31</f>
        <v>0.53880851329268542</v>
      </c>
      <c r="BC31" s="10">
        <f>J31/H31</f>
        <v>0.13869942516004236</v>
      </c>
      <c r="BE31" t="e">
        <f>#REF!-#REF!</f>
        <v>#REF!</v>
      </c>
    </row>
    <row r="32" spans="2:57" x14ac:dyDescent="0.2">
      <c r="B32" s="13" t="s">
        <v>54</v>
      </c>
      <c r="C32" s="12" t="s">
        <v>50</v>
      </c>
      <c r="D32" s="12">
        <v>0</v>
      </c>
      <c r="E32" s="12">
        <v>0</v>
      </c>
      <c r="F32" s="12"/>
      <c r="G32" s="12"/>
      <c r="H32" s="12">
        <v>1.8758999999999999</v>
      </c>
      <c r="I32" s="12">
        <v>1.6890000000000001</v>
      </c>
      <c r="J32" s="12">
        <v>0.25730067840395571</v>
      </c>
      <c r="K32" s="12">
        <v>0.99954124424139257</v>
      </c>
      <c r="L32" s="12">
        <v>293026.95</v>
      </c>
      <c r="M32" s="12">
        <v>154950.42000000001</v>
      </c>
      <c r="N32" s="12">
        <v>0.48</v>
      </c>
      <c r="P32" s="15">
        <v>109.479795</v>
      </c>
      <c r="Q32" s="15">
        <v>-47.70091</v>
      </c>
      <c r="R32" s="15">
        <v>170</v>
      </c>
      <c r="S32" s="15">
        <v>99.632842999999994</v>
      </c>
      <c r="T32" s="15">
        <v>113.227017</v>
      </c>
      <c r="U32" s="15">
        <v>88.855315000000004</v>
      </c>
      <c r="V32" s="15">
        <v>38.218446</v>
      </c>
      <c r="X32" t="str">
        <f>B32</f>
        <v>CA_Gasoline_Gasification_Non_CCS_Herb</v>
      </c>
      <c r="Y32" t="str">
        <f>C32</f>
        <v>Biomass_Agri</v>
      </c>
      <c r="Z32" s="11" t="e">
        <f t="shared" si="0"/>
        <v>#REF!</v>
      </c>
      <c r="AA32" s="11" t="e">
        <f t="shared" si="1"/>
        <v>#REF!</v>
      </c>
      <c r="AB32" s="5" t="e">
        <f>Z32-AA32</f>
        <v>#REF!</v>
      </c>
      <c r="AC32">
        <f>D32/H32*V32*-1</f>
        <v>0</v>
      </c>
      <c r="AD32">
        <f>E32/H32*V32</f>
        <v>0</v>
      </c>
      <c r="AE32" s="1" cm="1">
        <f t="array" ref="AE32">_xlfn.IFS(C32="Biomass_Corn", 1/H32*R32, C32="Biomass_Agri", 1/H32*U32, C32="Biomass_Wood", 1/H32*T32, C32="Biomass_Herb", 1/H32*S32)</f>
        <v>47.36676528599606</v>
      </c>
      <c r="AF32" t="e">
        <f>#REF!/H32*#REF!</f>
        <v>#REF!</v>
      </c>
      <c r="AG32">
        <f>L32/H32/(0.9*8760)</f>
        <v>19.813046815154298</v>
      </c>
      <c r="AH32">
        <f>M32/H32/(0.9*8760)</f>
        <v>10.476988295744883</v>
      </c>
      <c r="AI32">
        <f>N32/H32</f>
        <v>0.25587717895410206</v>
      </c>
      <c r="AJ32" s="1" t="e">
        <f>AY32+BB32+BC32-AW32+#REF!+#REF!</f>
        <v>#REF!</v>
      </c>
      <c r="AK32" s="1" t="e">
        <f>(P32+Q32)*-1*(J32+#REF!)/H32</f>
        <v>#REF!</v>
      </c>
      <c r="AL32" t="e">
        <f>AJ32*P32</f>
        <v>#REF!</v>
      </c>
      <c r="AM32">
        <f>SUM(AY32:BB32)-AW32</f>
        <v>-0.137160009643162</v>
      </c>
      <c r="AN32" s="1" t="e">
        <f>(J32+#REF!)/H32*-1*Q32</f>
        <v>#REF!</v>
      </c>
      <c r="AO32">
        <f>AM32*P32</f>
        <v>-15.016249737931398</v>
      </c>
      <c r="AQ32" s="9">
        <f>I32</f>
        <v>1.6890000000000001</v>
      </c>
      <c r="AR32" s="9">
        <v>0.243968185</v>
      </c>
      <c r="AS32" s="9">
        <v>0.24942761299999999</v>
      </c>
      <c r="AT32" s="10">
        <v>0.24635668499999999</v>
      </c>
      <c r="AU32" s="9">
        <v>0.23037490999999999</v>
      </c>
      <c r="AW32" s="10">
        <f>AQ32/H32</f>
        <v>0.90036782344474664</v>
      </c>
      <c r="AY32" s="10">
        <f>AU32</f>
        <v>0.23037490999999999</v>
      </c>
      <c r="AZ32" s="10"/>
      <c r="BA32" s="10"/>
      <c r="BB32" s="10">
        <f>K32/H32</f>
        <v>0.53283290380158466</v>
      </c>
      <c r="BC32" s="10">
        <f>J32/H32</f>
        <v>0.13716119111037672</v>
      </c>
      <c r="BE32" t="e">
        <f>#REF!-#REF!</f>
        <v>#REF!</v>
      </c>
    </row>
    <row r="33" spans="2:57" x14ac:dyDescent="0.2">
      <c r="B33" s="13" t="s">
        <v>54</v>
      </c>
      <c r="C33" s="12" t="s">
        <v>50</v>
      </c>
      <c r="D33" s="12">
        <v>0</v>
      </c>
      <c r="E33" s="12">
        <v>0</v>
      </c>
      <c r="F33" s="12"/>
      <c r="G33" s="12"/>
      <c r="H33" s="12">
        <v>1.8062</v>
      </c>
      <c r="I33" s="12">
        <v>1.633</v>
      </c>
      <c r="J33" s="12">
        <v>0.24912258574124349</v>
      </c>
      <c r="K33" s="12">
        <v>0.96777163925506116</v>
      </c>
      <c r="L33" s="12">
        <v>293026.95</v>
      </c>
      <c r="M33" s="12">
        <v>154950.42000000001</v>
      </c>
      <c r="N33" s="12">
        <v>0.48</v>
      </c>
      <c r="P33" s="15">
        <v>109.479795</v>
      </c>
      <c r="Q33" s="15">
        <v>-21.506692000000001</v>
      </c>
      <c r="R33" s="15">
        <v>170</v>
      </c>
      <c r="S33" s="15">
        <v>137.93464800000001</v>
      </c>
      <c r="T33" s="15">
        <v>157.881351</v>
      </c>
      <c r="U33" s="15">
        <v>111.364845</v>
      </c>
      <c r="V33" s="15">
        <v>20.230252</v>
      </c>
      <c r="X33" t="str">
        <f>B33</f>
        <v>CA_Gasoline_Gasification_Non_CCS_Herb</v>
      </c>
      <c r="Y33" t="str">
        <f>C33</f>
        <v>Biomass_Agri</v>
      </c>
      <c r="Z33" s="11" t="e">
        <f t="shared" si="0"/>
        <v>#REF!</v>
      </c>
      <c r="AA33" s="11" t="e">
        <f t="shared" si="1"/>
        <v>#REF!</v>
      </c>
      <c r="AB33" s="5" t="e">
        <f>Z33-AA33</f>
        <v>#REF!</v>
      </c>
      <c r="AC33">
        <f>D33/H33*V33*-1</f>
        <v>0</v>
      </c>
      <c r="AD33">
        <f>E33/H33*V33</f>
        <v>0</v>
      </c>
      <c r="AE33" s="1" cm="1">
        <f t="array" ref="AE33">_xlfn.IFS(C33="Biomass_Corn", 1/H33*R33, C33="Biomass_Agri", 1/H33*U33, C33="Biomass_Wood", 1/H33*T33, C33="Biomass_Herb", 1/H33*S33)</f>
        <v>61.656984276381351</v>
      </c>
      <c r="AF33" t="e">
        <f>#REF!/H33*#REF!</f>
        <v>#REF!</v>
      </c>
      <c r="AG33">
        <f>L33/H33/(0.9*8760)</f>
        <v>20.577618492164735</v>
      </c>
      <c r="AH33">
        <f>M33/H33/(0.9*8760)</f>
        <v>10.881287976961479</v>
      </c>
      <c r="AI33">
        <f>N33/H33</f>
        <v>0.26575130107407818</v>
      </c>
      <c r="AJ33" s="1" t="e">
        <f>AY33+BB33+BC33-AW33+#REF!+#REF!</f>
        <v>#REF!</v>
      </c>
      <c r="AK33" s="1" t="e">
        <f>(P33+Q33)*-1*(J33+#REF!)/H33</f>
        <v>#REF!</v>
      </c>
      <c r="AL33" t="e">
        <f>AJ33*P33</f>
        <v>#REF!</v>
      </c>
      <c r="AM33">
        <f>SUM(AY33:BB33)-AW33</f>
        <v>-0.13792780329029952</v>
      </c>
      <c r="AN33" s="1" t="e">
        <f>(J33+#REF!)/H33*-1*Q33</f>
        <v>#REF!</v>
      </c>
      <c r="AO33">
        <f>AM33*P33</f>
        <v>-15.100307629022316</v>
      </c>
      <c r="AQ33" s="9">
        <f>I33</f>
        <v>1.633</v>
      </c>
      <c r="AR33" s="9">
        <v>0.243968185</v>
      </c>
      <c r="AS33" s="9">
        <v>0.24942761299999999</v>
      </c>
      <c r="AT33" s="10">
        <v>0.24635668499999999</v>
      </c>
      <c r="AU33" s="9">
        <v>0.23037490999999999</v>
      </c>
      <c r="AW33" s="10">
        <f>AQ33/H33</f>
        <v>0.90410807219577016</v>
      </c>
      <c r="AY33" s="10">
        <f>AU33</f>
        <v>0.23037490999999999</v>
      </c>
      <c r="AZ33" s="10"/>
      <c r="BA33" s="10"/>
      <c r="BB33" s="10">
        <f>K33/H33</f>
        <v>0.53580535890547065</v>
      </c>
      <c r="BC33" s="10">
        <f>J33/H33</f>
        <v>0.13792635684932095</v>
      </c>
      <c r="BE33" t="e">
        <f>#REF!-#REF!</f>
        <v>#REF!</v>
      </c>
    </row>
    <row r="34" spans="2:57" x14ac:dyDescent="0.2">
      <c r="B34" s="13" t="s">
        <v>54</v>
      </c>
      <c r="C34" s="12" t="s">
        <v>48</v>
      </c>
      <c r="D34" s="12">
        <v>0</v>
      </c>
      <c r="E34" s="12">
        <v>0.26319999999999999</v>
      </c>
      <c r="F34" s="12"/>
      <c r="G34" s="12"/>
      <c r="H34" s="12">
        <v>1.9847999999999999</v>
      </c>
      <c r="I34" s="12">
        <v>1.7230000000000001</v>
      </c>
      <c r="J34" s="12">
        <v>1.0913384446313901</v>
      </c>
      <c r="K34" s="12">
        <v>0.1744217555905887</v>
      </c>
      <c r="L34" s="12">
        <v>520155.64</v>
      </c>
      <c r="M34" s="12">
        <v>279265.62</v>
      </c>
      <c r="N34" s="12">
        <v>1.67</v>
      </c>
      <c r="P34" s="15">
        <v>109.479795</v>
      </c>
      <c r="Q34" s="15">
        <v>-31.70346</v>
      </c>
      <c r="R34" s="15">
        <v>170</v>
      </c>
      <c r="S34" s="15">
        <v>110.461518</v>
      </c>
      <c r="T34" s="15">
        <v>127.408748</v>
      </c>
      <c r="U34" s="15">
        <v>98.832477999999995</v>
      </c>
      <c r="V34" s="15">
        <v>25.324636999999999</v>
      </c>
      <c r="X34" t="str">
        <f>B34</f>
        <v>CA_Gasoline_Gasification_Non_CCS_Herb</v>
      </c>
      <c r="Y34" t="str">
        <f>C34</f>
        <v>Biomass_Herb</v>
      </c>
      <c r="Z34" s="11" t="e">
        <f t="shared" si="0"/>
        <v>#REF!</v>
      </c>
      <c r="AA34" s="11" t="e">
        <f t="shared" si="1"/>
        <v>#REF!</v>
      </c>
      <c r="AB34" s="5" t="e">
        <f>Z34-AA34</f>
        <v>#REF!</v>
      </c>
      <c r="AC34">
        <f>D34/H34*V34*-1</f>
        <v>0</v>
      </c>
      <c r="AD34">
        <f>E34/H34*V34</f>
        <v>3.3582448903667879</v>
      </c>
      <c r="AE34" s="1" cm="1">
        <f t="array" ref="AE34">_xlfn.IFS(C34="Biomass_Corn", 1/H34*R34, C34="Biomass_Agri", 1/H34*U34, C34="Biomass_Wood", 1/H34*T34, C34="Biomass_Herb", 1/H34*S34)</f>
        <v>55.653727327690454</v>
      </c>
      <c r="AF34" t="e">
        <f>#REF!/H34*#REF!</f>
        <v>#REF!</v>
      </c>
      <c r="AG34">
        <f>L34/H34/(0.9*8760)</f>
        <v>33.240683481624224</v>
      </c>
      <c r="AH34">
        <f>M34/H34/(0.9*8760)</f>
        <v>17.846543164887237</v>
      </c>
      <c r="AI34">
        <f>N34/H34</f>
        <v>0.8413945989520355</v>
      </c>
      <c r="AJ34" s="1" t="e">
        <f>AY34+BB34+BC34-AW34+#REF!+#REF!</f>
        <v>#REF!</v>
      </c>
      <c r="AK34" s="1" t="e">
        <f>(P34+Q34)*-1*(J34+#REF!)/H34</f>
        <v>#REF!</v>
      </c>
      <c r="AL34" t="e">
        <f>AJ34*P34</f>
        <v>#REF!</v>
      </c>
      <c r="AM34">
        <f>SUM(AY34:BB34)-AW34</f>
        <v>-0.54984387497048148</v>
      </c>
      <c r="AN34" s="1" t="e">
        <f>(J34+#REF!)/H34*-1*Q34</f>
        <v>#REF!</v>
      </c>
      <c r="AO34">
        <f>AM34*P34</f>
        <v>-60.19679471377394</v>
      </c>
      <c r="AQ34" s="9">
        <f>I34</f>
        <v>1.7230000000000001</v>
      </c>
      <c r="AR34" s="9">
        <v>0.243968185</v>
      </c>
      <c r="AS34" s="9">
        <v>0.24942761299999999</v>
      </c>
      <c r="AT34" s="10">
        <v>0.24635668499999999</v>
      </c>
      <c r="AU34" s="9">
        <v>0.23037490999999999</v>
      </c>
      <c r="AW34" s="10">
        <f>AQ34/H34</f>
        <v>0.86809754131398642</v>
      </c>
      <c r="AY34" s="10">
        <f>AU34</f>
        <v>0.23037490999999999</v>
      </c>
      <c r="AZ34" s="10"/>
      <c r="BA34" s="10"/>
      <c r="BB34" s="10">
        <f>K34/H34</f>
        <v>8.7878756343504991E-2</v>
      </c>
      <c r="BC34" s="10">
        <f>J34/H34</f>
        <v>0.54984806762968064</v>
      </c>
      <c r="BE34" t="e">
        <f>#REF!-#REF!</f>
        <v>#REF!</v>
      </c>
    </row>
    <row r="35" spans="2:57" x14ac:dyDescent="0.2">
      <c r="B35" s="13" t="s">
        <v>54</v>
      </c>
      <c r="C35" s="12" t="s">
        <v>48</v>
      </c>
      <c r="D35" s="12">
        <v>0</v>
      </c>
      <c r="E35" s="12">
        <v>0.26319999999999999</v>
      </c>
      <c r="F35" s="12"/>
      <c r="G35" s="12"/>
      <c r="H35" s="12">
        <v>1.9923999999999999</v>
      </c>
      <c r="I35" s="12">
        <v>1.736</v>
      </c>
      <c r="J35" s="12">
        <v>1.10103326235625</v>
      </c>
      <c r="K35" s="12">
        <v>0.17597121729609291</v>
      </c>
      <c r="L35" s="12">
        <v>520155.64</v>
      </c>
      <c r="M35" s="12">
        <v>279265.62</v>
      </c>
      <c r="N35" s="12">
        <v>1.67</v>
      </c>
      <c r="P35" s="15">
        <v>109.479795</v>
      </c>
      <c r="Q35" s="15">
        <v>-54.115442999999999</v>
      </c>
      <c r="R35" s="15">
        <v>170</v>
      </c>
      <c r="S35" s="15">
        <v>100.77374399999999</v>
      </c>
      <c r="T35" s="15">
        <v>108.668072</v>
      </c>
      <c r="U35" s="15">
        <v>89.424565000000001</v>
      </c>
      <c r="V35" s="15">
        <v>39.359471999999997</v>
      </c>
      <c r="X35" t="str">
        <f>B35</f>
        <v>CA_Gasoline_Gasification_Non_CCS_Herb</v>
      </c>
      <c r="Y35" t="str">
        <f>C35</f>
        <v>Biomass_Herb</v>
      </c>
      <c r="Z35" s="11" t="e">
        <f t="shared" si="0"/>
        <v>#REF!</v>
      </c>
      <c r="AA35" s="11" t="e">
        <f t="shared" si="1"/>
        <v>#REF!</v>
      </c>
      <c r="AB35" s="5" t="e">
        <f>Z35-AA35</f>
        <v>#REF!</v>
      </c>
      <c r="AC35">
        <f>D35/H35*V35*-1</f>
        <v>0</v>
      </c>
      <c r="AD35">
        <f>E35/H35*V35</f>
        <v>5.1994644802248535</v>
      </c>
      <c r="AE35" s="1" cm="1">
        <f t="array" ref="AE35">_xlfn.IFS(C35="Biomass_Corn", 1/H35*R35, C35="Biomass_Agri", 1/H35*U35, C35="Biomass_Wood", 1/H35*T35, C35="Biomass_Herb", 1/H35*S35)</f>
        <v>50.579072475406548</v>
      </c>
      <c r="AF35" t="e">
        <f>#REF!/H35*#REF!</f>
        <v>#REF!</v>
      </c>
      <c r="AG35">
        <f>L35/H35/(0.9*8760)</f>
        <v>33.113887057984215</v>
      </c>
      <c r="AH35">
        <f>M35/H35/(0.9*8760)</f>
        <v>17.778467613766406</v>
      </c>
      <c r="AI35">
        <f>N35/H35</f>
        <v>0.83818510339289298</v>
      </c>
      <c r="AJ35" s="1" t="e">
        <f>AY35+BB35+BC35-AW35+#REF!+#REF!</f>
        <v>#REF!</v>
      </c>
      <c r="AK35" s="1" t="e">
        <f>(P35+Q35)*-1*(J35+#REF!)/H35</f>
        <v>#REF!</v>
      </c>
      <c r="AL35" t="e">
        <f>AJ35*P35</f>
        <v>#REF!</v>
      </c>
      <c r="AM35">
        <f>SUM(AY35:BB35)-AW35</f>
        <v>-0.5526148424111158</v>
      </c>
      <c r="AN35" s="1" t="e">
        <f>(J35+#REF!)/H35*-1*Q35</f>
        <v>#REF!</v>
      </c>
      <c r="AO35">
        <f>AM35*P35</f>
        <v>-60.500159661126261</v>
      </c>
      <c r="AQ35" s="9">
        <f>I35</f>
        <v>1.736</v>
      </c>
      <c r="AR35" s="9">
        <v>0.243968185</v>
      </c>
      <c r="AS35" s="9">
        <v>0.24942761299999999</v>
      </c>
      <c r="AT35" s="10">
        <v>0.24635668499999999</v>
      </c>
      <c r="AU35" s="9">
        <v>0.23037490999999999</v>
      </c>
      <c r="AW35" s="10">
        <f>AQ35/H35</f>
        <v>0.8713109817305762</v>
      </c>
      <c r="AY35" s="10">
        <f>AU35</f>
        <v>0.23037490999999999</v>
      </c>
      <c r="AZ35" s="10"/>
      <c r="BA35" s="10"/>
      <c r="BB35" s="10">
        <f>K35/H35</f>
        <v>8.8321229319460404E-2</v>
      </c>
      <c r="BC35" s="10">
        <f>J35/H35</f>
        <v>0.55261657415993271</v>
      </c>
      <c r="BE35" t="e">
        <f>#REF!-#REF!</f>
        <v>#REF!</v>
      </c>
    </row>
    <row r="36" spans="2:57" x14ac:dyDescent="0.2">
      <c r="B36" s="13" t="s">
        <v>54</v>
      </c>
      <c r="C36" s="12" t="s">
        <v>48</v>
      </c>
      <c r="D36" s="12">
        <v>0</v>
      </c>
      <c r="E36" s="12">
        <v>0.26319999999999999</v>
      </c>
      <c r="F36" s="12"/>
      <c r="G36" s="12"/>
      <c r="H36" s="12">
        <v>1.9966999999999999</v>
      </c>
      <c r="I36" s="12">
        <v>1.74</v>
      </c>
      <c r="J36" s="12">
        <v>1.1036170439133131</v>
      </c>
      <c r="K36" s="12">
        <v>0.17638416684209529</v>
      </c>
      <c r="L36" s="12">
        <v>520155.64</v>
      </c>
      <c r="M36" s="12">
        <v>279265.62</v>
      </c>
      <c r="N36" s="12">
        <v>1.67</v>
      </c>
      <c r="P36" s="15">
        <v>109.479795</v>
      </c>
      <c r="Q36" s="15">
        <v>-41.717134999999999</v>
      </c>
      <c r="R36" s="15">
        <v>170</v>
      </c>
      <c r="S36" s="15">
        <v>104.167382</v>
      </c>
      <c r="T36" s="15">
        <v>115.52638899999999</v>
      </c>
      <c r="U36" s="15">
        <v>92.044978</v>
      </c>
      <c r="V36" s="15">
        <v>30.708172999999999</v>
      </c>
      <c r="X36" t="str">
        <f>B36</f>
        <v>CA_Gasoline_Gasification_Non_CCS_Herb</v>
      </c>
      <c r="Y36" t="str">
        <f>C36</f>
        <v>Biomass_Herb</v>
      </c>
      <c r="Z36" s="11" t="e">
        <f t="shared" ref="Z36:Z67" si="2">SUM(AC36:AI36)+AK36+AL36</f>
        <v>#REF!</v>
      </c>
      <c r="AA36" s="11" t="e">
        <f t="shared" ref="AA36:AA67" si="3">SUM(AC36:AI36)+AN36+AO36</f>
        <v>#REF!</v>
      </c>
      <c r="AB36" s="5" t="e">
        <f>Z36-AA36</f>
        <v>#REF!</v>
      </c>
      <c r="AC36">
        <f>D36/H36*V36*-1</f>
        <v>0</v>
      </c>
      <c r="AD36">
        <f>E36/H36*V36</f>
        <v>4.0478745598237085</v>
      </c>
      <c r="AE36" s="1" cm="1">
        <f t="array" ref="AE36">_xlfn.IFS(C36="Biomass_Corn", 1/H36*R36, C36="Biomass_Agri", 1/H36*U36, C36="Biomass_Wood", 1/H36*T36, C36="Biomass_Herb", 1/H36*S36)</f>
        <v>52.169771122351882</v>
      </c>
      <c r="AF36" t="e">
        <f>#REF!/H36*#REF!</f>
        <v>#REF!</v>
      </c>
      <c r="AG36">
        <f>L36/H36/(0.9*8760)</f>
        <v>33.042574535146869</v>
      </c>
      <c r="AH36">
        <f>M36/H36/(0.9*8760)</f>
        <v>17.740180735046923</v>
      </c>
      <c r="AI36">
        <f>N36/H36</f>
        <v>0.83638002704462366</v>
      </c>
      <c r="AJ36" s="1" t="e">
        <f>AY36+BB36+BC36-AW36+#REF!+#REF!</f>
        <v>#REF!</v>
      </c>
      <c r="AK36" s="1" t="e">
        <f>(P36+Q36)*-1*(J36+#REF!)/H36</f>
        <v>#REF!</v>
      </c>
      <c r="AL36" t="e">
        <f>AJ36*P36</f>
        <v>#REF!</v>
      </c>
      <c r="AM36">
        <f>SUM(AY36:BB36)-AW36</f>
        <v>-0.55272512163114373</v>
      </c>
      <c r="AN36" s="1" t="e">
        <f>(J36+#REF!)/H36*-1*Q36</f>
        <v>#REF!</v>
      </c>
      <c r="AO36">
        <f>AM36*P36</f>
        <v>-60.512233007527676</v>
      </c>
      <c r="AQ36" s="9">
        <f>I36</f>
        <v>1.74</v>
      </c>
      <c r="AR36" s="9">
        <v>0.243968185</v>
      </c>
      <c r="AS36" s="9">
        <v>0.24942761299999999</v>
      </c>
      <c r="AT36" s="10">
        <v>0.24635668499999999</v>
      </c>
      <c r="AU36" s="9">
        <v>0.23037490999999999</v>
      </c>
      <c r="AW36" s="10">
        <f>AQ36/H36</f>
        <v>0.87143787248960791</v>
      </c>
      <c r="AY36" s="10">
        <f>AU36</f>
        <v>0.23037490999999999</v>
      </c>
      <c r="AZ36" s="10"/>
      <c r="BA36" s="10"/>
      <c r="BB36" s="10">
        <f>K36/H36</f>
        <v>8.833784085846412E-2</v>
      </c>
      <c r="BC36" s="10">
        <f>J36/H36</f>
        <v>0.55272051079947571</v>
      </c>
      <c r="BE36" t="e">
        <f>#REF!-#REF!</f>
        <v>#REF!</v>
      </c>
    </row>
    <row r="37" spans="2:57" x14ac:dyDescent="0.2">
      <c r="B37" s="13" t="s">
        <v>54</v>
      </c>
      <c r="C37" s="12" t="s">
        <v>48</v>
      </c>
      <c r="D37" s="12">
        <v>0</v>
      </c>
      <c r="E37" s="12">
        <v>0.26319999999999999</v>
      </c>
      <c r="F37" s="12"/>
      <c r="G37" s="12"/>
      <c r="H37" s="12">
        <v>1.9815</v>
      </c>
      <c r="I37" s="12">
        <v>1.7170000000000001</v>
      </c>
      <c r="J37" s="12">
        <v>1.0868140084635931</v>
      </c>
      <c r="K37" s="12">
        <v>0.1736986434310869</v>
      </c>
      <c r="L37" s="12">
        <v>520155.64</v>
      </c>
      <c r="M37" s="12">
        <v>279265.62</v>
      </c>
      <c r="N37" s="12">
        <v>1.67</v>
      </c>
      <c r="P37" s="15">
        <v>109.479795</v>
      </c>
      <c r="Q37" s="15">
        <v>-47.70091</v>
      </c>
      <c r="R37" s="15">
        <v>170</v>
      </c>
      <c r="S37" s="15">
        <v>99.632842999999994</v>
      </c>
      <c r="T37" s="15">
        <v>113.227017</v>
      </c>
      <c r="U37" s="15">
        <v>88.855315000000004</v>
      </c>
      <c r="V37" s="15">
        <v>38.218446</v>
      </c>
      <c r="X37" t="str">
        <f>B37</f>
        <v>CA_Gasoline_Gasification_Non_CCS_Herb</v>
      </c>
      <c r="Y37" t="str">
        <f>C37</f>
        <v>Biomass_Herb</v>
      </c>
      <c r="Z37" s="11" t="e">
        <f t="shared" si="2"/>
        <v>#REF!</v>
      </c>
      <c r="AA37" s="11" t="e">
        <f t="shared" si="3"/>
        <v>#REF!</v>
      </c>
      <c r="AB37" s="5" t="e">
        <f>Z37-AA37</f>
        <v>#REF!</v>
      </c>
      <c r="AC37">
        <f>D37/H37*V37*-1</f>
        <v>0</v>
      </c>
      <c r="AD37">
        <f>E37/H37*V37</f>
        <v>5.076505166389099</v>
      </c>
      <c r="AE37" s="1" cm="1">
        <f t="array" ref="AE37">_xlfn.IFS(C37="Biomass_Corn", 1/H37*R37, C37="Biomass_Agri", 1/H37*U37, C37="Biomass_Wood", 1/H37*T37, C37="Biomass_Herb", 1/H37*S37)</f>
        <v>50.281525611910162</v>
      </c>
      <c r="AF37" t="e">
        <f>#REF!/H37*#REF!</f>
        <v>#REF!</v>
      </c>
      <c r="AG37">
        <f>L37/H37/(0.9*8760)</f>
        <v>33.296042681972118</v>
      </c>
      <c r="AH37">
        <f>M37/H37/(0.9*8760)</f>
        <v>17.876264887039209</v>
      </c>
      <c r="AI37">
        <f>N37/H37</f>
        <v>0.84279586172091847</v>
      </c>
      <c r="AJ37" s="1" t="e">
        <f>AY37+BB37+BC37-AW37+#REF!+#REF!</f>
        <v>#REF!</v>
      </c>
      <c r="AK37" s="1" t="e">
        <f>(P37+Q37)*-1*(J37+#REF!)/H37</f>
        <v>#REF!</v>
      </c>
      <c r="AL37" t="e">
        <f>AJ37*P37</f>
        <v>#REF!</v>
      </c>
      <c r="AM37">
        <f>SUM(AY37:BB37)-AW37</f>
        <v>-0.54848017784704173</v>
      </c>
      <c r="AN37" s="1" t="e">
        <f>(J37+#REF!)/H37*-1*Q37</f>
        <v>#REF!</v>
      </c>
      <c r="AO37">
        <f>AM37*P37</f>
        <v>-60.047497432257664</v>
      </c>
      <c r="AQ37" s="9">
        <f>I37</f>
        <v>1.7170000000000001</v>
      </c>
      <c r="AR37" s="9">
        <v>0.243968185</v>
      </c>
      <c r="AS37" s="9">
        <v>0.24942761299999999</v>
      </c>
      <c r="AT37" s="10">
        <v>0.24635668499999999</v>
      </c>
      <c r="AU37" s="9">
        <v>0.23037490999999999</v>
      </c>
      <c r="AW37" s="10">
        <f>AQ37/H37</f>
        <v>0.86651526621246533</v>
      </c>
      <c r="AY37" s="10">
        <f>AU37</f>
        <v>0.23037490999999999</v>
      </c>
      <c r="AZ37" s="10"/>
      <c r="BA37" s="10"/>
      <c r="BB37" s="10">
        <f>K37/H37</f>
        <v>8.7660178365423613E-2</v>
      </c>
      <c r="BC37" s="10">
        <f>J37/H37</f>
        <v>0.5484804483793051</v>
      </c>
      <c r="BE37" t="e">
        <f>#REF!-#REF!</f>
        <v>#REF!</v>
      </c>
    </row>
    <row r="38" spans="2:57" x14ac:dyDescent="0.2">
      <c r="B38" s="13" t="s">
        <v>54</v>
      </c>
      <c r="C38" s="12" t="s">
        <v>48</v>
      </c>
      <c r="D38" s="12">
        <v>0</v>
      </c>
      <c r="E38" s="12">
        <v>0.26319999999999999</v>
      </c>
      <c r="F38" s="12"/>
      <c r="G38" s="12"/>
      <c r="H38" s="12">
        <v>1.9761</v>
      </c>
      <c r="I38" s="12">
        <v>1.714</v>
      </c>
      <c r="J38" s="12">
        <v>1.085308681517265</v>
      </c>
      <c r="K38" s="12">
        <v>0.1734580564985839</v>
      </c>
      <c r="L38" s="12">
        <v>520155.64</v>
      </c>
      <c r="M38" s="12">
        <v>279265.62</v>
      </c>
      <c r="N38" s="12">
        <v>1.67</v>
      </c>
      <c r="P38" s="15">
        <v>109.479795</v>
      </c>
      <c r="Q38" s="15">
        <v>-21.506692000000001</v>
      </c>
      <c r="R38" s="15">
        <v>170</v>
      </c>
      <c r="S38" s="15">
        <v>137.93464800000001</v>
      </c>
      <c r="T38" s="15">
        <v>157.881351</v>
      </c>
      <c r="U38" s="15">
        <v>111.364845</v>
      </c>
      <c r="V38" s="15">
        <v>20.230252</v>
      </c>
      <c r="X38" t="str">
        <f>B38</f>
        <v>CA_Gasoline_Gasification_Non_CCS_Herb</v>
      </c>
      <c r="Y38" t="str">
        <f>C38</f>
        <v>Biomass_Herb</v>
      </c>
      <c r="Z38" s="11" t="e">
        <f t="shared" si="2"/>
        <v>#REF!</v>
      </c>
      <c r="AA38" s="11" t="e">
        <f t="shared" si="3"/>
        <v>#REF!</v>
      </c>
      <c r="AB38" s="5" t="e">
        <f>Z38-AA38</f>
        <v>#REF!</v>
      </c>
      <c r="AC38">
        <f>D38/H38*V38*-1</f>
        <v>0</v>
      </c>
      <c r="AD38">
        <f>E38/H38*V38</f>
        <v>2.6945004434998232</v>
      </c>
      <c r="AE38" s="1" cm="1">
        <f t="array" ref="AE38">_xlfn.IFS(C38="Biomass_Corn", 1/H38*R38, C38="Biomass_Agri", 1/H38*U38, C38="Biomass_Wood", 1/H38*T38, C38="Biomass_Herb", 1/H38*S38)</f>
        <v>69.801451343555485</v>
      </c>
      <c r="AF38" t="e">
        <f>#REF!/H38*#REF!</f>
        <v>#REF!</v>
      </c>
      <c r="AG38">
        <f>L38/H38/(0.9*8760)</f>
        <v>33.387029287145261</v>
      </c>
      <c r="AH38">
        <f>M38/H38/(0.9*8760)</f>
        <v>17.925114555775615</v>
      </c>
      <c r="AI38">
        <f>N38/H38</f>
        <v>0.84509893224027122</v>
      </c>
      <c r="AJ38" s="1" t="e">
        <f>AY38+BB38+BC38-AW38+#REF!+#REF!</f>
        <v>#REF!</v>
      </c>
      <c r="AK38" s="1" t="e">
        <f>(P38+Q38)*-1*(J38+#REF!)/H38</f>
        <v>#REF!</v>
      </c>
      <c r="AL38" t="e">
        <f>AJ38*P38</f>
        <v>#REF!</v>
      </c>
      <c r="AM38">
        <f>SUM(AY38:BB38)-AW38</f>
        <v>-0.54921212684095744</v>
      </c>
      <c r="AN38" s="1" t="e">
        <f>(J38+#REF!)/H38*-1*Q38</f>
        <v>#REF!</v>
      </c>
      <c r="AO38">
        <f>AM38*P38</f>
        <v>-60.127631058062015</v>
      </c>
      <c r="AQ38" s="9">
        <f>I38</f>
        <v>1.714</v>
      </c>
      <c r="AR38" s="9">
        <v>0.243968185</v>
      </c>
      <c r="AS38" s="9">
        <v>0.24942761299999999</v>
      </c>
      <c r="AT38" s="10">
        <v>0.24635668499999999</v>
      </c>
      <c r="AU38" s="9">
        <v>0.23037490999999999</v>
      </c>
      <c r="AW38" s="10">
        <f>AQ38/H38</f>
        <v>0.86736501189211068</v>
      </c>
      <c r="AY38" s="10">
        <f>AU38</f>
        <v>0.23037490999999999</v>
      </c>
      <c r="AZ38" s="10"/>
      <c r="BA38" s="10"/>
      <c r="BB38" s="10">
        <f>K38/H38</f>
        <v>8.7777975051153229E-2</v>
      </c>
      <c r="BC38" s="10">
        <f>J38/H38</f>
        <v>0.54921748976127982</v>
      </c>
      <c r="BE38" t="e">
        <f>#REF!-#REF!</f>
        <v>#REF!</v>
      </c>
    </row>
    <row r="39" spans="2:57" x14ac:dyDescent="0.2">
      <c r="B39" s="13" t="s">
        <v>54</v>
      </c>
      <c r="C39" s="12" t="s">
        <v>49</v>
      </c>
      <c r="D39" s="12">
        <v>0</v>
      </c>
      <c r="E39" s="12">
        <v>0.26319999999999999</v>
      </c>
      <c r="F39" s="12"/>
      <c r="G39" s="12"/>
      <c r="H39" s="12">
        <v>2.0762</v>
      </c>
      <c r="I39" s="12">
        <v>1.802</v>
      </c>
      <c r="J39" s="12">
        <v>1.1412868573297099</v>
      </c>
      <c r="K39" s="12">
        <v>0.18240469605663889</v>
      </c>
      <c r="L39" s="12">
        <v>520155.64</v>
      </c>
      <c r="M39" s="12">
        <v>279265.62</v>
      </c>
      <c r="N39" s="12">
        <v>1.67</v>
      </c>
      <c r="P39" s="15">
        <v>109.479795</v>
      </c>
      <c r="Q39" s="15">
        <v>-31.70346</v>
      </c>
      <c r="R39" s="15">
        <v>170</v>
      </c>
      <c r="S39" s="15">
        <v>110.461518</v>
      </c>
      <c r="T39" s="15">
        <v>127.408748</v>
      </c>
      <c r="U39" s="15">
        <v>98.832477999999995</v>
      </c>
      <c r="V39" s="15">
        <v>25.324636999999999</v>
      </c>
      <c r="X39" t="str">
        <f>B39</f>
        <v>CA_Gasoline_Gasification_Non_CCS_Herb</v>
      </c>
      <c r="Y39" t="str">
        <f>C39</f>
        <v>Biomass_Wood</v>
      </c>
      <c r="Z39" s="11" t="e">
        <f t="shared" si="2"/>
        <v>#REF!</v>
      </c>
      <c r="AA39" s="11" t="e">
        <f t="shared" si="3"/>
        <v>#REF!</v>
      </c>
      <c r="AB39" s="5" t="e">
        <f>Z39-AA39</f>
        <v>#REF!</v>
      </c>
      <c r="AC39">
        <f>D39/H39*V39*-1</f>
        <v>0</v>
      </c>
      <c r="AD39">
        <f>E39/H39*V39</f>
        <v>3.2104057693863788</v>
      </c>
      <c r="AE39" s="1" cm="1">
        <f t="array" ref="AE39">_xlfn.IFS(C39="Biomass_Corn", 1/H39*R39, C39="Biomass_Agri", 1/H39*U39, C39="Biomass_Wood", 1/H39*T39, C39="Biomass_Herb", 1/H39*S39)</f>
        <v>61.366317310471054</v>
      </c>
      <c r="AF39" t="e">
        <f>#REF!/H39*#REF!</f>
        <v>#REF!</v>
      </c>
      <c r="AG39">
        <f>L39/H39/(0.9*8760)</f>
        <v>31.777337720030705</v>
      </c>
      <c r="AH39">
        <f>M39/H39/(0.9*8760)</f>
        <v>17.06088954516337</v>
      </c>
      <c r="AI39">
        <f>N39/H39</f>
        <v>0.8043541084673923</v>
      </c>
      <c r="AJ39" s="1" t="e">
        <f>AY39+BB39+BC39-AW39+#REF!+#REF!</f>
        <v>#REF!</v>
      </c>
      <c r="AK39" s="1" t="e">
        <f>(P39+Q39)*-1*(J39+#REF!)/H39</f>
        <v>#REF!</v>
      </c>
      <c r="AL39" t="e">
        <f>AJ39*P39</f>
        <v>#REF!</v>
      </c>
      <c r="AM39">
        <f>SUM(AY39:BB39)-AW39</f>
        <v>-0.54970181861157941</v>
      </c>
      <c r="AN39" s="1" t="e">
        <f>(J39+#REF!)/H39*-1*Q39</f>
        <v>#REF!</v>
      </c>
      <c r="AO39">
        <f>AM39*P39</f>
        <v>-60.181242412722895</v>
      </c>
      <c r="AQ39" s="9">
        <f>I39</f>
        <v>1.802</v>
      </c>
      <c r="AR39" s="9">
        <v>0.243968185</v>
      </c>
      <c r="AS39" s="9">
        <v>0.24942761299999999</v>
      </c>
      <c r="AT39" s="10">
        <v>0.24635668499999999</v>
      </c>
      <c r="AU39" s="9">
        <v>0.23037490999999999</v>
      </c>
      <c r="AW39" s="10">
        <f>AQ39/H39</f>
        <v>0.86793179847798863</v>
      </c>
      <c r="AY39" s="10">
        <f>AU39</f>
        <v>0.23037490999999999</v>
      </c>
      <c r="AZ39" s="10"/>
      <c r="BA39" s="10"/>
      <c r="BB39" s="10">
        <f>K39/H39</f>
        <v>8.7855069866409258E-2</v>
      </c>
      <c r="BC39" s="10">
        <f>J39/H39</f>
        <v>0.54969986385209035</v>
      </c>
      <c r="BE39" t="e">
        <f>#REF!-#REF!</f>
        <v>#REF!</v>
      </c>
    </row>
    <row r="40" spans="2:57" x14ac:dyDescent="0.2">
      <c r="B40" s="13" t="s">
        <v>54</v>
      </c>
      <c r="C40" s="12" t="s">
        <v>49</v>
      </c>
      <c r="D40" s="12">
        <v>0</v>
      </c>
      <c r="E40" s="12">
        <v>0.26319999999999999</v>
      </c>
      <c r="F40" s="12"/>
      <c r="G40" s="12"/>
      <c r="H40" s="12">
        <v>2.0697000000000001</v>
      </c>
      <c r="I40" s="12">
        <v>1.806</v>
      </c>
      <c r="J40" s="12">
        <v>1.1460331849941161</v>
      </c>
      <c r="K40" s="12">
        <v>0.1831632717376353</v>
      </c>
      <c r="L40" s="12">
        <v>520155.64</v>
      </c>
      <c r="M40" s="12">
        <v>279265.62</v>
      </c>
      <c r="N40" s="12">
        <v>1.67</v>
      </c>
      <c r="P40" s="15">
        <v>109.479795</v>
      </c>
      <c r="Q40" s="15">
        <v>-54.115442999999999</v>
      </c>
      <c r="R40" s="15">
        <v>170</v>
      </c>
      <c r="S40" s="15">
        <v>100.77374399999999</v>
      </c>
      <c r="T40" s="15">
        <v>108.668072</v>
      </c>
      <c r="U40" s="15">
        <v>89.424565000000001</v>
      </c>
      <c r="V40" s="15">
        <v>39.359471999999997</v>
      </c>
      <c r="X40" t="str">
        <f>B40</f>
        <v>CA_Gasoline_Gasification_Non_CCS_Herb</v>
      </c>
      <c r="Y40" t="str">
        <f>C40</f>
        <v>Biomass_Wood</v>
      </c>
      <c r="Z40" s="11" t="e">
        <f t="shared" si="2"/>
        <v>#REF!</v>
      </c>
      <c r="AA40" s="11" t="e">
        <f t="shared" si="3"/>
        <v>#REF!</v>
      </c>
      <c r="AB40" s="5" t="e">
        <f>Z40-AA40</f>
        <v>#REF!</v>
      </c>
      <c r="AC40">
        <f>D40/H40*V40*-1</f>
        <v>0</v>
      </c>
      <c r="AD40">
        <f>E40/H40*V40</f>
        <v>5.0052727595303663</v>
      </c>
      <c r="AE40" s="1" cm="1">
        <f t="array" ref="AE40">_xlfn.IFS(C40="Biomass_Corn", 1/H40*R40, C40="Biomass_Agri", 1/H40*U40, C40="Biomass_Wood", 1/H40*T40, C40="Biomass_Herb", 1/H40*S40)</f>
        <v>52.50426245349567</v>
      </c>
      <c r="AF40" t="e">
        <f>#REF!/H40*#REF!</f>
        <v>#REF!</v>
      </c>
      <c r="AG40">
        <f>L40/H40/(0.9*8760)</f>
        <v>31.877136094278278</v>
      </c>
      <c r="AH40">
        <f>M40/H40/(0.9*8760)</f>
        <v>17.114470152035651</v>
      </c>
      <c r="AI40">
        <f>N40/H40</f>
        <v>0.80688022418708016</v>
      </c>
      <c r="AJ40" s="1" t="e">
        <f>AY40+BB40+BC40-AW40+#REF!+#REF!</f>
        <v>#REF!</v>
      </c>
      <c r="AK40" s="1" t="e">
        <f>(P40+Q40)*-1*(J40+#REF!)/H40</f>
        <v>#REF!</v>
      </c>
      <c r="AL40" t="e">
        <f>AJ40*P40</f>
        <v>#REF!</v>
      </c>
      <c r="AM40">
        <f>SUM(AY40:BB40)-AW40</f>
        <v>-0.55371782240680512</v>
      </c>
      <c r="AN40" s="1" t="e">
        <f>(J40+#REF!)/H40*-1*Q40</f>
        <v>#REF!</v>
      </c>
      <c r="AO40">
        <f>AM40*P40</f>
        <v>-60.620913684943432</v>
      </c>
      <c r="AQ40" s="9">
        <f>I40</f>
        <v>1.806</v>
      </c>
      <c r="AR40" s="9">
        <v>0.243968185</v>
      </c>
      <c r="AS40" s="9">
        <v>0.24942761299999999</v>
      </c>
      <c r="AT40" s="10">
        <v>0.24635668499999999</v>
      </c>
      <c r="AU40" s="9">
        <v>0.23037490999999999</v>
      </c>
      <c r="AW40" s="10">
        <f>AQ40/H40</f>
        <v>0.87259023046818374</v>
      </c>
      <c r="AY40" s="10">
        <f>AU40</f>
        <v>0.23037490999999999</v>
      </c>
      <c r="AZ40" s="10"/>
      <c r="BA40" s="10"/>
      <c r="BB40" s="10">
        <f>K40/H40</f>
        <v>8.8497498061378604E-2</v>
      </c>
      <c r="BC40" s="10">
        <f>J40/H40</f>
        <v>0.55371946900232694</v>
      </c>
      <c r="BE40" t="e">
        <f>#REF!-#REF!</f>
        <v>#REF!</v>
      </c>
    </row>
    <row r="41" spans="2:57" x14ac:dyDescent="0.2">
      <c r="B41" s="13" t="s">
        <v>54</v>
      </c>
      <c r="C41" s="12" t="s">
        <v>49</v>
      </c>
      <c r="D41" s="12">
        <v>0</v>
      </c>
      <c r="E41" s="12">
        <v>0.26319999999999999</v>
      </c>
      <c r="F41" s="12"/>
      <c r="G41" s="12"/>
      <c r="H41" s="12">
        <v>2.0750999999999999</v>
      </c>
      <c r="I41" s="12">
        <v>1.802</v>
      </c>
      <c r="J41" s="12">
        <v>1.141503111940444</v>
      </c>
      <c r="K41" s="12">
        <v>0.1824392586701383</v>
      </c>
      <c r="L41" s="12">
        <v>520155.64</v>
      </c>
      <c r="M41" s="12">
        <v>279265.62</v>
      </c>
      <c r="N41" s="12">
        <v>1.67</v>
      </c>
      <c r="P41" s="15">
        <v>109.479795</v>
      </c>
      <c r="Q41" s="15">
        <v>-41.717134999999999</v>
      </c>
      <c r="R41" s="15">
        <v>170</v>
      </c>
      <c r="S41" s="15">
        <v>104.167382</v>
      </c>
      <c r="T41" s="15">
        <v>115.52638899999999</v>
      </c>
      <c r="U41" s="15">
        <v>92.044978</v>
      </c>
      <c r="V41" s="15">
        <v>30.708172999999999</v>
      </c>
      <c r="X41" t="str">
        <f>B41</f>
        <v>CA_Gasoline_Gasification_Non_CCS_Herb</v>
      </c>
      <c r="Y41" t="str">
        <f>C41</f>
        <v>Biomass_Wood</v>
      </c>
      <c r="Z41" s="11" t="e">
        <f t="shared" si="2"/>
        <v>#REF!</v>
      </c>
      <c r="AA41" s="11" t="e">
        <f t="shared" si="3"/>
        <v>#REF!</v>
      </c>
      <c r="AB41" s="5" t="e">
        <f>Z41-AA41</f>
        <v>#REF!</v>
      </c>
      <c r="AC41">
        <f>D41/H41*V41*-1</f>
        <v>0</v>
      </c>
      <c r="AD41">
        <f>E41/H41*V41</f>
        <v>3.8949405491783522</v>
      </c>
      <c r="AE41" s="1" cm="1">
        <f t="array" ref="AE41">_xlfn.IFS(C41="Biomass_Corn", 1/H41*R41, C41="Biomass_Agri", 1/H41*U41, C41="Biomass_Wood", 1/H41*T41, C41="Biomass_Herb", 1/H41*S41)</f>
        <v>55.672685171798946</v>
      </c>
      <c r="AF41" t="e">
        <f>#REF!/H41*#REF!</f>
        <v>#REF!</v>
      </c>
      <c r="AG41">
        <f>L41/H41/(0.9*8760)</f>
        <v>31.794182725809723</v>
      </c>
      <c r="AH41">
        <f>M41/H41/(0.9*8760)</f>
        <v>17.069933436300992</v>
      </c>
      <c r="AI41">
        <f>N41/H41</f>
        <v>0.80478049250638517</v>
      </c>
      <c r="AJ41" s="1" t="e">
        <f>AY41+BB41+BC41-AW41+#REF!+#REF!</f>
        <v>#REF!</v>
      </c>
      <c r="AK41" s="1" t="e">
        <f>(P41+Q41)*-1*(J41+#REF!)/H41</f>
        <v>#REF!</v>
      </c>
      <c r="AL41" t="e">
        <f>AJ41*P41</f>
        <v>#REF!</v>
      </c>
      <c r="AM41">
        <f>SUM(AY41:BB41)-AW41</f>
        <v>-0.55009867745595964</v>
      </c>
      <c r="AN41" s="1" t="e">
        <f>(J41+#REF!)/H41*-1*Q41</f>
        <v>#REF!</v>
      </c>
      <c r="AO41">
        <f>AM41*P41</f>
        <v>-60.224690437649578</v>
      </c>
      <c r="AQ41" s="9">
        <f>I41</f>
        <v>1.802</v>
      </c>
      <c r="AR41" s="9">
        <v>0.243968185</v>
      </c>
      <c r="AS41" s="9">
        <v>0.24942761299999999</v>
      </c>
      <c r="AT41" s="10">
        <v>0.24635668499999999</v>
      </c>
      <c r="AU41" s="9">
        <v>0.23037490999999999</v>
      </c>
      <c r="AW41" s="10">
        <f>AQ41/H41</f>
        <v>0.86839188472844686</v>
      </c>
      <c r="AY41" s="10">
        <f>AU41</f>
        <v>0.23037490999999999</v>
      </c>
      <c r="AZ41" s="10"/>
      <c r="BA41" s="10"/>
      <c r="BB41" s="10">
        <f>K41/H41</f>
        <v>8.7918297272487261E-2</v>
      </c>
      <c r="BC41" s="10">
        <f>J41/H41</f>
        <v>0.55009547103293532</v>
      </c>
      <c r="BE41" t="e">
        <f>#REF!-#REF!</f>
        <v>#REF!</v>
      </c>
    </row>
    <row r="42" spans="2:57" x14ac:dyDescent="0.2">
      <c r="B42" s="13" t="s">
        <v>54</v>
      </c>
      <c r="C42" s="12" t="s">
        <v>49</v>
      </c>
      <c r="D42" s="12">
        <v>0</v>
      </c>
      <c r="E42" s="12">
        <v>0.26319999999999999</v>
      </c>
      <c r="F42" s="12"/>
      <c r="G42" s="12"/>
      <c r="H42" s="12">
        <v>2.0838000000000001</v>
      </c>
      <c r="I42" s="12">
        <v>1.821</v>
      </c>
      <c r="J42" s="12">
        <v>1.15615487505457</v>
      </c>
      <c r="K42" s="12">
        <v>0.18478095776214309</v>
      </c>
      <c r="L42" s="12">
        <v>520155.64</v>
      </c>
      <c r="M42" s="12">
        <v>279265.62</v>
      </c>
      <c r="N42" s="12">
        <v>1.67</v>
      </c>
      <c r="P42" s="15">
        <v>109.479795</v>
      </c>
      <c r="Q42" s="15">
        <v>-47.70091</v>
      </c>
      <c r="R42" s="15">
        <v>170</v>
      </c>
      <c r="S42" s="15">
        <v>99.632842999999994</v>
      </c>
      <c r="T42" s="15">
        <v>113.227017</v>
      </c>
      <c r="U42" s="15">
        <v>88.855315000000004</v>
      </c>
      <c r="V42" s="15">
        <v>38.218446</v>
      </c>
      <c r="X42" t="str">
        <f>B42</f>
        <v>CA_Gasoline_Gasification_Non_CCS_Herb</v>
      </c>
      <c r="Y42" t="str">
        <f>C42</f>
        <v>Biomass_Wood</v>
      </c>
      <c r="Z42" s="11" t="e">
        <f t="shared" si="2"/>
        <v>#REF!</v>
      </c>
      <c r="AA42" s="11" t="e">
        <f t="shared" si="3"/>
        <v>#REF!</v>
      </c>
      <c r="AB42" s="5" t="e">
        <f>Z42-AA42</f>
        <v>#REF!</v>
      </c>
      <c r="AC42">
        <f>D42/H42*V42*-1</f>
        <v>0</v>
      </c>
      <c r="AD42">
        <f>E42/H42*V42</f>
        <v>4.8272842821767918</v>
      </c>
      <c r="AE42" s="1" cm="1">
        <f t="array" ref="AE42">_xlfn.IFS(C42="Biomass_Corn", 1/H42*R42, C42="Biomass_Agri", 1/H42*U42, C42="Biomass_Wood", 1/H42*T42, C42="Biomass_Herb", 1/H42*S42)</f>
        <v>54.336796717535272</v>
      </c>
      <c r="AF42" t="e">
        <f>#REF!/H42*#REF!</f>
        <v>#REF!</v>
      </c>
      <c r="AG42">
        <f>L42/H42/(0.9*8760)</f>
        <v>31.661439953127818</v>
      </c>
      <c r="AH42">
        <f>M42/H42/(0.9*8760)</f>
        <v>16.998665358320466</v>
      </c>
      <c r="AI42">
        <f>N42/H42</f>
        <v>0.80142048181207404</v>
      </c>
      <c r="AJ42" s="1" t="e">
        <f>AY42+BB42+BC42-AW42+#REF!+#REF!</f>
        <v>#REF!</v>
      </c>
      <c r="AK42" s="1" t="e">
        <f>(P42+Q42)*-1*(J42+#REF!)/H42</f>
        <v>#REF!</v>
      </c>
      <c r="AL42" t="e">
        <f>AJ42*P42</f>
        <v>#REF!</v>
      </c>
      <c r="AM42">
        <f>SUM(AY42:BB42)-AW42</f>
        <v>-0.55483434340140936</v>
      </c>
      <c r="AN42" s="1" t="e">
        <f>(J42+#REF!)/H42*-1*Q42</f>
        <v>#REF!</v>
      </c>
      <c r="AO42">
        <f>AM42*P42</f>
        <v>-60.743150174545896</v>
      </c>
      <c r="AQ42" s="9">
        <f>I42</f>
        <v>1.821</v>
      </c>
      <c r="AR42" s="9">
        <v>0.243968185</v>
      </c>
      <c r="AS42" s="9">
        <v>0.24942761299999999</v>
      </c>
      <c r="AT42" s="10">
        <v>0.24635668499999999</v>
      </c>
      <c r="AU42" s="9">
        <v>0.23037490999999999</v>
      </c>
      <c r="AW42" s="10">
        <f>AQ42/H42</f>
        <v>0.87388424992801605</v>
      </c>
      <c r="AY42" s="10">
        <f>AU42</f>
        <v>0.23037490999999999</v>
      </c>
      <c r="AZ42" s="10"/>
      <c r="BA42" s="10"/>
      <c r="BB42" s="10">
        <f>K42/H42</f>
        <v>8.8674996526606722E-2</v>
      </c>
      <c r="BC42" s="10">
        <f>J42/H42</f>
        <v>0.55483005809318076</v>
      </c>
      <c r="BE42" t="e">
        <f>#REF!-#REF!</f>
        <v>#REF!</v>
      </c>
    </row>
    <row r="43" spans="2:57" x14ac:dyDescent="0.2">
      <c r="B43" s="13" t="s">
        <v>54</v>
      </c>
      <c r="C43" s="12" t="s">
        <v>49</v>
      </c>
      <c r="D43" s="12">
        <v>0</v>
      </c>
      <c r="E43" s="12">
        <v>0.26319999999999999</v>
      </c>
      <c r="F43" s="12"/>
      <c r="G43" s="12"/>
      <c r="H43" s="12">
        <v>2.0577000000000001</v>
      </c>
      <c r="I43" s="12">
        <v>1.821</v>
      </c>
      <c r="J43" s="12">
        <v>1.1613449857121929</v>
      </c>
      <c r="K43" s="12">
        <v>0.1856104604861287</v>
      </c>
      <c r="L43" s="12">
        <v>520155.64</v>
      </c>
      <c r="M43" s="12">
        <v>279265.62</v>
      </c>
      <c r="N43" s="12">
        <v>1.67</v>
      </c>
      <c r="P43" s="15">
        <v>109.479795</v>
      </c>
      <c r="Q43" s="15">
        <v>-21.506692000000001</v>
      </c>
      <c r="R43" s="15">
        <v>170</v>
      </c>
      <c r="S43" s="15">
        <v>137.93464800000001</v>
      </c>
      <c r="T43" s="15">
        <v>157.881351</v>
      </c>
      <c r="U43" s="15">
        <v>111.364845</v>
      </c>
      <c r="V43" s="15">
        <v>20.230252</v>
      </c>
      <c r="X43" t="str">
        <f>B43</f>
        <v>CA_Gasoline_Gasification_Non_CCS_Herb</v>
      </c>
      <c r="Y43" t="str">
        <f>C43</f>
        <v>Biomass_Wood</v>
      </c>
      <c r="Z43" s="11" t="e">
        <f t="shared" si="2"/>
        <v>#REF!</v>
      </c>
      <c r="AA43" s="11" t="e">
        <f t="shared" si="3"/>
        <v>#REF!</v>
      </c>
      <c r="AB43" s="5" t="e">
        <f>Z43-AA43</f>
        <v>#REF!</v>
      </c>
      <c r="AC43">
        <f>D43/H43*V43*-1</f>
        <v>0</v>
      </c>
      <c r="AD43">
        <f>E43/H43*V43</f>
        <v>2.5876475319045533</v>
      </c>
      <c r="AE43" s="1" cm="1">
        <f t="array" ref="AE43">_xlfn.IFS(C43="Biomass_Corn", 1/H43*R43, C43="Biomass_Agri", 1/H43*U43, C43="Biomass_Wood", 1/H43*T43, C43="Biomass_Herb", 1/H43*S43)</f>
        <v>76.727098702434745</v>
      </c>
      <c r="AF43" t="e">
        <f>#REF!/H43*#REF!</f>
        <v>#REF!</v>
      </c>
      <c r="AG43">
        <f>L43/H43/(0.9*8760)</f>
        <v>32.063035707016454</v>
      </c>
      <c r="AH43">
        <f>M43/H43/(0.9*8760)</f>
        <v>17.214277530090971</v>
      </c>
      <c r="AI43">
        <f>N43/H43</f>
        <v>0.81158575108130426</v>
      </c>
      <c r="AJ43" s="1" t="e">
        <f>AY43+BB43+BC43-AW43+#REF!+#REF!</f>
        <v>#REF!</v>
      </c>
      <c r="AK43" s="1" t="e">
        <f>(P43+Q43)*-1*(J43+#REF!)/H43</f>
        <v>#REF!</v>
      </c>
      <c r="AL43" t="e">
        <f>AJ43*P43</f>
        <v>#REF!</v>
      </c>
      <c r="AM43">
        <f>SUM(AY43:BB43)-AW43</f>
        <v>-0.56439086708794828</v>
      </c>
      <c r="AN43" s="1" t="e">
        <f>(J43+#REF!)/H43*-1*Q43</f>
        <v>#REF!</v>
      </c>
      <c r="AO43">
        <f>AM43*P43</f>
        <v>-61.789396428660822</v>
      </c>
      <c r="AQ43" s="9">
        <f>I43</f>
        <v>1.821</v>
      </c>
      <c r="AR43" s="9">
        <v>0.243968185</v>
      </c>
      <c r="AS43" s="9">
        <v>0.24942761299999999</v>
      </c>
      <c r="AT43" s="10">
        <v>0.24635668499999999</v>
      </c>
      <c r="AU43" s="9">
        <v>0.23037490999999999</v>
      </c>
      <c r="AW43" s="10">
        <f>AQ43/H43</f>
        <v>0.88496865432278748</v>
      </c>
      <c r="AY43" s="10">
        <f>AU43</f>
        <v>0.23037490999999999</v>
      </c>
      <c r="AZ43" s="10"/>
      <c r="BA43" s="10"/>
      <c r="BB43" s="10">
        <f>K43/H43</f>
        <v>9.0202877234839232E-2</v>
      </c>
      <c r="BC43" s="10">
        <f>J43/H43</f>
        <v>0.56438984580463281</v>
      </c>
      <c r="BE43" t="e">
        <f>#REF!-#REF!</f>
        <v>#REF!</v>
      </c>
    </row>
    <row r="44" spans="2:57" x14ac:dyDescent="0.2">
      <c r="B44" s="13" t="s">
        <v>54</v>
      </c>
      <c r="C44" s="12" t="s">
        <v>50</v>
      </c>
      <c r="D44" s="12">
        <v>0</v>
      </c>
      <c r="E44" s="12">
        <v>0.26319999999999999</v>
      </c>
      <c r="F44" s="12"/>
      <c r="G44" s="12"/>
      <c r="H44" s="12">
        <v>1.8694</v>
      </c>
      <c r="I44" s="12">
        <v>1.7</v>
      </c>
      <c r="J44" s="12">
        <v>1.094430833369225</v>
      </c>
      <c r="K44" s="12">
        <v>0.17491599262152541</v>
      </c>
      <c r="L44" s="12">
        <v>520155.64</v>
      </c>
      <c r="M44" s="12">
        <v>279265.62</v>
      </c>
      <c r="N44" s="12">
        <v>1.67</v>
      </c>
      <c r="P44" s="15">
        <v>109.479795</v>
      </c>
      <c r="Q44" s="15">
        <v>-31.70346</v>
      </c>
      <c r="R44" s="15">
        <v>170</v>
      </c>
      <c r="S44" s="15">
        <v>110.461518</v>
      </c>
      <c r="T44" s="15">
        <v>127.408748</v>
      </c>
      <c r="U44" s="15">
        <v>98.832477999999995</v>
      </c>
      <c r="V44" s="15">
        <v>25.324636999999999</v>
      </c>
      <c r="X44" t="str">
        <f>B44</f>
        <v>CA_Gasoline_Gasification_Non_CCS_Herb</v>
      </c>
      <c r="Y44" t="str">
        <f>C44</f>
        <v>Biomass_Agri</v>
      </c>
      <c r="Z44" s="11" t="e">
        <f t="shared" si="2"/>
        <v>#REF!</v>
      </c>
      <c r="AA44" s="11" t="e">
        <f t="shared" si="3"/>
        <v>#REF!</v>
      </c>
      <c r="AB44" s="5" t="e">
        <f>Z44-AA44</f>
        <v>#REF!</v>
      </c>
      <c r="AC44">
        <f>D44/H44*V44*-1</f>
        <v>0</v>
      </c>
      <c r="AD44">
        <f>E44/H44*V44</f>
        <v>3.5655528289290683</v>
      </c>
      <c r="AE44" s="1" cm="1">
        <f t="array" ref="AE44">_xlfn.IFS(C44="Biomass_Corn", 1/H44*R44, C44="Biomass_Agri", 1/H44*U44, C44="Biomass_Wood", 1/H44*T44, C44="Biomass_Herb", 1/H44*S44)</f>
        <v>52.868555686316462</v>
      </c>
      <c r="AF44" t="e">
        <f>#REF!/H44*#REF!</f>
        <v>#REF!</v>
      </c>
      <c r="AG44">
        <f>L44/H44/(0.9*8760)</f>
        <v>35.292665333437341</v>
      </c>
      <c r="AH44">
        <f>M44/H44/(0.9*8760)</f>
        <v>18.94822877590039</v>
      </c>
      <c r="AI44">
        <f>N44/H44</f>
        <v>0.89333475981598376</v>
      </c>
      <c r="AJ44" s="1" t="e">
        <f>AY44+BB44+BC44-AW44+#REF!+#REF!</f>
        <v>#REF!</v>
      </c>
      <c r="AK44" s="1" t="e">
        <f>(P44+Q44)*-1*(J44+#REF!)/H44</f>
        <v>#REF!</v>
      </c>
      <c r="AL44" t="e">
        <f>AJ44*P44</f>
        <v>#REF!</v>
      </c>
      <c r="AM44">
        <f>SUM(AY44:BB44)-AW44</f>
        <v>-0.58543979385068723</v>
      </c>
      <c r="AN44" s="1" t="e">
        <f>(J44+#REF!)/H44*-1*Q44</f>
        <v>#REF!</v>
      </c>
      <c r="AO44">
        <f>AM44*P44</f>
        <v>-64.093828615615493</v>
      </c>
      <c r="AQ44" s="9">
        <f>I44</f>
        <v>1.7</v>
      </c>
      <c r="AR44" s="9">
        <v>0.243968185</v>
      </c>
      <c r="AS44" s="9">
        <v>0.24942761299999999</v>
      </c>
      <c r="AT44" s="10">
        <v>0.24635668499999999</v>
      </c>
      <c r="AU44" s="9">
        <v>0.23037490999999999</v>
      </c>
      <c r="AW44" s="10">
        <f>AQ44/H44</f>
        <v>0.90938268963303737</v>
      </c>
      <c r="AY44" s="10">
        <f>AU44</f>
        <v>0.23037490999999999</v>
      </c>
      <c r="AZ44" s="10"/>
      <c r="BA44" s="10"/>
      <c r="BB44" s="10">
        <f>K44/H44</f>
        <v>9.3567985782350177E-2</v>
      </c>
      <c r="BC44" s="10">
        <f>J44/H44</f>
        <v>0.58544497345096025</v>
      </c>
      <c r="BE44" t="e">
        <f>#REF!-#REF!</f>
        <v>#REF!</v>
      </c>
    </row>
    <row r="45" spans="2:57" x14ac:dyDescent="0.2">
      <c r="B45" s="13" t="s">
        <v>54</v>
      </c>
      <c r="C45" s="12" t="s">
        <v>50</v>
      </c>
      <c r="D45" s="12">
        <v>0</v>
      </c>
      <c r="E45" s="12">
        <v>0.26319999999999999</v>
      </c>
      <c r="F45" s="12"/>
      <c r="G45" s="12"/>
      <c r="H45" s="12">
        <v>1.8813</v>
      </c>
      <c r="I45" s="12">
        <v>1.708</v>
      </c>
      <c r="J45" s="12">
        <v>1.0989496326511481</v>
      </c>
      <c r="K45" s="12">
        <v>0.175638203873032</v>
      </c>
      <c r="L45" s="12">
        <v>520155.64</v>
      </c>
      <c r="M45" s="12">
        <v>279265.62</v>
      </c>
      <c r="N45" s="12">
        <v>1.67</v>
      </c>
      <c r="P45" s="15">
        <v>109.479795</v>
      </c>
      <c r="Q45" s="15">
        <v>-54.115442999999999</v>
      </c>
      <c r="R45" s="15">
        <v>170</v>
      </c>
      <c r="S45" s="15">
        <v>100.77374399999999</v>
      </c>
      <c r="T45" s="15">
        <v>108.668072</v>
      </c>
      <c r="U45" s="15">
        <v>89.424565000000001</v>
      </c>
      <c r="V45" s="15">
        <v>39.359471999999997</v>
      </c>
      <c r="X45" t="str">
        <f>B45</f>
        <v>CA_Gasoline_Gasification_Non_CCS_Herb</v>
      </c>
      <c r="Y45" t="str">
        <f>C45</f>
        <v>Biomass_Agri</v>
      </c>
      <c r="Z45" s="11" t="e">
        <f t="shared" si="2"/>
        <v>#REF!</v>
      </c>
      <c r="AA45" s="11" t="e">
        <f t="shared" si="3"/>
        <v>#REF!</v>
      </c>
      <c r="AB45" s="5" t="e">
        <f>Z45-AA45</f>
        <v>#REF!</v>
      </c>
      <c r="AC45">
        <f>D45/H45*V45*-1</f>
        <v>0</v>
      </c>
      <c r="AD45">
        <f>E45/H45*V45</f>
        <v>5.506518381119438</v>
      </c>
      <c r="AE45" s="1" cm="1">
        <f t="array" ref="AE45">_xlfn.IFS(C45="Biomass_Corn", 1/H45*R45, C45="Biomass_Agri", 1/H45*U45, C45="Biomass_Wood", 1/H45*T45, C45="Biomass_Herb", 1/H45*S45)</f>
        <v>47.53338914580344</v>
      </c>
      <c r="AF45" t="e">
        <f>#REF!/H45*#REF!</f>
        <v>#REF!</v>
      </c>
      <c r="AG45">
        <f>L45/H45/(0.9*8760)</f>
        <v>35.069424639519347</v>
      </c>
      <c r="AH45">
        <f>M45/H45/(0.9*8760)</f>
        <v>18.828373398005734</v>
      </c>
      <c r="AI45">
        <f>N45/H45</f>
        <v>0.88768404826449798</v>
      </c>
      <c r="AJ45" s="1" t="e">
        <f>AY45+BB45+BC45-AW45+#REF!+#REF!</f>
        <v>#REF!</v>
      </c>
      <c r="AK45" s="1" t="e">
        <f>(P45+Q45)*-1*(J45+#REF!)/H45</f>
        <v>#REF!</v>
      </c>
      <c r="AL45" t="e">
        <f>AJ45*P45</f>
        <v>#REF!</v>
      </c>
      <c r="AM45">
        <f>SUM(AY45:BB45)-AW45</f>
        <v>-0.58414791789930787</v>
      </c>
      <c r="AN45" s="1" t="e">
        <f>(J45+#REF!)/H45*-1*Q45</f>
        <v>#REF!</v>
      </c>
      <c r="AO45">
        <f>AM45*P45</f>
        <v>-63.952394301293054</v>
      </c>
      <c r="AQ45" s="9">
        <f>I45</f>
        <v>1.708</v>
      </c>
      <c r="AR45" s="9">
        <v>0.243968185</v>
      </c>
      <c r="AS45" s="9">
        <v>0.24942761299999999</v>
      </c>
      <c r="AT45" s="10">
        <v>0.24635668499999999</v>
      </c>
      <c r="AU45" s="9">
        <v>0.23037490999999999</v>
      </c>
      <c r="AW45" s="10">
        <f>AQ45/H45</f>
        <v>0.90788284696752242</v>
      </c>
      <c r="AY45" s="10">
        <f>AU45</f>
        <v>0.23037490999999999</v>
      </c>
      <c r="AZ45" s="10"/>
      <c r="BA45" s="10"/>
      <c r="BB45" s="10">
        <f>K45/H45</f>
        <v>9.3360019068214534E-2</v>
      </c>
      <c r="BC45" s="10">
        <f>J45/H45</f>
        <v>0.58414374775482281</v>
      </c>
      <c r="BE45" t="e">
        <f>#REF!-#REF!</f>
        <v>#REF!</v>
      </c>
    </row>
    <row r="46" spans="2:57" x14ac:dyDescent="0.2">
      <c r="B46" s="13" t="s">
        <v>54</v>
      </c>
      <c r="C46" s="12" t="s">
        <v>50</v>
      </c>
      <c r="D46" s="12">
        <v>0</v>
      </c>
      <c r="E46" s="12">
        <v>0.26319999999999999</v>
      </c>
      <c r="F46" s="12"/>
      <c r="G46" s="12"/>
      <c r="H46" s="12">
        <v>1.8835</v>
      </c>
      <c r="I46" s="12">
        <v>1.71</v>
      </c>
      <c r="J46" s="12">
        <v>1.100241523429679</v>
      </c>
      <c r="K46" s="12">
        <v>0.1758446786460332</v>
      </c>
      <c r="L46" s="12">
        <v>520155.64</v>
      </c>
      <c r="M46" s="12">
        <v>279265.62</v>
      </c>
      <c r="N46" s="12">
        <v>1.67</v>
      </c>
      <c r="P46" s="15">
        <v>109.479795</v>
      </c>
      <c r="Q46" s="15">
        <v>-41.717134999999999</v>
      </c>
      <c r="R46" s="15">
        <v>170</v>
      </c>
      <c r="S46" s="15">
        <v>104.167382</v>
      </c>
      <c r="T46" s="15">
        <v>115.52638899999999</v>
      </c>
      <c r="U46" s="15">
        <v>92.044978</v>
      </c>
      <c r="V46" s="15">
        <v>30.708172999999999</v>
      </c>
      <c r="X46" t="str">
        <f>B46</f>
        <v>CA_Gasoline_Gasification_Non_CCS_Herb</v>
      </c>
      <c r="Y46" t="str">
        <f>C46</f>
        <v>Biomass_Agri</v>
      </c>
      <c r="Z46" s="11" t="e">
        <f t="shared" si="2"/>
        <v>#REF!</v>
      </c>
      <c r="AA46" s="11" t="e">
        <f t="shared" si="3"/>
        <v>#REF!</v>
      </c>
      <c r="AB46" s="5" t="e">
        <f>Z46-AA46</f>
        <v>#REF!</v>
      </c>
      <c r="AC46">
        <f>D46/H46*V46*-1</f>
        <v>0</v>
      </c>
      <c r="AD46">
        <f>E46/H46*V46</f>
        <v>4.2911553669232809</v>
      </c>
      <c r="AE46" s="1" cm="1">
        <f t="array" ref="AE46">_xlfn.IFS(C46="Biomass_Corn", 1/H46*R46, C46="Biomass_Agri", 1/H46*U46, C46="Biomass_Wood", 1/H46*T46, C46="Biomass_Herb", 1/H46*S46)</f>
        <v>48.869114945580044</v>
      </c>
      <c r="AF46" t="e">
        <f>#REF!/H46*#REF!</f>
        <v>#REF!</v>
      </c>
      <c r="AG46">
        <f>L46/H46/(0.9*8760)</f>
        <v>35.028462210951822</v>
      </c>
      <c r="AH46">
        <f>M46/H46/(0.9*8760)</f>
        <v>18.806381138130178</v>
      </c>
      <c r="AI46">
        <f>N46/H46</f>
        <v>0.88664719936288827</v>
      </c>
      <c r="AJ46" s="1" t="e">
        <f>AY46+BB46+BC46-AW46+#REF!+#REF!</f>
        <v>#REF!</v>
      </c>
      <c r="AK46" s="1" t="e">
        <f>(P46+Q46)*-1*(J46+#REF!)/H46</f>
        <v>#REF!</v>
      </c>
      <c r="AL46" t="e">
        <f>AJ46*P46</f>
        <v>#REF!</v>
      </c>
      <c r="AM46">
        <f>SUM(AY46:BB46)-AW46</f>
        <v>-0.58414875411147693</v>
      </c>
      <c r="AN46" s="1" t="e">
        <f>(J46+#REF!)/H46*-1*Q46</f>
        <v>#REF!</v>
      </c>
      <c r="AO46">
        <f>AM46*P46</f>
        <v>-63.952485849629902</v>
      </c>
      <c r="AQ46" s="9">
        <f>I46</f>
        <v>1.71</v>
      </c>
      <c r="AR46" s="9">
        <v>0.243968185</v>
      </c>
      <c r="AS46" s="9">
        <v>0.24942761299999999</v>
      </c>
      <c r="AT46" s="10">
        <v>0.24635668499999999</v>
      </c>
      <c r="AU46" s="9">
        <v>0.23037490999999999</v>
      </c>
      <c r="AW46" s="10">
        <f>AQ46/H46</f>
        <v>0.90788425803026285</v>
      </c>
      <c r="AY46" s="10">
        <f>AU46</f>
        <v>0.23037490999999999</v>
      </c>
      <c r="AZ46" s="10"/>
      <c r="BA46" s="10"/>
      <c r="BB46" s="10">
        <f>K46/H46</f>
        <v>9.3360593918785886E-2</v>
      </c>
      <c r="BC46" s="10">
        <f>J46/H46</f>
        <v>0.58414734453394157</v>
      </c>
      <c r="BE46" t="e">
        <f>#REF!-#REF!</f>
        <v>#REF!</v>
      </c>
    </row>
    <row r="47" spans="2:57" x14ac:dyDescent="0.2">
      <c r="B47" s="13" t="s">
        <v>54</v>
      </c>
      <c r="C47" s="12" t="s">
        <v>50</v>
      </c>
      <c r="D47" s="12">
        <v>0</v>
      </c>
      <c r="E47" s="12">
        <v>0.26319999999999999</v>
      </c>
      <c r="F47" s="12"/>
      <c r="G47" s="12"/>
      <c r="H47" s="12">
        <v>1.8758999999999999</v>
      </c>
      <c r="I47" s="12">
        <v>1.6890000000000001</v>
      </c>
      <c r="J47" s="12">
        <v>1.083649105704819</v>
      </c>
      <c r="K47" s="12">
        <v>0.17319281694052899</v>
      </c>
      <c r="L47" s="12">
        <v>520155.64</v>
      </c>
      <c r="M47" s="12">
        <v>279265.62</v>
      </c>
      <c r="N47" s="12">
        <v>1.67</v>
      </c>
      <c r="P47" s="15">
        <v>109.479795</v>
      </c>
      <c r="Q47" s="15">
        <v>-47.70091</v>
      </c>
      <c r="R47" s="15">
        <v>170</v>
      </c>
      <c r="S47" s="15">
        <v>99.632842999999994</v>
      </c>
      <c r="T47" s="15">
        <v>113.227017</v>
      </c>
      <c r="U47" s="15">
        <v>88.855315000000004</v>
      </c>
      <c r="V47" s="15">
        <v>38.218446</v>
      </c>
      <c r="X47" t="str">
        <f>B47</f>
        <v>CA_Gasoline_Gasification_Non_CCS_Herb</v>
      </c>
      <c r="Y47" t="str">
        <f>C47</f>
        <v>Biomass_Agri</v>
      </c>
      <c r="Z47" s="11" t="e">
        <f t="shared" si="2"/>
        <v>#REF!</v>
      </c>
      <c r="AA47" s="11" t="e">
        <f t="shared" si="3"/>
        <v>#REF!</v>
      </c>
      <c r="AB47" s="5" t="e">
        <f>Z47-AA47</f>
        <v>#REF!</v>
      </c>
      <c r="AC47">
        <f>D47/H47*V47*-1</f>
        <v>0</v>
      </c>
      <c r="AD47">
        <f>E47/H47*V47</f>
        <v>5.3622767669918439</v>
      </c>
      <c r="AE47" s="1" cm="1">
        <f t="array" ref="AE47">_xlfn.IFS(C47="Biomass_Corn", 1/H47*R47, C47="Biomass_Agri", 1/H47*U47, C47="Biomass_Wood", 1/H47*T47, C47="Biomass_Herb", 1/H47*S47)</f>
        <v>47.36676528599606</v>
      </c>
      <c r="AF47" t="e">
        <f>#REF!/H47*#REF!</f>
        <v>#REF!</v>
      </c>
      <c r="AG47">
        <f>L47/H47/(0.9*8760)</f>
        <v>35.170376125767767</v>
      </c>
      <c r="AH47">
        <f>M47/H47/(0.9*8760)</f>
        <v>18.88257309753622</v>
      </c>
      <c r="AI47">
        <f>N47/H47</f>
        <v>0.89023935177781333</v>
      </c>
      <c r="AJ47" s="1" t="e">
        <f>AY47+BB47+BC47-AW47+#REF!+#REF!</f>
        <v>#REF!</v>
      </c>
      <c r="AK47" s="1" t="e">
        <f>(P47+Q47)*-1*(J47+#REF!)/H47</f>
        <v>#REF!</v>
      </c>
      <c r="AL47" t="e">
        <f>AJ47*P47</f>
        <v>#REF!</v>
      </c>
      <c r="AM47">
        <f>SUM(AY47:BB47)-AW47</f>
        <v>-0.57766772716587833</v>
      </c>
      <c r="AN47" s="1" t="e">
        <f>(J47+#REF!)/H47*-1*Q47</f>
        <v>#REF!</v>
      </c>
      <c r="AO47">
        <f>AM47*P47</f>
        <v>-63.242944348236286</v>
      </c>
      <c r="AQ47" s="9">
        <f>I47</f>
        <v>1.6890000000000001</v>
      </c>
      <c r="AR47" s="9">
        <v>0.243968185</v>
      </c>
      <c r="AS47" s="9">
        <v>0.24942761299999999</v>
      </c>
      <c r="AT47" s="10">
        <v>0.24635668499999999</v>
      </c>
      <c r="AU47" s="9">
        <v>0.23037490999999999</v>
      </c>
      <c r="AW47" s="10">
        <f>AQ47/H47</f>
        <v>0.90036782344474664</v>
      </c>
      <c r="AY47" s="10">
        <f>AU47</f>
        <v>0.23037490999999999</v>
      </c>
      <c r="AZ47" s="10"/>
      <c r="BA47" s="10"/>
      <c r="BB47" s="10">
        <f>K47/H47</f>
        <v>9.2325186278868279E-2</v>
      </c>
      <c r="BC47" s="10">
        <f>J47/H47</f>
        <v>0.57766890863309295</v>
      </c>
      <c r="BE47" t="e">
        <f>#REF!-#REF!</f>
        <v>#REF!</v>
      </c>
    </row>
    <row r="48" spans="2:57" x14ac:dyDescent="0.2">
      <c r="B48" s="13" t="s">
        <v>54</v>
      </c>
      <c r="C48" s="12" t="s">
        <v>50</v>
      </c>
      <c r="D48" s="12">
        <v>0</v>
      </c>
      <c r="E48" s="12">
        <v>0.26319999999999999</v>
      </c>
      <c r="F48" s="12"/>
      <c r="G48" s="12"/>
      <c r="H48" s="12">
        <v>1.8062</v>
      </c>
      <c r="I48" s="12">
        <v>1.633</v>
      </c>
      <c r="J48" s="12">
        <v>1.0492062007918139</v>
      </c>
      <c r="K48" s="12">
        <v>0.1676880242044908</v>
      </c>
      <c r="L48" s="12">
        <v>520155.64</v>
      </c>
      <c r="M48" s="12">
        <v>279265.62</v>
      </c>
      <c r="N48" s="12">
        <v>1.67</v>
      </c>
      <c r="P48" s="15">
        <v>109.479795</v>
      </c>
      <c r="Q48" s="15">
        <v>-21.506692000000001</v>
      </c>
      <c r="R48" s="15">
        <v>170</v>
      </c>
      <c r="S48" s="15">
        <v>137.93464800000001</v>
      </c>
      <c r="T48" s="15">
        <v>157.881351</v>
      </c>
      <c r="U48" s="15">
        <v>111.364845</v>
      </c>
      <c r="V48" s="15">
        <v>20.230252</v>
      </c>
      <c r="X48" t="str">
        <f>B48</f>
        <v>CA_Gasoline_Gasification_Non_CCS_Herb</v>
      </c>
      <c r="Y48" t="str">
        <f>C48</f>
        <v>Biomass_Agri</v>
      </c>
      <c r="Z48" s="11" t="e">
        <f t="shared" si="2"/>
        <v>#REF!</v>
      </c>
      <c r="AA48" s="11" t="e">
        <f t="shared" si="3"/>
        <v>#REF!</v>
      </c>
      <c r="AB48" s="5" t="e">
        <f>Z48-AA48</f>
        <v>#REF!</v>
      </c>
      <c r="AC48">
        <f>D48/H48*V48*-1</f>
        <v>0</v>
      </c>
      <c r="AD48">
        <f>E48/H48*V48</f>
        <v>2.9479583248809655</v>
      </c>
      <c r="AE48" s="1" cm="1">
        <f t="array" ref="AE48">_xlfn.IFS(C48="Biomass_Corn", 1/H48*R48, C48="Biomass_Agri", 1/H48*U48, C48="Biomass_Wood", 1/H48*T48, C48="Biomass_Herb", 1/H48*S48)</f>
        <v>61.656984276381351</v>
      </c>
      <c r="AF48" t="e">
        <f>#REF!/H48*#REF!</f>
        <v>#REF!</v>
      </c>
      <c r="AG48">
        <f>L48/H48/(0.9*8760)</f>
        <v>36.527576444650514</v>
      </c>
      <c r="AH48">
        <f>M48/H48/(0.9*8760)</f>
        <v>19.611238441849292</v>
      </c>
      <c r="AI48">
        <f>N48/H48</f>
        <v>0.92459306832023025</v>
      </c>
      <c r="AJ48" s="1" t="e">
        <f>AY48+BB48+BC48-AW48+#REF!+#REF!</f>
        <v>#REF!</v>
      </c>
      <c r="AK48" s="1" t="e">
        <f>(P48+Q48)*-1*(J48+#REF!)/H48</f>
        <v>#REF!</v>
      </c>
      <c r="AL48" t="e">
        <f>AJ48*P48</f>
        <v>#REF!</v>
      </c>
      <c r="AM48">
        <f>SUM(AY48:BB48)-AW48</f>
        <v>-0.58089293176475987</v>
      </c>
      <c r="AN48" s="1" t="e">
        <f>(J48+#REF!)/H48*-1*Q48</f>
        <v>#REF!</v>
      </c>
      <c r="AO48">
        <f>AM48*P48</f>
        <v>-63.596039086554896</v>
      </c>
      <c r="AQ48" s="9">
        <f>I48</f>
        <v>1.633</v>
      </c>
      <c r="AR48" s="9">
        <v>0.243968185</v>
      </c>
      <c r="AS48" s="9">
        <v>0.24942761299999999</v>
      </c>
      <c r="AT48" s="10">
        <v>0.24635668499999999</v>
      </c>
      <c r="AU48" s="9">
        <v>0.23037490999999999</v>
      </c>
      <c r="AW48" s="10">
        <f>AQ48/H48</f>
        <v>0.90410807219577016</v>
      </c>
      <c r="AY48" s="10">
        <f>AU48</f>
        <v>0.23037490999999999</v>
      </c>
      <c r="AZ48" s="10"/>
      <c r="BA48" s="10"/>
      <c r="BB48" s="10">
        <f>K48/H48</f>
        <v>9.2840230431010293E-2</v>
      </c>
      <c r="BC48" s="10">
        <f>J48/H48</f>
        <v>0.58089148532378132</v>
      </c>
      <c r="BE48" t="e">
        <f>#REF!-#REF!</f>
        <v>#REF!</v>
      </c>
    </row>
    <row r="49" spans="2:57" x14ac:dyDescent="0.2">
      <c r="B49" s="13" t="s">
        <v>54</v>
      </c>
      <c r="C49" s="12" t="s">
        <v>51</v>
      </c>
      <c r="D49" s="12">
        <v>0</v>
      </c>
      <c r="E49" s="12">
        <v>8.5342824999999997E-2</v>
      </c>
      <c r="F49" s="12"/>
      <c r="G49" s="12"/>
      <c r="H49" s="12">
        <v>3.1043379949999999</v>
      </c>
      <c r="I49" s="12">
        <v>1.7588666580000001</v>
      </c>
      <c r="J49" s="12">
        <v>0</v>
      </c>
      <c r="K49" s="12">
        <v>1.043705066</v>
      </c>
      <c r="L49" s="12">
        <v>0</v>
      </c>
      <c r="M49" s="12">
        <v>176727.97</v>
      </c>
      <c r="N49" s="12">
        <v>-25.41</v>
      </c>
      <c r="P49" s="15">
        <v>109.479795</v>
      </c>
      <c r="Q49" s="15">
        <v>-6.4959309999999997</v>
      </c>
      <c r="R49" s="15">
        <v>170</v>
      </c>
      <c r="S49" s="15">
        <v>1554.0826480000001</v>
      </c>
      <c r="T49" s="15">
        <v>159.85701800000001</v>
      </c>
      <c r="U49" s="15">
        <v>138.16451699999999</v>
      </c>
      <c r="V49" s="15">
        <v>36.550691999999998</v>
      </c>
      <c r="X49" t="str">
        <f>B49</f>
        <v>CA_Gasoline_Gasification_Non_CCS_Herb</v>
      </c>
      <c r="Y49" t="str">
        <f>C49</f>
        <v>Biomass_Corn</v>
      </c>
      <c r="Z49" s="11" t="e">
        <f t="shared" si="2"/>
        <v>#REF!</v>
      </c>
      <c r="AA49" s="11" t="e">
        <f t="shared" si="3"/>
        <v>#REF!</v>
      </c>
      <c r="AB49" s="5" t="e">
        <f>Z49-AA49</f>
        <v>#REF!</v>
      </c>
      <c r="AC49">
        <f>D49/H49*V49*-1</f>
        <v>0</v>
      </c>
      <c r="AD49">
        <f>E49/H49*V49</f>
        <v>1.0048323719933401</v>
      </c>
      <c r="AE49" s="1" cm="1">
        <f t="array" ref="AE49">_xlfn.IFS(C49="Biomass_Corn", 1/H49*R49, C49="Biomass_Agri", 1/H49*U49, C49="Biomass_Wood", 1/H49*T49, C49="Biomass_Herb", 1/H49*S49)</f>
        <v>54.762078186656993</v>
      </c>
      <c r="AF49" t="e">
        <f>#REF!/H49*#REF!</f>
        <v>#REF!</v>
      </c>
      <c r="AG49">
        <f>L49/H49/(0.9*8760)</f>
        <v>0</v>
      </c>
      <c r="AH49">
        <f>M49/H49/(0.9*8760)</f>
        <v>7.2208724377810398</v>
      </c>
      <c r="AI49">
        <f>N49/H49</f>
        <v>-8.1853200395467898</v>
      </c>
      <c r="AJ49" s="1" t="e">
        <f>AY49+BB49+BC49-AW49+#REF!+#REF!</f>
        <v>#REF!</v>
      </c>
      <c r="AK49" s="1" t="e">
        <f>(P49+Q49)*-1*(J49+#REF!)/H49</f>
        <v>#REF!</v>
      </c>
      <c r="AL49" t="e">
        <f>AJ49*P49</f>
        <v>#REF!</v>
      </c>
      <c r="AM49">
        <f>SUM(AY49:BB49)-AW49</f>
        <v>-1.8658711242736103E-9</v>
      </c>
      <c r="AN49" s="1" t="e">
        <f>(J49+#REF!)/H49*-1*Q49</f>
        <v>#REF!</v>
      </c>
      <c r="AO49">
        <f>AM49*P49</f>
        <v>-2.0427518818189438E-7</v>
      </c>
      <c r="AQ49" s="9">
        <f>I49</f>
        <v>1.7588666580000001</v>
      </c>
      <c r="AR49" s="9">
        <v>0.243968185</v>
      </c>
      <c r="AS49" s="9">
        <v>0.24942761299999999</v>
      </c>
      <c r="AT49" s="10">
        <v>0.24635668499999999</v>
      </c>
      <c r="AU49" s="9">
        <v>0.23037490999999999</v>
      </c>
      <c r="AW49" s="10">
        <f>AQ49/H49</f>
        <v>0.56658349085470638</v>
      </c>
      <c r="AY49" s="10">
        <f>AU49</f>
        <v>0.23037490999999999</v>
      </c>
      <c r="AZ49" s="10"/>
      <c r="BA49" s="10"/>
      <c r="BB49" s="10">
        <f>K49/H49</f>
        <v>0.33620857898883527</v>
      </c>
      <c r="BC49" s="10">
        <f>J49/H49</f>
        <v>0</v>
      </c>
      <c r="BE49" t="e">
        <f>#REF!-#REF!</f>
        <v>#REF!</v>
      </c>
    </row>
    <row r="50" spans="2:57" x14ac:dyDescent="0.2">
      <c r="B50" s="13" t="s">
        <v>54</v>
      </c>
      <c r="C50" s="12" t="s">
        <v>51</v>
      </c>
      <c r="D50" s="12">
        <v>0</v>
      </c>
      <c r="E50" s="12">
        <v>8.5342824999999997E-2</v>
      </c>
      <c r="F50" s="12"/>
      <c r="G50" s="12"/>
      <c r="H50" s="12">
        <v>3.1043379949999999</v>
      </c>
      <c r="I50" s="12">
        <v>1.7588666580000001</v>
      </c>
      <c r="J50" s="12">
        <v>0</v>
      </c>
      <c r="K50" s="12">
        <v>1.043705066</v>
      </c>
      <c r="L50" s="12">
        <v>0</v>
      </c>
      <c r="M50" s="12">
        <v>176727.97</v>
      </c>
      <c r="N50" s="12">
        <v>-25.41</v>
      </c>
      <c r="P50" s="15">
        <v>109.479795</v>
      </c>
      <c r="Q50" s="15">
        <v>-7.354813</v>
      </c>
      <c r="R50" s="15">
        <v>170</v>
      </c>
      <c r="S50" s="15">
        <v>138.356765</v>
      </c>
      <c r="T50" s="15">
        <v>156.77793399999999</v>
      </c>
      <c r="U50" s="15">
        <v>119.345797</v>
      </c>
      <c r="V50" s="15">
        <v>26.773821999999999</v>
      </c>
      <c r="X50" t="str">
        <f>B50</f>
        <v>CA_Gasoline_Gasification_Non_CCS_Herb</v>
      </c>
      <c r="Y50" t="str">
        <f>C50</f>
        <v>Biomass_Corn</v>
      </c>
      <c r="Z50" s="11" t="e">
        <f t="shared" si="2"/>
        <v>#REF!</v>
      </c>
      <c r="AA50" s="11" t="e">
        <f t="shared" si="3"/>
        <v>#REF!</v>
      </c>
      <c r="AB50" s="5" t="e">
        <f>Z50-AA50</f>
        <v>#REF!</v>
      </c>
      <c r="AC50">
        <f>D50/H50*V50*-1</f>
        <v>0</v>
      </c>
      <c r="AD50">
        <f>E50/H50*V50</f>
        <v>0.73605181175742107</v>
      </c>
      <c r="AE50" s="1" cm="1">
        <f t="array" ref="AE50">_xlfn.IFS(C50="Biomass_Corn", 1/H50*R50, C50="Biomass_Agri", 1/H50*U50, C50="Biomass_Wood", 1/H50*T50, C50="Biomass_Herb", 1/H50*S50)</f>
        <v>54.762078186656993</v>
      </c>
      <c r="AF50" t="e">
        <f>#REF!/H50*#REF!</f>
        <v>#REF!</v>
      </c>
      <c r="AG50">
        <f>L50/H50/(0.9*8760)</f>
        <v>0</v>
      </c>
      <c r="AH50">
        <f>M50/H50/(0.9*8760)</f>
        <v>7.2208724377810398</v>
      </c>
      <c r="AI50">
        <f>N50/H50</f>
        <v>-8.1853200395467898</v>
      </c>
      <c r="AJ50" s="1" t="e">
        <f>AY50+BB50+BC50-AW50+#REF!+#REF!</f>
        <v>#REF!</v>
      </c>
      <c r="AK50" s="1" t="e">
        <f>(P50+Q50)*-1*(J50+#REF!)/H50</f>
        <v>#REF!</v>
      </c>
      <c r="AL50" t="e">
        <f>AJ50*P50</f>
        <v>#REF!</v>
      </c>
      <c r="AM50">
        <f>SUM(AY50:BB50)-AW50</f>
        <v>-1.8658711242736103E-9</v>
      </c>
      <c r="AN50" s="1" t="e">
        <f>(J50+#REF!)/H50*-1*Q50</f>
        <v>#REF!</v>
      </c>
      <c r="AO50">
        <f>AM50*P50</f>
        <v>-2.0427518818189438E-7</v>
      </c>
      <c r="AQ50" s="9">
        <f>I50</f>
        <v>1.7588666580000001</v>
      </c>
      <c r="AR50" s="9">
        <v>0.243968185</v>
      </c>
      <c r="AS50" s="9">
        <v>0.24942761299999999</v>
      </c>
      <c r="AT50" s="10">
        <v>0.24635668499999999</v>
      </c>
      <c r="AU50" s="9">
        <v>0.23037490999999999</v>
      </c>
      <c r="AW50" s="10">
        <f>AQ50/H50</f>
        <v>0.56658349085470638</v>
      </c>
      <c r="AY50" s="10">
        <f>AU50</f>
        <v>0.23037490999999999</v>
      </c>
      <c r="AZ50" s="10"/>
      <c r="BA50" s="10"/>
      <c r="BB50" s="10">
        <f>K50/H50</f>
        <v>0.33620857898883527</v>
      </c>
      <c r="BC50" s="10">
        <f>J50/H50</f>
        <v>0</v>
      </c>
      <c r="BE50" t="e">
        <f>#REF!-#REF!</f>
        <v>#REF!</v>
      </c>
    </row>
    <row r="51" spans="2:57" x14ac:dyDescent="0.2">
      <c r="B51" s="13" t="s">
        <v>54</v>
      </c>
      <c r="C51" s="12" t="s">
        <v>51</v>
      </c>
      <c r="D51" s="12">
        <v>0</v>
      </c>
      <c r="E51" s="12">
        <v>8.5342824999999997E-2</v>
      </c>
      <c r="F51" s="12"/>
      <c r="G51" s="12"/>
      <c r="H51" s="12">
        <v>3.1043379949999999</v>
      </c>
      <c r="I51" s="12">
        <v>1.7588666580000001</v>
      </c>
      <c r="J51" s="12">
        <v>0</v>
      </c>
      <c r="K51" s="12">
        <v>1.043705066</v>
      </c>
      <c r="L51" s="12">
        <v>0</v>
      </c>
      <c r="M51" s="12">
        <v>176727.97</v>
      </c>
      <c r="N51" s="12">
        <v>-25.41</v>
      </c>
      <c r="P51" s="15">
        <v>109.479795</v>
      </c>
      <c r="Q51" s="15">
        <v>-16.598628000000001</v>
      </c>
      <c r="R51" s="15">
        <v>170</v>
      </c>
      <c r="S51" s="15">
        <v>123.651932</v>
      </c>
      <c r="T51" s="15">
        <v>141.0224</v>
      </c>
      <c r="U51" s="15">
        <v>111.7672</v>
      </c>
      <c r="V51" s="15">
        <v>27.997803999999999</v>
      </c>
      <c r="X51" t="str">
        <f>B51</f>
        <v>CA_Gasoline_Gasification_Non_CCS_Herb</v>
      </c>
      <c r="Y51" t="str">
        <f>C51</f>
        <v>Biomass_Corn</v>
      </c>
      <c r="Z51" s="11" t="e">
        <f t="shared" si="2"/>
        <v>#REF!</v>
      </c>
      <c r="AA51" s="11" t="e">
        <f t="shared" si="3"/>
        <v>#REF!</v>
      </c>
      <c r="AB51" s="5" t="e">
        <f>Z51-AA51</f>
        <v>#REF!</v>
      </c>
      <c r="AC51">
        <f>D51/H51*V51*-1</f>
        <v>0</v>
      </c>
      <c r="AD51">
        <f>E51/H51*V51</f>
        <v>0.76970088018920757</v>
      </c>
      <c r="AE51" s="1" cm="1">
        <f t="array" ref="AE51">_xlfn.IFS(C51="Biomass_Corn", 1/H51*R51, C51="Biomass_Agri", 1/H51*U51, C51="Biomass_Wood", 1/H51*T51, C51="Biomass_Herb", 1/H51*S51)</f>
        <v>54.762078186656993</v>
      </c>
      <c r="AF51" t="e">
        <f>#REF!/H51*#REF!</f>
        <v>#REF!</v>
      </c>
      <c r="AG51">
        <f>L51/H51/(0.9*8760)</f>
        <v>0</v>
      </c>
      <c r="AH51">
        <f>M51/H51/(0.9*8760)</f>
        <v>7.2208724377810398</v>
      </c>
      <c r="AI51">
        <f>N51/H51</f>
        <v>-8.1853200395467898</v>
      </c>
      <c r="AJ51" s="1" t="e">
        <f>AY51+BB51+BC51-AW51+#REF!+#REF!</f>
        <v>#REF!</v>
      </c>
      <c r="AK51" s="1" t="e">
        <f>(P51+Q51)*-1*(J51+#REF!)/H51</f>
        <v>#REF!</v>
      </c>
      <c r="AL51" t="e">
        <f>AJ51*P51</f>
        <v>#REF!</v>
      </c>
      <c r="AM51">
        <f>SUM(AY51:BB51)-AW51</f>
        <v>-1.8658711242736103E-9</v>
      </c>
      <c r="AN51" s="1" t="e">
        <f>(J51+#REF!)/H51*-1*Q51</f>
        <v>#REF!</v>
      </c>
      <c r="AO51">
        <f>AM51*P51</f>
        <v>-2.0427518818189438E-7</v>
      </c>
      <c r="AQ51" s="9">
        <f>I51</f>
        <v>1.7588666580000001</v>
      </c>
      <c r="AR51" s="9">
        <v>0.243968185</v>
      </c>
      <c r="AS51" s="9">
        <v>0.24942761299999999</v>
      </c>
      <c r="AT51" s="10">
        <v>0.24635668499999999</v>
      </c>
      <c r="AU51" s="9">
        <v>0.23037490999999999</v>
      </c>
      <c r="AW51" s="10">
        <f>AQ51/H51</f>
        <v>0.56658349085470638</v>
      </c>
      <c r="AY51" s="10">
        <f>AU51</f>
        <v>0.23037490999999999</v>
      </c>
      <c r="AZ51" s="10"/>
      <c r="BA51" s="10"/>
      <c r="BB51" s="10">
        <f>K51/H51</f>
        <v>0.33620857898883527</v>
      </c>
      <c r="BC51" s="10">
        <f>J51/H51</f>
        <v>0</v>
      </c>
      <c r="BE51" t="e">
        <f>#REF!-#REF!</f>
        <v>#REF!</v>
      </c>
    </row>
    <row r="52" spans="2:57" x14ac:dyDescent="0.2">
      <c r="B52" s="13" t="s">
        <v>54</v>
      </c>
      <c r="C52" s="12" t="s">
        <v>51</v>
      </c>
      <c r="D52" s="12">
        <v>0</v>
      </c>
      <c r="E52" s="12">
        <v>8.5342824999999997E-2</v>
      </c>
      <c r="F52" s="12"/>
      <c r="G52" s="12"/>
      <c r="H52" s="12">
        <v>3.1043379949999999</v>
      </c>
      <c r="I52" s="12">
        <v>1.7588666580000001</v>
      </c>
      <c r="J52" s="12">
        <v>0</v>
      </c>
      <c r="K52" s="12">
        <v>1.043705066</v>
      </c>
      <c r="L52" s="12">
        <v>0</v>
      </c>
      <c r="M52" s="12">
        <v>176727.97</v>
      </c>
      <c r="N52" s="12">
        <v>-25.41</v>
      </c>
      <c r="P52" s="15">
        <v>109.479795</v>
      </c>
      <c r="Q52" s="15">
        <v>-21.506692000000001</v>
      </c>
      <c r="R52" s="15">
        <v>170</v>
      </c>
      <c r="S52" s="15">
        <v>137.93464800000001</v>
      </c>
      <c r="T52" s="15">
        <v>157.881351</v>
      </c>
      <c r="U52" s="15">
        <v>111.364845</v>
      </c>
      <c r="V52" s="15">
        <v>20.230252</v>
      </c>
      <c r="X52" t="str">
        <f>B52</f>
        <v>CA_Gasoline_Gasification_Non_CCS_Herb</v>
      </c>
      <c r="Y52" t="str">
        <f>C52</f>
        <v>Biomass_Corn</v>
      </c>
      <c r="Z52" s="11" t="e">
        <f t="shared" si="2"/>
        <v>#REF!</v>
      </c>
      <c r="AA52" s="11" t="e">
        <f t="shared" si="3"/>
        <v>#REF!</v>
      </c>
      <c r="AB52" s="5" t="e">
        <f>Z52-AA52</f>
        <v>#REF!</v>
      </c>
      <c r="AC52">
        <f>D52/H52*V52*-1</f>
        <v>0</v>
      </c>
      <c r="AD52">
        <f>E52/H52*V52</f>
        <v>0.55615943203436513</v>
      </c>
      <c r="AE52" s="1" cm="1">
        <f t="array" ref="AE52">_xlfn.IFS(C52="Biomass_Corn", 1/H52*R52, C52="Biomass_Agri", 1/H52*U52, C52="Biomass_Wood", 1/H52*T52, C52="Biomass_Herb", 1/H52*S52)</f>
        <v>54.762078186656993</v>
      </c>
      <c r="AF52" t="e">
        <f>#REF!/H52*#REF!</f>
        <v>#REF!</v>
      </c>
      <c r="AG52">
        <f>L52/H52/(0.9*8760)</f>
        <v>0</v>
      </c>
      <c r="AH52">
        <f>M52/H52/(0.9*8760)</f>
        <v>7.2208724377810398</v>
      </c>
      <c r="AI52">
        <f>N52/H52</f>
        <v>-8.1853200395467898</v>
      </c>
      <c r="AJ52" s="1" t="e">
        <f>AY52+BB52+BC52-AW52+#REF!+#REF!</f>
        <v>#REF!</v>
      </c>
      <c r="AK52" s="1" t="e">
        <f>(P52+Q52)*-1*(J52+#REF!)/H52</f>
        <v>#REF!</v>
      </c>
      <c r="AL52" t="e">
        <f>AJ52*P52</f>
        <v>#REF!</v>
      </c>
      <c r="AM52">
        <f>SUM(AY52:BB52)-AW52</f>
        <v>-1.8658711242736103E-9</v>
      </c>
      <c r="AN52" s="1" t="e">
        <f>(J52+#REF!)/H52*-1*Q52</f>
        <v>#REF!</v>
      </c>
      <c r="AO52">
        <f>AM52*P52</f>
        <v>-2.0427518818189438E-7</v>
      </c>
      <c r="AQ52" s="9">
        <f>I52</f>
        <v>1.7588666580000001</v>
      </c>
      <c r="AR52" s="9">
        <v>0.243968185</v>
      </c>
      <c r="AS52" s="9">
        <v>0.24942761299999999</v>
      </c>
      <c r="AT52" s="10">
        <v>0.24635668499999999</v>
      </c>
      <c r="AU52" s="9">
        <v>0.23037490999999999</v>
      </c>
      <c r="AW52" s="10">
        <f>AQ52/H52</f>
        <v>0.56658349085470638</v>
      </c>
      <c r="AY52" s="10">
        <f>AU52</f>
        <v>0.23037490999999999</v>
      </c>
      <c r="AZ52" s="10"/>
      <c r="BA52" s="10"/>
      <c r="BB52" s="10">
        <f>K52/H52</f>
        <v>0.33620857898883527</v>
      </c>
      <c r="BC52" s="10">
        <f>J52/H52</f>
        <v>0</v>
      </c>
      <c r="BE52" t="e">
        <f>#REF!-#REF!</f>
        <v>#REF!</v>
      </c>
    </row>
    <row r="53" spans="2:57" x14ac:dyDescent="0.2">
      <c r="B53" s="13" t="s">
        <v>54</v>
      </c>
      <c r="C53" s="12" t="s">
        <v>51</v>
      </c>
      <c r="D53" s="12">
        <v>0</v>
      </c>
      <c r="E53" s="12">
        <v>8.5342824999999997E-2</v>
      </c>
      <c r="F53" s="12"/>
      <c r="G53" s="12"/>
      <c r="H53" s="12">
        <v>3.1043379949999999</v>
      </c>
      <c r="I53" s="12">
        <v>1.7588666580000001</v>
      </c>
      <c r="J53" s="12">
        <v>0</v>
      </c>
      <c r="K53" s="12">
        <v>1.043705066</v>
      </c>
      <c r="L53" s="12">
        <v>0</v>
      </c>
      <c r="M53" s="12">
        <v>176727.97</v>
      </c>
      <c r="N53" s="12">
        <v>-25.41</v>
      </c>
      <c r="P53" s="15">
        <v>109.479795</v>
      </c>
      <c r="Q53" s="15">
        <v>-41.717134999999999</v>
      </c>
      <c r="R53" s="15">
        <v>170</v>
      </c>
      <c r="S53" s="15">
        <v>104.167382</v>
      </c>
      <c r="T53" s="15">
        <v>115.52638899999999</v>
      </c>
      <c r="U53" s="15">
        <v>92.044978</v>
      </c>
      <c r="V53" s="15">
        <v>30.708172999999999</v>
      </c>
      <c r="X53" t="str">
        <f>B53</f>
        <v>CA_Gasoline_Gasification_Non_CCS_Herb</v>
      </c>
      <c r="Y53" t="str">
        <f>C53</f>
        <v>Biomass_Corn</v>
      </c>
      <c r="Z53" s="11" t="e">
        <f t="shared" si="2"/>
        <v>#REF!</v>
      </c>
      <c r="AA53" s="11" t="e">
        <f t="shared" si="3"/>
        <v>#REF!</v>
      </c>
      <c r="AB53" s="5" t="e">
        <f>Z53-AA53</f>
        <v>#REF!</v>
      </c>
      <c r="AC53">
        <f>D53/H53*V53*-1</f>
        <v>0</v>
      </c>
      <c r="AD53">
        <f>E53/H53*V53</f>
        <v>0.8442129170953</v>
      </c>
      <c r="AE53" s="1" cm="1">
        <f t="array" ref="AE53">_xlfn.IFS(C53="Biomass_Corn", 1/H53*R53, C53="Biomass_Agri", 1/H53*U53, C53="Biomass_Wood", 1/H53*T53, C53="Biomass_Herb", 1/H53*S53)</f>
        <v>54.762078186656993</v>
      </c>
      <c r="AF53" t="e">
        <f>#REF!/H53*#REF!</f>
        <v>#REF!</v>
      </c>
      <c r="AG53">
        <f>L53/H53/(0.9*8760)</f>
        <v>0</v>
      </c>
      <c r="AH53">
        <f>M53/H53/(0.9*8760)</f>
        <v>7.2208724377810398</v>
      </c>
      <c r="AI53">
        <f>N53/H53</f>
        <v>-8.1853200395467898</v>
      </c>
      <c r="AJ53" s="1" t="e">
        <f>AY53+BB53+BC53-AW53+#REF!+#REF!</f>
        <v>#REF!</v>
      </c>
      <c r="AK53" s="1" t="e">
        <f>(P53+Q53)*-1*(J53+#REF!)/H53</f>
        <v>#REF!</v>
      </c>
      <c r="AL53" t="e">
        <f>AJ53*P53</f>
        <v>#REF!</v>
      </c>
      <c r="AM53">
        <f>SUM(AY53:BB53)-AW53</f>
        <v>-1.8658711242736103E-9</v>
      </c>
      <c r="AN53" s="1" t="e">
        <f>(J53+#REF!)/H53*-1*Q53</f>
        <v>#REF!</v>
      </c>
      <c r="AO53">
        <f>AM53*P53</f>
        <v>-2.0427518818189438E-7</v>
      </c>
      <c r="AQ53" s="9">
        <f>I53</f>
        <v>1.7588666580000001</v>
      </c>
      <c r="AR53" s="9">
        <v>0.243968185</v>
      </c>
      <c r="AS53" s="9">
        <v>0.24942761299999999</v>
      </c>
      <c r="AT53" s="10">
        <v>0.24635668499999999</v>
      </c>
      <c r="AU53" s="9">
        <v>0.23037490999999999</v>
      </c>
      <c r="AW53" s="10">
        <f>AQ53/H53</f>
        <v>0.56658349085470638</v>
      </c>
      <c r="AY53" s="10">
        <f>AU53</f>
        <v>0.23037490999999999</v>
      </c>
      <c r="AZ53" s="10"/>
      <c r="BA53" s="10"/>
      <c r="BB53" s="10">
        <f>K53/H53</f>
        <v>0.33620857898883527</v>
      </c>
      <c r="BC53" s="10">
        <f>J53/H53</f>
        <v>0</v>
      </c>
      <c r="BE53" t="e">
        <f>#REF!-#REF!</f>
        <v>#REF!</v>
      </c>
    </row>
    <row r="54" spans="2:57" x14ac:dyDescent="0.2">
      <c r="B54" s="13" t="s">
        <v>54</v>
      </c>
      <c r="C54" s="12" t="s">
        <v>51</v>
      </c>
      <c r="D54" s="12">
        <v>0</v>
      </c>
      <c r="E54" s="12">
        <v>8.5342824999999997E-2</v>
      </c>
      <c r="F54" s="12"/>
      <c r="G54" s="12"/>
      <c r="H54" s="12">
        <v>3.1043379949999999</v>
      </c>
      <c r="I54" s="12">
        <v>1.7588666580000001</v>
      </c>
      <c r="J54" s="12">
        <v>0</v>
      </c>
      <c r="K54" s="12">
        <v>1.043705066</v>
      </c>
      <c r="L54" s="12">
        <v>0</v>
      </c>
      <c r="M54" s="12">
        <v>176727.97</v>
      </c>
      <c r="N54" s="12">
        <v>-25.41</v>
      </c>
      <c r="P54" s="15">
        <v>109.479795</v>
      </c>
      <c r="Q54" s="15">
        <v>-31.70346</v>
      </c>
      <c r="R54" s="15">
        <v>170</v>
      </c>
      <c r="S54" s="15">
        <v>110.461518</v>
      </c>
      <c r="T54" s="15">
        <v>127.408748</v>
      </c>
      <c r="U54" s="15">
        <v>98.832477999999995</v>
      </c>
      <c r="V54" s="15">
        <v>25.324636999999999</v>
      </c>
      <c r="X54" t="str">
        <f>B54</f>
        <v>CA_Gasoline_Gasification_Non_CCS_Herb</v>
      </c>
      <c r="Y54" t="str">
        <f>C54</f>
        <v>Biomass_Corn</v>
      </c>
      <c r="Z54" s="11" t="e">
        <f t="shared" si="2"/>
        <v>#REF!</v>
      </c>
      <c r="AA54" s="11" t="e">
        <f t="shared" si="3"/>
        <v>#REF!</v>
      </c>
      <c r="AB54" s="5" t="e">
        <f>Z54-AA54</f>
        <v>#REF!</v>
      </c>
      <c r="AC54">
        <f>D54/H54*V54*-1</f>
        <v>0</v>
      </c>
      <c r="AD54">
        <f>E54/H54*V54</f>
        <v>0.69621158107157877</v>
      </c>
      <c r="AE54" s="1" cm="1">
        <f t="array" ref="AE54">_xlfn.IFS(C54="Biomass_Corn", 1/H54*R54, C54="Biomass_Agri", 1/H54*U54, C54="Biomass_Wood", 1/H54*T54, C54="Biomass_Herb", 1/H54*S54)</f>
        <v>54.762078186656993</v>
      </c>
      <c r="AF54" t="e">
        <f>#REF!/H54*#REF!</f>
        <v>#REF!</v>
      </c>
      <c r="AG54">
        <f>L54/H54/(0.9*8760)</f>
        <v>0</v>
      </c>
      <c r="AH54">
        <f>M54/H54/(0.9*8760)</f>
        <v>7.2208724377810398</v>
      </c>
      <c r="AI54">
        <f>N54/H54</f>
        <v>-8.1853200395467898</v>
      </c>
      <c r="AJ54" s="1" t="e">
        <f>AY54+BB54+BC54-AW54+#REF!+#REF!</f>
        <v>#REF!</v>
      </c>
      <c r="AK54" s="1" t="e">
        <f>(P54+Q54)*-1*(J54+#REF!)/H54</f>
        <v>#REF!</v>
      </c>
      <c r="AL54" t="e">
        <f>AJ54*P54</f>
        <v>#REF!</v>
      </c>
      <c r="AM54">
        <f>SUM(AY54:BB54)-AW54</f>
        <v>-1.8658711242736103E-9</v>
      </c>
      <c r="AN54" s="1" t="e">
        <f>(J54+#REF!)/H54*-1*Q54</f>
        <v>#REF!</v>
      </c>
      <c r="AO54">
        <f>AM54*P54</f>
        <v>-2.0427518818189438E-7</v>
      </c>
      <c r="AQ54" s="9">
        <f>I54</f>
        <v>1.7588666580000001</v>
      </c>
      <c r="AR54" s="9">
        <v>0.243968185</v>
      </c>
      <c r="AS54" s="9">
        <v>0.24942761299999999</v>
      </c>
      <c r="AT54" s="10">
        <v>0.24635668499999999</v>
      </c>
      <c r="AU54" s="9">
        <v>0.23037490999999999</v>
      </c>
      <c r="AW54" s="10">
        <f>AQ54/H54</f>
        <v>0.56658349085470638</v>
      </c>
      <c r="AY54" s="10">
        <f>AU54</f>
        <v>0.23037490999999999</v>
      </c>
      <c r="AZ54" s="10"/>
      <c r="BA54" s="10"/>
      <c r="BB54" s="10">
        <f>K54/H54</f>
        <v>0.33620857898883527</v>
      </c>
      <c r="BC54" s="10">
        <f>J54/H54</f>
        <v>0</v>
      </c>
      <c r="BE54" t="e">
        <f>#REF!-#REF!</f>
        <v>#REF!</v>
      </c>
    </row>
    <row r="55" spans="2:57" x14ac:dyDescent="0.2">
      <c r="B55" s="13" t="s">
        <v>54</v>
      </c>
      <c r="C55" s="12" t="s">
        <v>51</v>
      </c>
      <c r="D55" s="12">
        <v>0</v>
      </c>
      <c r="E55" s="12">
        <v>8.5342824999999997E-2</v>
      </c>
      <c r="F55" s="12"/>
      <c r="G55" s="12"/>
      <c r="H55" s="12">
        <v>3.1043379949999999</v>
      </c>
      <c r="I55" s="12">
        <v>1.7588666580000001</v>
      </c>
      <c r="J55" s="12">
        <v>0</v>
      </c>
      <c r="K55" s="12">
        <v>1.043705066</v>
      </c>
      <c r="L55" s="12">
        <v>0</v>
      </c>
      <c r="M55" s="12">
        <v>176727.97</v>
      </c>
      <c r="N55" s="12">
        <v>-25.41</v>
      </c>
      <c r="P55" s="15">
        <v>109.479795</v>
      </c>
      <c r="Q55" s="15">
        <v>-47.70091</v>
      </c>
      <c r="R55" s="15">
        <v>170</v>
      </c>
      <c r="S55" s="15">
        <v>99.632842999999994</v>
      </c>
      <c r="T55" s="15">
        <v>113.227017</v>
      </c>
      <c r="U55" s="15">
        <v>88.855315000000004</v>
      </c>
      <c r="V55" s="15">
        <v>38.218446</v>
      </c>
      <c r="X55" t="str">
        <f>B55</f>
        <v>CA_Gasoline_Gasification_Non_CCS_Herb</v>
      </c>
      <c r="Y55" t="str">
        <f>C55</f>
        <v>Biomass_Corn</v>
      </c>
      <c r="Z55" s="11" t="e">
        <f t="shared" si="2"/>
        <v>#REF!</v>
      </c>
      <c r="AA55" s="11" t="e">
        <f t="shared" si="3"/>
        <v>#REF!</v>
      </c>
      <c r="AB55" s="5" t="e">
        <f>Z55-AA55</f>
        <v>#REF!</v>
      </c>
      <c r="AC55">
        <f>D55/H55*V55*-1</f>
        <v>0</v>
      </c>
      <c r="AD55">
        <f>E55/H55*V55</f>
        <v>1.0506813864995876</v>
      </c>
      <c r="AE55" s="1" cm="1">
        <f t="array" ref="AE55">_xlfn.IFS(C55="Biomass_Corn", 1/H55*R55, C55="Biomass_Agri", 1/H55*U55, C55="Biomass_Wood", 1/H55*T55, C55="Biomass_Herb", 1/H55*S55)</f>
        <v>54.762078186656993</v>
      </c>
      <c r="AF55" t="e">
        <f>#REF!/H55*#REF!</f>
        <v>#REF!</v>
      </c>
      <c r="AG55">
        <f>L55/H55/(0.9*8760)</f>
        <v>0</v>
      </c>
      <c r="AH55">
        <f>M55/H55/(0.9*8760)</f>
        <v>7.2208724377810398</v>
      </c>
      <c r="AI55">
        <f>N55/H55</f>
        <v>-8.1853200395467898</v>
      </c>
      <c r="AJ55" s="1" t="e">
        <f>AY55+BB55+BC55-AW55+#REF!+#REF!</f>
        <v>#REF!</v>
      </c>
      <c r="AK55" s="1" t="e">
        <f>(P55+Q55)*-1*(J55+#REF!)/H55</f>
        <v>#REF!</v>
      </c>
      <c r="AL55" t="e">
        <f>AJ55*P55</f>
        <v>#REF!</v>
      </c>
      <c r="AM55">
        <f>SUM(AY55:BB55)-AW55</f>
        <v>-1.8658711242736103E-9</v>
      </c>
      <c r="AN55" s="1" t="e">
        <f>(J55+#REF!)/H55*-1*Q55</f>
        <v>#REF!</v>
      </c>
      <c r="AO55">
        <f>AM55*P55</f>
        <v>-2.0427518818189438E-7</v>
      </c>
      <c r="AQ55" s="9">
        <f>I55</f>
        <v>1.7588666580000001</v>
      </c>
      <c r="AR55" s="9">
        <v>0.243968185</v>
      </c>
      <c r="AS55" s="9">
        <v>0.24942761299999999</v>
      </c>
      <c r="AT55" s="10">
        <v>0.24635668499999999</v>
      </c>
      <c r="AU55" s="9">
        <v>0.23037490999999999</v>
      </c>
      <c r="AW55" s="10">
        <f>AQ55/H55</f>
        <v>0.56658349085470638</v>
      </c>
      <c r="AY55" s="10">
        <f>AU55</f>
        <v>0.23037490999999999</v>
      </c>
      <c r="AZ55" s="10"/>
      <c r="BA55" s="10"/>
      <c r="BB55" s="10">
        <f>K55/H55</f>
        <v>0.33620857898883527</v>
      </c>
      <c r="BC55" s="10">
        <f>J55/H55</f>
        <v>0</v>
      </c>
      <c r="BE55" t="e">
        <f>#REF!-#REF!</f>
        <v>#REF!</v>
      </c>
    </row>
    <row r="56" spans="2:57" x14ac:dyDescent="0.2">
      <c r="B56" s="13" t="s">
        <v>54</v>
      </c>
      <c r="C56" s="12" t="s">
        <v>51</v>
      </c>
      <c r="D56" s="12">
        <v>0</v>
      </c>
      <c r="E56" s="12">
        <v>8.5342824999999997E-2</v>
      </c>
      <c r="F56" s="12"/>
      <c r="G56" s="12"/>
      <c r="H56" s="12">
        <v>3.1043379949999999</v>
      </c>
      <c r="I56" s="12">
        <v>1.7588666580000001</v>
      </c>
      <c r="J56" s="12">
        <v>0</v>
      </c>
      <c r="K56" s="12">
        <v>1.043705066</v>
      </c>
      <c r="L56" s="12">
        <v>0</v>
      </c>
      <c r="M56" s="12">
        <v>176727.97</v>
      </c>
      <c r="N56" s="12">
        <v>-25.41</v>
      </c>
      <c r="P56" s="15">
        <v>109.479795</v>
      </c>
      <c r="Q56" s="15">
        <v>-54.115442999999999</v>
      </c>
      <c r="R56" s="15">
        <v>170</v>
      </c>
      <c r="S56" s="15">
        <v>100.77374399999999</v>
      </c>
      <c r="T56" s="15">
        <v>108.668072</v>
      </c>
      <c r="U56" s="15">
        <v>89.424565000000001</v>
      </c>
      <c r="V56" s="15">
        <v>39.359471999999997</v>
      </c>
      <c r="X56" t="str">
        <f>B56</f>
        <v>CA_Gasoline_Gasification_Non_CCS_Herb</v>
      </c>
      <c r="Y56" t="str">
        <f>C56</f>
        <v>Biomass_Corn</v>
      </c>
      <c r="Z56" s="11" t="e">
        <f t="shared" si="2"/>
        <v>#REF!</v>
      </c>
      <c r="AA56" s="11" t="e">
        <f t="shared" si="3"/>
        <v>#REF!</v>
      </c>
      <c r="AB56" s="5" t="e">
        <f>Z56-AA56</f>
        <v>#REF!</v>
      </c>
      <c r="AC56">
        <f>D56/H56*V56*-1</f>
        <v>0</v>
      </c>
      <c r="AD56">
        <f>E56/H56*V56</f>
        <v>1.0820498722750709</v>
      </c>
      <c r="AE56" s="1" cm="1">
        <f t="array" ref="AE56">_xlfn.IFS(C56="Biomass_Corn", 1/H56*R56, C56="Biomass_Agri", 1/H56*U56, C56="Biomass_Wood", 1/H56*T56, C56="Biomass_Herb", 1/H56*S56)</f>
        <v>54.762078186656993</v>
      </c>
      <c r="AF56" t="e">
        <f>#REF!/H56*#REF!</f>
        <v>#REF!</v>
      </c>
      <c r="AG56">
        <f>L56/H56/(0.9*8760)</f>
        <v>0</v>
      </c>
      <c r="AH56">
        <f>M56/H56/(0.9*8760)</f>
        <v>7.2208724377810398</v>
      </c>
      <c r="AI56">
        <f>N56/H56</f>
        <v>-8.1853200395467898</v>
      </c>
      <c r="AJ56" s="1" t="e">
        <f>AY56+BB56+BC56-AW56+#REF!+#REF!</f>
        <v>#REF!</v>
      </c>
      <c r="AK56" s="1" t="e">
        <f>(P56+Q56)*-1*(J56+#REF!)/H56</f>
        <v>#REF!</v>
      </c>
      <c r="AL56" t="e">
        <f>AJ56*P56</f>
        <v>#REF!</v>
      </c>
      <c r="AM56">
        <f>SUM(AY56:BB56)-AW56</f>
        <v>-1.8658711242736103E-9</v>
      </c>
      <c r="AN56" s="1" t="e">
        <f>(J56+#REF!)/H56*-1*Q56</f>
        <v>#REF!</v>
      </c>
      <c r="AO56">
        <f>AM56*P56</f>
        <v>-2.0427518818189438E-7</v>
      </c>
      <c r="AQ56" s="9">
        <f>I56</f>
        <v>1.7588666580000001</v>
      </c>
      <c r="AR56" s="9">
        <v>0.243968185</v>
      </c>
      <c r="AS56" s="9">
        <v>0.24942761299999999</v>
      </c>
      <c r="AT56" s="10">
        <v>0.24635668499999999</v>
      </c>
      <c r="AU56" s="9">
        <v>0.23037490999999999</v>
      </c>
      <c r="AW56" s="10">
        <f>AQ56/H56</f>
        <v>0.56658349085470638</v>
      </c>
      <c r="AY56" s="10">
        <f>AU56</f>
        <v>0.23037490999999999</v>
      </c>
      <c r="AZ56" s="10"/>
      <c r="BA56" s="10"/>
      <c r="BB56" s="10">
        <f>K56/H56</f>
        <v>0.33620857898883527</v>
      </c>
      <c r="BC56" s="10">
        <f>J56/H56</f>
        <v>0</v>
      </c>
      <c r="BE56" t="e">
        <f>#REF!-#REF!</f>
        <v>#REF!</v>
      </c>
    </row>
    <row r="57" spans="2:57" x14ac:dyDescent="0.2">
      <c r="B57" s="13" t="s">
        <v>54</v>
      </c>
      <c r="C57" s="12" t="s">
        <v>51</v>
      </c>
      <c r="D57" s="12">
        <v>0</v>
      </c>
      <c r="E57" s="12">
        <v>8.5342824999999997E-2</v>
      </c>
      <c r="F57" s="12"/>
      <c r="G57" s="12"/>
      <c r="H57" s="12">
        <v>3.1043379949999999</v>
      </c>
      <c r="I57" s="12">
        <v>1.7588666580000001</v>
      </c>
      <c r="J57" s="12">
        <v>0</v>
      </c>
      <c r="K57" s="12">
        <v>1.043705066</v>
      </c>
      <c r="L57" s="12">
        <v>0</v>
      </c>
      <c r="M57" s="12">
        <v>176727.97</v>
      </c>
      <c r="N57" s="12">
        <v>-25.41</v>
      </c>
      <c r="P57" s="15">
        <v>109.479795</v>
      </c>
      <c r="Q57" s="15">
        <v>-62.623761000000002</v>
      </c>
      <c r="R57" s="15">
        <v>170</v>
      </c>
      <c r="S57" s="15">
        <v>101.59236199999999</v>
      </c>
      <c r="T57" s="15">
        <v>107.351319</v>
      </c>
      <c r="U57" s="15">
        <v>91.706649999999996</v>
      </c>
      <c r="V57" s="15">
        <v>47.446024999999999</v>
      </c>
      <c r="X57" t="str">
        <f>B57</f>
        <v>CA_Gasoline_Gasification_Non_CCS_Herb</v>
      </c>
      <c r="Y57" t="str">
        <f>C57</f>
        <v>Biomass_Corn</v>
      </c>
      <c r="Z57" s="11" t="e">
        <f t="shared" si="2"/>
        <v>#REF!</v>
      </c>
      <c r="AA57" s="11" t="e">
        <f t="shared" si="3"/>
        <v>#REF!</v>
      </c>
      <c r="AB57" s="5" t="e">
        <f>Z57-AA57</f>
        <v>#REF!</v>
      </c>
      <c r="AC57">
        <f>D57/H57*V57*-1</f>
        <v>0</v>
      </c>
      <c r="AD57">
        <f>E57/H57*V57</f>
        <v>1.3043611278934286</v>
      </c>
      <c r="AE57" s="1" cm="1">
        <f t="array" ref="AE57">_xlfn.IFS(C57="Biomass_Corn", 1/H57*R57, C57="Biomass_Agri", 1/H57*U57, C57="Biomass_Wood", 1/H57*T57, C57="Biomass_Herb", 1/H57*S57)</f>
        <v>54.762078186656993</v>
      </c>
      <c r="AF57" t="e">
        <f>#REF!/H57*#REF!</f>
        <v>#REF!</v>
      </c>
      <c r="AG57">
        <f>L57/H57/(0.9*8760)</f>
        <v>0</v>
      </c>
      <c r="AH57">
        <f>M57/H57/(0.9*8760)</f>
        <v>7.2208724377810398</v>
      </c>
      <c r="AI57">
        <f>N57/H57</f>
        <v>-8.1853200395467898</v>
      </c>
      <c r="AJ57" s="1" t="e">
        <f>AY57+BB57+BC57-AW57+#REF!+#REF!</f>
        <v>#REF!</v>
      </c>
      <c r="AK57" s="1" t="e">
        <f>(P57+Q57)*-1*(J57+#REF!)/H57</f>
        <v>#REF!</v>
      </c>
      <c r="AL57" t="e">
        <f>AJ57*P57</f>
        <v>#REF!</v>
      </c>
      <c r="AM57">
        <f>SUM(AY57:BB57)-AW57</f>
        <v>-1.8658711242736103E-9</v>
      </c>
      <c r="AN57" s="1" t="e">
        <f>(J57+#REF!)/H57*-1*Q57</f>
        <v>#REF!</v>
      </c>
      <c r="AO57">
        <f>AM57*P57</f>
        <v>-2.0427518818189438E-7</v>
      </c>
      <c r="AQ57" s="9">
        <f>I57</f>
        <v>1.7588666580000001</v>
      </c>
      <c r="AR57" s="9">
        <v>0.243968185</v>
      </c>
      <c r="AS57" s="9">
        <v>0.24942761299999999</v>
      </c>
      <c r="AT57" s="10">
        <v>0.24635668499999999</v>
      </c>
      <c r="AU57" s="9">
        <v>0.23037490999999999</v>
      </c>
      <c r="AW57" s="10">
        <f>AQ57/H57</f>
        <v>0.56658349085470638</v>
      </c>
      <c r="AY57" s="10">
        <f>AU57</f>
        <v>0.23037490999999999</v>
      </c>
      <c r="AZ57" s="10"/>
      <c r="BA57" s="10"/>
      <c r="BB57" s="10">
        <f>K57/H57</f>
        <v>0.33620857898883527</v>
      </c>
      <c r="BC57" s="10">
        <f>J57/H57</f>
        <v>0</v>
      </c>
      <c r="BE57" t="e">
        <f>#REF!-#REF!</f>
        <v>#REF!</v>
      </c>
    </row>
    <row r="58" spans="2:57" x14ac:dyDescent="0.2">
      <c r="B58" s="13" t="s">
        <v>54</v>
      </c>
      <c r="C58" s="12" t="s">
        <v>51</v>
      </c>
      <c r="D58" s="12">
        <v>0</v>
      </c>
      <c r="E58" s="12">
        <v>8.5342824999999997E-2</v>
      </c>
      <c r="F58" s="12"/>
      <c r="G58" s="12"/>
      <c r="H58" s="12">
        <v>3.1043379949999999</v>
      </c>
      <c r="I58" s="12">
        <v>1.7588666580000001</v>
      </c>
      <c r="J58" s="12">
        <v>0.35768767200000001</v>
      </c>
      <c r="K58" s="12">
        <v>0.68601739399999995</v>
      </c>
      <c r="L58" s="12">
        <v>27458.48</v>
      </c>
      <c r="M58" s="12">
        <v>191772.15</v>
      </c>
      <c r="N58" s="12">
        <v>-25.37</v>
      </c>
      <c r="P58" s="16">
        <v>109.479795</v>
      </c>
      <c r="Q58" s="16">
        <v>-6.4959309999999997</v>
      </c>
      <c r="R58" s="16">
        <v>170</v>
      </c>
      <c r="S58" s="15">
        <v>1554.0826480000001</v>
      </c>
      <c r="T58" s="15">
        <v>159.85701800000001</v>
      </c>
      <c r="U58" s="15">
        <v>138.16451699999999</v>
      </c>
      <c r="V58" s="15">
        <v>36.550691999999998</v>
      </c>
      <c r="X58" t="str">
        <f>B58</f>
        <v>CA_Gasoline_Gasification_Non_CCS_Herb</v>
      </c>
      <c r="Y58" t="str">
        <f>C58</f>
        <v>Biomass_Corn</v>
      </c>
      <c r="Z58" s="11" t="e">
        <f t="shared" si="2"/>
        <v>#REF!</v>
      </c>
      <c r="AA58" s="11" t="e">
        <f t="shared" si="3"/>
        <v>#REF!</v>
      </c>
      <c r="AB58" s="5" t="e">
        <f>Z58-AA58</f>
        <v>#REF!</v>
      </c>
      <c r="AC58">
        <f>D58/H58*V58*-1</f>
        <v>0</v>
      </c>
      <c r="AD58">
        <f>E58/H58*V58</f>
        <v>1.0048323719933401</v>
      </c>
      <c r="AE58" s="1" cm="1">
        <f t="array" ref="AE58">_xlfn.IFS(C58="Biomass_Corn", 1/H58*R58, C58="Biomass_Agri", 1/H58*U58, C58="Biomass_Wood", 1/H58*T58, C58="Biomass_Herb", 1/H58*S58)</f>
        <v>54.762078186656993</v>
      </c>
      <c r="AF58" t="e">
        <f>#REF!/H58*#REF!</f>
        <v>#REF!</v>
      </c>
      <c r="AG58">
        <f>L58/H58/(0.9*8760)</f>
        <v>1.1219173819252375</v>
      </c>
      <c r="AH58">
        <f>M58/H58/(0.9*8760)</f>
        <v>7.8355578478551591</v>
      </c>
      <c r="AI58">
        <f>N58/H58</f>
        <v>-8.1724348446793407</v>
      </c>
      <c r="AJ58" s="1" t="e">
        <f>AY58+BB58+BC58-AW58+#REF!+#REF!</f>
        <v>#REF!</v>
      </c>
      <c r="AK58" s="1" t="e">
        <f>(P58+Q58)*-1*(J58+#REF!)/H58</f>
        <v>#REF!</v>
      </c>
      <c r="AL58" t="e">
        <f>AJ58*P58</f>
        <v>#REF!</v>
      </c>
      <c r="AM58">
        <f>SUM(AY58:BB58)-AW58</f>
        <v>-0.11522188575097303</v>
      </c>
      <c r="AN58" s="1" t="e">
        <f>(J58+#REF!)/H58*-1*Q58</f>
        <v>#REF!</v>
      </c>
      <c r="AO58">
        <f>AM58*P58</f>
        <v>-12.614468431529948</v>
      </c>
      <c r="AQ58" s="9">
        <f>I58</f>
        <v>1.7588666580000001</v>
      </c>
      <c r="AR58" s="9">
        <v>0.243968185</v>
      </c>
      <c r="AS58" s="9">
        <v>0.24942761299999999</v>
      </c>
      <c r="AT58" s="10">
        <v>0.24635668499999999</v>
      </c>
      <c r="AU58" s="9">
        <v>0.23037490999999999</v>
      </c>
      <c r="AW58" s="10">
        <f>AQ58/H58</f>
        <v>0.56658349085470638</v>
      </c>
      <c r="AY58" s="10">
        <f>AU58</f>
        <v>0.23037490999999999</v>
      </c>
      <c r="AZ58" s="10"/>
      <c r="BA58" s="10"/>
      <c r="BB58" s="10">
        <f>K58/H58</f>
        <v>0.22098669510373337</v>
      </c>
      <c r="BC58" s="10">
        <f>J58/H58</f>
        <v>0.11522188388510189</v>
      </c>
      <c r="BE58" t="e">
        <f>#REF!-#REF!</f>
        <v>#REF!</v>
      </c>
    </row>
    <row r="59" spans="2:57" x14ac:dyDescent="0.2">
      <c r="B59" s="13" t="s">
        <v>54</v>
      </c>
      <c r="C59" s="12" t="s">
        <v>51</v>
      </c>
      <c r="D59" s="12">
        <v>0</v>
      </c>
      <c r="E59" s="12">
        <v>8.5342824999999997E-2</v>
      </c>
      <c r="F59" s="12"/>
      <c r="G59" s="12"/>
      <c r="H59" s="12">
        <v>3.1043379949999999</v>
      </c>
      <c r="I59" s="12">
        <v>1.7588666580000001</v>
      </c>
      <c r="J59" s="12">
        <v>0.35768767200000001</v>
      </c>
      <c r="K59" s="12">
        <v>0.68601739399999995</v>
      </c>
      <c r="L59" s="12">
        <v>27458.48</v>
      </c>
      <c r="M59" s="12">
        <v>191772.15</v>
      </c>
      <c r="N59" s="12">
        <v>-25.37</v>
      </c>
      <c r="P59" s="16">
        <v>109.479795</v>
      </c>
      <c r="Q59" s="16">
        <v>-7.354813</v>
      </c>
      <c r="R59" s="16">
        <v>170</v>
      </c>
      <c r="S59" s="15">
        <v>138.356765</v>
      </c>
      <c r="T59" s="15">
        <v>156.77793399999999</v>
      </c>
      <c r="U59" s="15">
        <v>119.345797</v>
      </c>
      <c r="V59" s="15">
        <v>26.773821999999999</v>
      </c>
      <c r="X59" t="str">
        <f>B59</f>
        <v>CA_Gasoline_Gasification_Non_CCS_Herb</v>
      </c>
      <c r="Y59" t="str">
        <f>C59</f>
        <v>Biomass_Corn</v>
      </c>
      <c r="Z59" s="11" t="e">
        <f t="shared" si="2"/>
        <v>#REF!</v>
      </c>
      <c r="AA59" s="11" t="e">
        <f t="shared" si="3"/>
        <v>#REF!</v>
      </c>
      <c r="AB59" s="5" t="e">
        <f>Z59-AA59</f>
        <v>#REF!</v>
      </c>
      <c r="AC59">
        <f>D59/H59*V59*-1</f>
        <v>0</v>
      </c>
      <c r="AD59">
        <f>E59/H59*V59</f>
        <v>0.73605181175742107</v>
      </c>
      <c r="AE59" s="1" cm="1">
        <f t="array" ref="AE59">_xlfn.IFS(C59="Biomass_Corn", 1/H59*R59, C59="Biomass_Agri", 1/H59*U59, C59="Biomass_Wood", 1/H59*T59, C59="Biomass_Herb", 1/H59*S59)</f>
        <v>54.762078186656993</v>
      </c>
      <c r="AF59" t="e">
        <f>#REF!/H59*#REF!</f>
        <v>#REF!</v>
      </c>
      <c r="AG59">
        <f>L59/H59/(0.9*8760)</f>
        <v>1.1219173819252375</v>
      </c>
      <c r="AH59">
        <f>M59/H59/(0.9*8760)</f>
        <v>7.8355578478551591</v>
      </c>
      <c r="AI59">
        <f>N59/H59</f>
        <v>-8.1724348446793407</v>
      </c>
      <c r="AJ59" s="1" t="e">
        <f>AY59+BB59+BC59-AW59+#REF!+#REF!</f>
        <v>#REF!</v>
      </c>
      <c r="AK59" s="1" t="e">
        <f>(P59+Q59)*-1*(J59+#REF!)/H59</f>
        <v>#REF!</v>
      </c>
      <c r="AL59" t="e">
        <f>AJ59*P59</f>
        <v>#REF!</v>
      </c>
      <c r="AM59">
        <f>SUM(AY59:BB59)-AW59</f>
        <v>-0.11522188575097303</v>
      </c>
      <c r="AN59" s="1" t="e">
        <f>(J59+#REF!)/H59*-1*Q59</f>
        <v>#REF!</v>
      </c>
      <c r="AO59">
        <f>AM59*P59</f>
        <v>-12.614468431529948</v>
      </c>
      <c r="AQ59" s="9">
        <f>I59</f>
        <v>1.7588666580000001</v>
      </c>
      <c r="AR59" s="9">
        <v>0.243968185</v>
      </c>
      <c r="AS59" s="9">
        <v>0.24942761299999999</v>
      </c>
      <c r="AT59" s="10">
        <v>0.24635668499999999</v>
      </c>
      <c r="AU59" s="9">
        <v>0.23037490999999999</v>
      </c>
      <c r="AW59" s="10">
        <f>AQ59/H59</f>
        <v>0.56658349085470638</v>
      </c>
      <c r="AY59" s="10">
        <f>AU59</f>
        <v>0.23037490999999999</v>
      </c>
      <c r="AZ59" s="10"/>
      <c r="BA59" s="10"/>
      <c r="BB59" s="10">
        <f>K59/H59</f>
        <v>0.22098669510373337</v>
      </c>
      <c r="BC59" s="10">
        <f>J59/H59</f>
        <v>0.11522188388510189</v>
      </c>
      <c r="BE59" t="e">
        <f>#REF!-#REF!</f>
        <v>#REF!</v>
      </c>
    </row>
    <row r="60" spans="2:57" x14ac:dyDescent="0.2">
      <c r="B60" s="13" t="s">
        <v>54</v>
      </c>
      <c r="C60" s="12" t="s">
        <v>51</v>
      </c>
      <c r="D60" s="12">
        <v>0</v>
      </c>
      <c r="E60" s="12">
        <v>8.5342824999999997E-2</v>
      </c>
      <c r="F60" s="12"/>
      <c r="G60" s="12"/>
      <c r="H60" s="12">
        <v>3.1043379949999999</v>
      </c>
      <c r="I60" s="12">
        <v>1.7588666580000001</v>
      </c>
      <c r="J60" s="12">
        <v>0.35768767200000001</v>
      </c>
      <c r="K60" s="12">
        <v>0.68601739399999995</v>
      </c>
      <c r="L60" s="12">
        <v>27458.48</v>
      </c>
      <c r="M60" s="12">
        <v>191772.15</v>
      </c>
      <c r="N60" s="12">
        <v>-25.37</v>
      </c>
      <c r="P60" s="16">
        <v>109.479795</v>
      </c>
      <c r="Q60" s="16">
        <v>-16.598628000000001</v>
      </c>
      <c r="R60" s="16">
        <v>170</v>
      </c>
      <c r="S60" s="15">
        <v>123.651932</v>
      </c>
      <c r="T60" s="15">
        <v>141.0224</v>
      </c>
      <c r="U60" s="15">
        <v>111.7672</v>
      </c>
      <c r="V60" s="15">
        <v>27.997803999999999</v>
      </c>
      <c r="X60" t="str">
        <f>B60</f>
        <v>CA_Gasoline_Gasification_Non_CCS_Herb</v>
      </c>
      <c r="Y60" t="str">
        <f>C60</f>
        <v>Biomass_Corn</v>
      </c>
      <c r="Z60" s="11" t="e">
        <f t="shared" si="2"/>
        <v>#REF!</v>
      </c>
      <c r="AA60" s="11" t="e">
        <f t="shared" si="3"/>
        <v>#REF!</v>
      </c>
      <c r="AB60" s="5" t="e">
        <f>Z60-AA60</f>
        <v>#REF!</v>
      </c>
      <c r="AC60">
        <f>D60/H60*V60*-1</f>
        <v>0</v>
      </c>
      <c r="AD60">
        <f>E60/H60*V60</f>
        <v>0.76970088018920757</v>
      </c>
      <c r="AE60" s="1" cm="1">
        <f t="array" ref="AE60">_xlfn.IFS(C60="Biomass_Corn", 1/H60*R60, C60="Biomass_Agri", 1/H60*U60, C60="Biomass_Wood", 1/H60*T60, C60="Biomass_Herb", 1/H60*S60)</f>
        <v>54.762078186656993</v>
      </c>
      <c r="AF60" t="e">
        <f>#REF!/H60*#REF!</f>
        <v>#REF!</v>
      </c>
      <c r="AG60">
        <f>L60/H60/(0.9*8760)</f>
        <v>1.1219173819252375</v>
      </c>
      <c r="AH60">
        <f>M60/H60/(0.9*8760)</f>
        <v>7.8355578478551591</v>
      </c>
      <c r="AI60">
        <f>N60/H60</f>
        <v>-8.1724348446793407</v>
      </c>
      <c r="AJ60" s="1" t="e">
        <f>AY60+BB60+BC60-AW60+#REF!+#REF!</f>
        <v>#REF!</v>
      </c>
      <c r="AK60" s="1" t="e">
        <f>(P60+Q60)*-1*(J60+#REF!)/H60</f>
        <v>#REF!</v>
      </c>
      <c r="AL60" t="e">
        <f>AJ60*P60</f>
        <v>#REF!</v>
      </c>
      <c r="AM60">
        <f>SUM(AY60:BB60)-AW60</f>
        <v>-0.11522188575097303</v>
      </c>
      <c r="AN60" s="1" t="e">
        <f>(J60+#REF!)/H60*-1*Q60</f>
        <v>#REF!</v>
      </c>
      <c r="AO60">
        <f>AM60*P60</f>
        <v>-12.614468431529948</v>
      </c>
      <c r="AQ60" s="9">
        <f>I60</f>
        <v>1.7588666580000001</v>
      </c>
      <c r="AR60" s="9">
        <v>0.243968185</v>
      </c>
      <c r="AS60" s="9">
        <v>0.24942761299999999</v>
      </c>
      <c r="AT60" s="10">
        <v>0.24635668499999999</v>
      </c>
      <c r="AU60" s="9">
        <v>0.23037490999999999</v>
      </c>
      <c r="AW60" s="10">
        <f>AQ60/H60</f>
        <v>0.56658349085470638</v>
      </c>
      <c r="AY60" s="10">
        <f>AU60</f>
        <v>0.23037490999999999</v>
      </c>
      <c r="AZ60" s="10"/>
      <c r="BA60" s="10"/>
      <c r="BB60" s="10">
        <f>K60/H60</f>
        <v>0.22098669510373337</v>
      </c>
      <c r="BC60" s="10">
        <f>J60/H60</f>
        <v>0.11522188388510189</v>
      </c>
      <c r="BE60" t="e">
        <f>#REF!-#REF!</f>
        <v>#REF!</v>
      </c>
    </row>
    <row r="61" spans="2:57" x14ac:dyDescent="0.2">
      <c r="B61" s="13" t="s">
        <v>54</v>
      </c>
      <c r="C61" s="12" t="s">
        <v>51</v>
      </c>
      <c r="D61" s="12">
        <v>0</v>
      </c>
      <c r="E61" s="12">
        <v>8.5342824999999997E-2</v>
      </c>
      <c r="F61" s="12"/>
      <c r="G61" s="12"/>
      <c r="H61" s="12">
        <v>3.1043379949999999</v>
      </c>
      <c r="I61" s="12">
        <v>1.7588666580000001</v>
      </c>
      <c r="J61" s="12">
        <v>0.35768767200000001</v>
      </c>
      <c r="K61" s="12">
        <v>0.68601739399999995</v>
      </c>
      <c r="L61" s="12">
        <v>27458.48</v>
      </c>
      <c r="M61" s="12">
        <v>191772.15</v>
      </c>
      <c r="N61" s="12">
        <v>-25.37</v>
      </c>
      <c r="P61" s="16">
        <v>109.479795</v>
      </c>
      <c r="Q61" s="16">
        <v>-21.506692000000001</v>
      </c>
      <c r="R61" s="16">
        <v>170</v>
      </c>
      <c r="S61" s="15">
        <v>137.93464800000001</v>
      </c>
      <c r="T61" s="15">
        <v>157.881351</v>
      </c>
      <c r="U61" s="15">
        <v>111.364845</v>
      </c>
      <c r="V61" s="15">
        <v>20.230252</v>
      </c>
      <c r="X61" t="str">
        <f>B61</f>
        <v>CA_Gasoline_Gasification_Non_CCS_Herb</v>
      </c>
      <c r="Y61" t="str">
        <f>C61</f>
        <v>Biomass_Corn</v>
      </c>
      <c r="Z61" s="11" t="e">
        <f t="shared" si="2"/>
        <v>#REF!</v>
      </c>
      <c r="AA61" s="11" t="e">
        <f t="shared" si="3"/>
        <v>#REF!</v>
      </c>
      <c r="AB61" s="5" t="e">
        <f>Z61-AA61</f>
        <v>#REF!</v>
      </c>
      <c r="AC61">
        <f>D61/H61*V61*-1</f>
        <v>0</v>
      </c>
      <c r="AD61">
        <f>E61/H61*V61</f>
        <v>0.55615943203436513</v>
      </c>
      <c r="AE61" s="1" cm="1">
        <f t="array" ref="AE61">_xlfn.IFS(C61="Biomass_Corn", 1/H61*R61, C61="Biomass_Agri", 1/H61*U61, C61="Biomass_Wood", 1/H61*T61, C61="Biomass_Herb", 1/H61*S61)</f>
        <v>54.762078186656993</v>
      </c>
      <c r="AF61" t="e">
        <f>#REF!/H61*#REF!</f>
        <v>#REF!</v>
      </c>
      <c r="AG61">
        <f>L61/H61/(0.9*8760)</f>
        <v>1.1219173819252375</v>
      </c>
      <c r="AH61">
        <f>M61/H61/(0.9*8760)</f>
        <v>7.8355578478551591</v>
      </c>
      <c r="AI61">
        <f>N61/H61</f>
        <v>-8.1724348446793407</v>
      </c>
      <c r="AJ61" s="1" t="e">
        <f>AY61+BB61+BC61-AW61+#REF!+#REF!</f>
        <v>#REF!</v>
      </c>
      <c r="AK61" s="1" t="e">
        <f>(P61+Q61)*-1*(J61+#REF!)/H61</f>
        <v>#REF!</v>
      </c>
      <c r="AL61" t="e">
        <f>AJ61*P61</f>
        <v>#REF!</v>
      </c>
      <c r="AM61">
        <f>SUM(AY61:BB61)-AW61</f>
        <v>-0.11522188575097303</v>
      </c>
      <c r="AN61" s="1" t="e">
        <f>(J61+#REF!)/H61*-1*Q61</f>
        <v>#REF!</v>
      </c>
      <c r="AO61">
        <f>AM61*P61</f>
        <v>-12.614468431529948</v>
      </c>
      <c r="AQ61" s="9">
        <f>I61</f>
        <v>1.7588666580000001</v>
      </c>
      <c r="AR61" s="9">
        <v>0.243968185</v>
      </c>
      <c r="AS61" s="9">
        <v>0.24942761299999999</v>
      </c>
      <c r="AT61" s="10">
        <v>0.24635668499999999</v>
      </c>
      <c r="AU61" s="9">
        <v>0.23037490999999999</v>
      </c>
      <c r="AW61" s="10">
        <f>AQ61/H61</f>
        <v>0.56658349085470638</v>
      </c>
      <c r="AY61" s="10">
        <f>AU61</f>
        <v>0.23037490999999999</v>
      </c>
      <c r="AZ61" s="10"/>
      <c r="BA61" s="10"/>
      <c r="BB61" s="10">
        <f>K61/H61</f>
        <v>0.22098669510373337</v>
      </c>
      <c r="BC61" s="10">
        <f>J61/H61</f>
        <v>0.11522188388510189</v>
      </c>
      <c r="BE61" t="e">
        <f>#REF!-#REF!</f>
        <v>#REF!</v>
      </c>
    </row>
    <row r="62" spans="2:57" x14ac:dyDescent="0.2">
      <c r="B62" s="13" t="s">
        <v>54</v>
      </c>
      <c r="C62" s="12" t="s">
        <v>51</v>
      </c>
      <c r="D62" s="12">
        <v>0</v>
      </c>
      <c r="E62" s="12">
        <v>8.5342824999999997E-2</v>
      </c>
      <c r="F62" s="12"/>
      <c r="G62" s="12"/>
      <c r="H62" s="12">
        <v>3.1043379949999999</v>
      </c>
      <c r="I62" s="12">
        <v>1.7588666580000001</v>
      </c>
      <c r="J62" s="12">
        <v>0.35768767200000001</v>
      </c>
      <c r="K62" s="12">
        <v>0.68601739399999995</v>
      </c>
      <c r="L62" s="12">
        <v>27458.48</v>
      </c>
      <c r="M62" s="12">
        <v>191772.15</v>
      </c>
      <c r="N62" s="12">
        <v>-25.37</v>
      </c>
      <c r="P62" s="16">
        <v>109.479795</v>
      </c>
      <c r="Q62" s="16">
        <v>-41.717134999999999</v>
      </c>
      <c r="R62" s="16">
        <v>170</v>
      </c>
      <c r="S62" s="15">
        <v>104.167382</v>
      </c>
      <c r="T62" s="15">
        <v>115.52638899999999</v>
      </c>
      <c r="U62" s="15">
        <v>92.044978</v>
      </c>
      <c r="V62" s="15">
        <v>30.708172999999999</v>
      </c>
      <c r="X62" t="str">
        <f>B62</f>
        <v>CA_Gasoline_Gasification_Non_CCS_Herb</v>
      </c>
      <c r="Y62" t="str">
        <f>C62</f>
        <v>Biomass_Corn</v>
      </c>
      <c r="Z62" s="11" t="e">
        <f t="shared" si="2"/>
        <v>#REF!</v>
      </c>
      <c r="AA62" s="11" t="e">
        <f t="shared" si="3"/>
        <v>#REF!</v>
      </c>
      <c r="AB62" s="5" t="e">
        <f>Z62-AA62</f>
        <v>#REF!</v>
      </c>
      <c r="AC62">
        <f>D62/H62*V62*-1</f>
        <v>0</v>
      </c>
      <c r="AD62">
        <f>E62/H62*V62</f>
        <v>0.8442129170953</v>
      </c>
      <c r="AE62" s="1" cm="1">
        <f t="array" ref="AE62">_xlfn.IFS(C62="Biomass_Corn", 1/H62*R62, C62="Biomass_Agri", 1/H62*U62, C62="Biomass_Wood", 1/H62*T62, C62="Biomass_Herb", 1/H62*S62)</f>
        <v>54.762078186656993</v>
      </c>
      <c r="AF62" t="e">
        <f>#REF!/H62*#REF!</f>
        <v>#REF!</v>
      </c>
      <c r="AG62">
        <f>L62/H62/(0.9*8760)</f>
        <v>1.1219173819252375</v>
      </c>
      <c r="AH62">
        <f>M62/H62/(0.9*8760)</f>
        <v>7.8355578478551591</v>
      </c>
      <c r="AI62">
        <f>N62/H62</f>
        <v>-8.1724348446793407</v>
      </c>
      <c r="AJ62" s="1" t="e">
        <f>AY62+BB62+BC62-AW62+#REF!+#REF!</f>
        <v>#REF!</v>
      </c>
      <c r="AK62" s="1" t="e">
        <f>(P62+Q62)*-1*(J62+#REF!)/H62</f>
        <v>#REF!</v>
      </c>
      <c r="AL62" t="e">
        <f>AJ62*P62</f>
        <v>#REF!</v>
      </c>
      <c r="AM62">
        <f>SUM(AY62:BB62)-AW62</f>
        <v>-0.11522188575097303</v>
      </c>
      <c r="AN62" s="1" t="e">
        <f>(J62+#REF!)/H62*-1*Q62</f>
        <v>#REF!</v>
      </c>
      <c r="AO62">
        <f>AM62*P62</f>
        <v>-12.614468431529948</v>
      </c>
      <c r="AQ62" s="9">
        <f>I62</f>
        <v>1.7588666580000001</v>
      </c>
      <c r="AR62" s="9">
        <v>0.243968185</v>
      </c>
      <c r="AS62" s="9">
        <v>0.24942761299999999</v>
      </c>
      <c r="AT62" s="10">
        <v>0.24635668499999999</v>
      </c>
      <c r="AU62" s="9">
        <v>0.23037490999999999</v>
      </c>
      <c r="AW62" s="10">
        <f>AQ62/H62</f>
        <v>0.56658349085470638</v>
      </c>
      <c r="AY62" s="10">
        <f>AU62</f>
        <v>0.23037490999999999</v>
      </c>
      <c r="AZ62" s="10"/>
      <c r="BA62" s="10"/>
      <c r="BB62" s="10">
        <f>K62/H62</f>
        <v>0.22098669510373337</v>
      </c>
      <c r="BC62" s="10">
        <f>J62/H62</f>
        <v>0.11522188388510189</v>
      </c>
      <c r="BE62" t="e">
        <f>#REF!-#REF!</f>
        <v>#REF!</v>
      </c>
    </row>
    <row r="63" spans="2:57" x14ac:dyDescent="0.2">
      <c r="B63" s="13" t="s">
        <v>54</v>
      </c>
      <c r="C63" s="12" t="s">
        <v>51</v>
      </c>
      <c r="D63" s="12">
        <v>0</v>
      </c>
      <c r="E63" s="12">
        <v>8.5342824999999997E-2</v>
      </c>
      <c r="F63" s="12"/>
      <c r="G63" s="12"/>
      <c r="H63" s="12">
        <v>3.1043379949999999</v>
      </c>
      <c r="I63" s="12">
        <v>1.7588666580000001</v>
      </c>
      <c r="J63" s="12">
        <v>0.35768767200000001</v>
      </c>
      <c r="K63" s="12">
        <v>0.68601739399999995</v>
      </c>
      <c r="L63" s="12">
        <v>27458.48</v>
      </c>
      <c r="M63" s="12">
        <v>191772.15</v>
      </c>
      <c r="N63" s="12">
        <v>-25.37</v>
      </c>
      <c r="P63" s="16">
        <v>109.479795</v>
      </c>
      <c r="Q63" s="16">
        <v>-31.70346</v>
      </c>
      <c r="R63" s="16">
        <v>170</v>
      </c>
      <c r="S63" s="15">
        <v>110.461518</v>
      </c>
      <c r="T63" s="15">
        <v>127.408748</v>
      </c>
      <c r="U63" s="15">
        <v>98.832477999999995</v>
      </c>
      <c r="V63" s="15">
        <v>25.324636999999999</v>
      </c>
      <c r="X63" t="str">
        <f>B63</f>
        <v>CA_Gasoline_Gasification_Non_CCS_Herb</v>
      </c>
      <c r="Y63" t="str">
        <f>C63</f>
        <v>Biomass_Corn</v>
      </c>
      <c r="Z63" s="11" t="e">
        <f t="shared" si="2"/>
        <v>#REF!</v>
      </c>
      <c r="AA63" s="11" t="e">
        <f t="shared" si="3"/>
        <v>#REF!</v>
      </c>
      <c r="AB63" s="5" t="e">
        <f>Z63-AA63</f>
        <v>#REF!</v>
      </c>
      <c r="AC63">
        <f>D63/H63*V63*-1</f>
        <v>0</v>
      </c>
      <c r="AD63">
        <f>E63/H63*V63</f>
        <v>0.69621158107157877</v>
      </c>
      <c r="AE63" s="1" cm="1">
        <f t="array" ref="AE63">_xlfn.IFS(C63="Biomass_Corn", 1/H63*R63, C63="Biomass_Agri", 1/H63*U63, C63="Biomass_Wood", 1/H63*T63, C63="Biomass_Herb", 1/H63*S63)</f>
        <v>54.762078186656993</v>
      </c>
      <c r="AF63" t="e">
        <f>#REF!/H63*#REF!</f>
        <v>#REF!</v>
      </c>
      <c r="AG63">
        <f>L63/H63/(0.9*8760)</f>
        <v>1.1219173819252375</v>
      </c>
      <c r="AH63">
        <f>M63/H63/(0.9*8760)</f>
        <v>7.8355578478551591</v>
      </c>
      <c r="AI63">
        <f>N63/H63</f>
        <v>-8.1724348446793407</v>
      </c>
      <c r="AJ63" s="1" t="e">
        <f>AY63+BB63+BC63-AW63+#REF!+#REF!</f>
        <v>#REF!</v>
      </c>
      <c r="AK63" s="1" t="e">
        <f>(P63+Q63)*-1*(J63+#REF!)/H63</f>
        <v>#REF!</v>
      </c>
      <c r="AL63" t="e">
        <f>AJ63*P63</f>
        <v>#REF!</v>
      </c>
      <c r="AM63">
        <f>SUM(AY63:BB63)-AW63</f>
        <v>-0.11522188575097303</v>
      </c>
      <c r="AN63" s="1" t="e">
        <f>(J63+#REF!)/H63*-1*Q63</f>
        <v>#REF!</v>
      </c>
      <c r="AO63">
        <f>AM63*P63</f>
        <v>-12.614468431529948</v>
      </c>
      <c r="AQ63" s="9">
        <f>I63</f>
        <v>1.7588666580000001</v>
      </c>
      <c r="AR63" s="9">
        <v>0.243968185</v>
      </c>
      <c r="AS63" s="9">
        <v>0.24942761299999999</v>
      </c>
      <c r="AT63" s="10">
        <v>0.24635668499999999</v>
      </c>
      <c r="AU63" s="9">
        <v>0.23037490999999999</v>
      </c>
      <c r="AW63" s="10">
        <f>AQ63/H63</f>
        <v>0.56658349085470638</v>
      </c>
      <c r="AY63" s="10">
        <f>AU63</f>
        <v>0.23037490999999999</v>
      </c>
      <c r="AZ63" s="10"/>
      <c r="BA63" s="10"/>
      <c r="BB63" s="10">
        <f>K63/H63</f>
        <v>0.22098669510373337</v>
      </c>
      <c r="BC63" s="10">
        <f>J63/H63</f>
        <v>0.11522188388510189</v>
      </c>
      <c r="BE63" t="e">
        <f>#REF!-#REF!</f>
        <v>#REF!</v>
      </c>
    </row>
    <row r="64" spans="2:57" x14ac:dyDescent="0.2">
      <c r="B64" s="13" t="s">
        <v>54</v>
      </c>
      <c r="C64" s="12" t="s">
        <v>51</v>
      </c>
      <c r="D64" s="12">
        <v>0</v>
      </c>
      <c r="E64" s="12">
        <v>8.5342824999999997E-2</v>
      </c>
      <c r="F64" s="12"/>
      <c r="G64" s="12"/>
      <c r="H64" s="12">
        <v>3.1043379949999999</v>
      </c>
      <c r="I64" s="12">
        <v>1.7588666580000001</v>
      </c>
      <c r="J64" s="12">
        <v>0.35768767200000001</v>
      </c>
      <c r="K64" s="12">
        <v>0.68601739399999995</v>
      </c>
      <c r="L64" s="12">
        <v>27458.48</v>
      </c>
      <c r="M64" s="12">
        <v>191772.15</v>
      </c>
      <c r="N64" s="12">
        <v>-25.37</v>
      </c>
      <c r="P64" s="16">
        <v>109.479795</v>
      </c>
      <c r="Q64" s="16">
        <v>-47.70091</v>
      </c>
      <c r="R64" s="16">
        <v>170</v>
      </c>
      <c r="S64" s="15">
        <v>99.632842999999994</v>
      </c>
      <c r="T64" s="15">
        <v>113.227017</v>
      </c>
      <c r="U64" s="15">
        <v>88.855315000000004</v>
      </c>
      <c r="V64" s="15">
        <v>38.218446</v>
      </c>
      <c r="X64" t="str">
        <f>B64</f>
        <v>CA_Gasoline_Gasification_Non_CCS_Herb</v>
      </c>
      <c r="Y64" t="str">
        <f>C64</f>
        <v>Biomass_Corn</v>
      </c>
      <c r="Z64" s="11" t="e">
        <f t="shared" si="2"/>
        <v>#REF!</v>
      </c>
      <c r="AA64" s="11" t="e">
        <f t="shared" si="3"/>
        <v>#REF!</v>
      </c>
      <c r="AB64" s="5" t="e">
        <f>Z64-AA64</f>
        <v>#REF!</v>
      </c>
      <c r="AC64">
        <f>D64/H64*V64*-1</f>
        <v>0</v>
      </c>
      <c r="AD64">
        <f>E64/H64*V64</f>
        <v>1.0506813864995876</v>
      </c>
      <c r="AE64" s="1" cm="1">
        <f t="array" ref="AE64">_xlfn.IFS(C64="Biomass_Corn", 1/H64*R64, C64="Biomass_Agri", 1/H64*U64, C64="Biomass_Wood", 1/H64*T64, C64="Biomass_Herb", 1/H64*S64)</f>
        <v>54.762078186656993</v>
      </c>
      <c r="AF64" t="e">
        <f>#REF!/H64*#REF!</f>
        <v>#REF!</v>
      </c>
      <c r="AG64">
        <f>L64/H64/(0.9*8760)</f>
        <v>1.1219173819252375</v>
      </c>
      <c r="AH64">
        <f>M64/H64/(0.9*8760)</f>
        <v>7.8355578478551591</v>
      </c>
      <c r="AI64">
        <f>N64/H64</f>
        <v>-8.1724348446793407</v>
      </c>
      <c r="AJ64" s="1" t="e">
        <f>AY64+BB64+BC64-AW64+#REF!+#REF!</f>
        <v>#REF!</v>
      </c>
      <c r="AK64" s="1" t="e">
        <f>(P64+Q64)*-1*(J64+#REF!)/H64</f>
        <v>#REF!</v>
      </c>
      <c r="AL64" t="e">
        <f>AJ64*P64</f>
        <v>#REF!</v>
      </c>
      <c r="AM64">
        <f>SUM(AY64:BB64)-AW64</f>
        <v>-0.11522188575097303</v>
      </c>
      <c r="AN64" s="1" t="e">
        <f>(J64+#REF!)/H64*-1*Q64</f>
        <v>#REF!</v>
      </c>
      <c r="AO64">
        <f>AM64*P64</f>
        <v>-12.614468431529948</v>
      </c>
      <c r="AQ64" s="9">
        <f>I64</f>
        <v>1.7588666580000001</v>
      </c>
      <c r="AR64" s="9">
        <v>0.243968185</v>
      </c>
      <c r="AS64" s="9">
        <v>0.24942761299999999</v>
      </c>
      <c r="AT64" s="10">
        <v>0.24635668499999999</v>
      </c>
      <c r="AU64" s="9">
        <v>0.23037490999999999</v>
      </c>
      <c r="AW64" s="10">
        <f>AQ64/H64</f>
        <v>0.56658349085470638</v>
      </c>
      <c r="AY64" s="10">
        <f>AU64</f>
        <v>0.23037490999999999</v>
      </c>
      <c r="AZ64" s="10"/>
      <c r="BA64" s="10"/>
      <c r="BB64" s="10">
        <f>K64/H64</f>
        <v>0.22098669510373337</v>
      </c>
      <c r="BC64" s="10">
        <f>J64/H64</f>
        <v>0.11522188388510189</v>
      </c>
      <c r="BE64" t="e">
        <f>#REF!-#REF!</f>
        <v>#REF!</v>
      </c>
    </row>
    <row r="65" spans="2:57" x14ac:dyDescent="0.2">
      <c r="B65" s="13" t="s">
        <v>54</v>
      </c>
      <c r="C65" s="12" t="s">
        <v>51</v>
      </c>
      <c r="D65" s="12">
        <v>0</v>
      </c>
      <c r="E65" s="12">
        <v>8.5342824999999997E-2</v>
      </c>
      <c r="F65" s="12"/>
      <c r="G65" s="12"/>
      <c r="H65" s="12">
        <v>3.1043379949999999</v>
      </c>
      <c r="I65" s="12">
        <v>1.7588666580000001</v>
      </c>
      <c r="J65" s="12">
        <v>0.35768767200000001</v>
      </c>
      <c r="K65" s="12">
        <v>0.68601739399999995</v>
      </c>
      <c r="L65" s="12">
        <v>27458.48</v>
      </c>
      <c r="M65" s="12">
        <v>191772.15</v>
      </c>
      <c r="N65" s="12">
        <v>-25.37</v>
      </c>
      <c r="P65" s="16">
        <v>109.479795</v>
      </c>
      <c r="Q65" s="16">
        <v>-54.115442999999999</v>
      </c>
      <c r="R65" s="16">
        <v>170</v>
      </c>
      <c r="S65" s="15">
        <v>100.77374399999999</v>
      </c>
      <c r="T65" s="15">
        <v>108.668072</v>
      </c>
      <c r="U65" s="15">
        <v>89.424565000000001</v>
      </c>
      <c r="V65" s="15">
        <v>39.359471999999997</v>
      </c>
      <c r="X65" t="str">
        <f>B65</f>
        <v>CA_Gasoline_Gasification_Non_CCS_Herb</v>
      </c>
      <c r="Y65" t="str">
        <f>C65</f>
        <v>Biomass_Corn</v>
      </c>
      <c r="Z65" s="11" t="e">
        <f t="shared" si="2"/>
        <v>#REF!</v>
      </c>
      <c r="AA65" s="11" t="e">
        <f t="shared" si="3"/>
        <v>#REF!</v>
      </c>
      <c r="AB65" s="5" t="e">
        <f>Z65-AA65</f>
        <v>#REF!</v>
      </c>
      <c r="AC65">
        <f>D65/H65*V65*-1</f>
        <v>0</v>
      </c>
      <c r="AD65">
        <f>E65/H65*V65</f>
        <v>1.0820498722750709</v>
      </c>
      <c r="AE65" s="1" cm="1">
        <f t="array" ref="AE65">_xlfn.IFS(C65="Biomass_Corn", 1/H65*R65, C65="Biomass_Agri", 1/H65*U65, C65="Biomass_Wood", 1/H65*T65, C65="Biomass_Herb", 1/H65*S65)</f>
        <v>54.762078186656993</v>
      </c>
      <c r="AF65" t="e">
        <f>#REF!/H65*#REF!</f>
        <v>#REF!</v>
      </c>
      <c r="AG65">
        <f>L65/H65/(0.9*8760)</f>
        <v>1.1219173819252375</v>
      </c>
      <c r="AH65">
        <f>M65/H65/(0.9*8760)</f>
        <v>7.8355578478551591</v>
      </c>
      <c r="AI65">
        <f>N65/H65</f>
        <v>-8.1724348446793407</v>
      </c>
      <c r="AJ65" s="1" t="e">
        <f>AY65+BB65+BC65-AW65+#REF!+#REF!</f>
        <v>#REF!</v>
      </c>
      <c r="AK65" s="1" t="e">
        <f>(P65+Q65)*-1*(J65+#REF!)/H65</f>
        <v>#REF!</v>
      </c>
      <c r="AL65" t="e">
        <f>AJ65*P65</f>
        <v>#REF!</v>
      </c>
      <c r="AM65">
        <f>SUM(AY65:BB65)-AW65</f>
        <v>-0.11522188575097303</v>
      </c>
      <c r="AN65" s="1" t="e">
        <f>(J65+#REF!)/H65*-1*Q65</f>
        <v>#REF!</v>
      </c>
      <c r="AO65">
        <f>AM65*P65</f>
        <v>-12.614468431529948</v>
      </c>
      <c r="AQ65" s="9">
        <f>I65</f>
        <v>1.7588666580000001</v>
      </c>
      <c r="AR65" s="9">
        <v>0.243968185</v>
      </c>
      <c r="AS65" s="9">
        <v>0.24942761299999999</v>
      </c>
      <c r="AT65" s="10">
        <v>0.24635668499999999</v>
      </c>
      <c r="AU65" s="9">
        <v>0.23037490999999999</v>
      </c>
      <c r="AW65" s="10">
        <f>AQ65/H65</f>
        <v>0.56658349085470638</v>
      </c>
      <c r="AY65" s="10">
        <f>AU65</f>
        <v>0.23037490999999999</v>
      </c>
      <c r="AZ65" s="10"/>
      <c r="BA65" s="10"/>
      <c r="BB65" s="10">
        <f>K65/H65</f>
        <v>0.22098669510373337</v>
      </c>
      <c r="BC65" s="10">
        <f>J65/H65</f>
        <v>0.11522188388510189</v>
      </c>
      <c r="BE65" t="e">
        <f>#REF!-#REF!</f>
        <v>#REF!</v>
      </c>
    </row>
    <row r="66" spans="2:57" x14ac:dyDescent="0.2">
      <c r="B66" s="13" t="s">
        <v>54</v>
      </c>
      <c r="C66" s="12" t="s">
        <v>51</v>
      </c>
      <c r="D66" s="12">
        <v>0</v>
      </c>
      <c r="E66" s="12">
        <v>8.5342824999999997E-2</v>
      </c>
      <c r="F66" s="12"/>
      <c r="G66" s="12"/>
      <c r="H66" s="12">
        <v>3.1043379949999999</v>
      </c>
      <c r="I66" s="12">
        <v>1.7588666580000001</v>
      </c>
      <c r="J66" s="12">
        <v>0.35768767200000001</v>
      </c>
      <c r="K66" s="12">
        <v>0.68601739399999995</v>
      </c>
      <c r="L66" s="12">
        <v>27458.48</v>
      </c>
      <c r="M66" s="12">
        <v>191772.15</v>
      </c>
      <c r="N66" s="12">
        <v>-25.37</v>
      </c>
      <c r="P66" s="16">
        <v>109.479795</v>
      </c>
      <c r="Q66" s="16">
        <v>-62.623761000000002</v>
      </c>
      <c r="R66" s="16">
        <v>170</v>
      </c>
      <c r="S66" s="15">
        <v>101.59236199999999</v>
      </c>
      <c r="T66" s="15">
        <v>107.351319</v>
      </c>
      <c r="U66" s="15">
        <v>91.706649999999996</v>
      </c>
      <c r="V66" s="15">
        <v>47.446024999999999</v>
      </c>
      <c r="X66" t="str">
        <f>B66</f>
        <v>CA_Gasoline_Gasification_Non_CCS_Herb</v>
      </c>
      <c r="Y66" t="str">
        <f>C66</f>
        <v>Biomass_Corn</v>
      </c>
      <c r="Z66" s="11" t="e">
        <f t="shared" si="2"/>
        <v>#REF!</v>
      </c>
      <c r="AA66" s="11" t="e">
        <f t="shared" si="3"/>
        <v>#REF!</v>
      </c>
      <c r="AB66" s="5" t="e">
        <f>Z66-AA66</f>
        <v>#REF!</v>
      </c>
      <c r="AC66">
        <f>D66/H66*V66*-1</f>
        <v>0</v>
      </c>
      <c r="AD66">
        <f>E66/H66*V66</f>
        <v>1.3043611278934286</v>
      </c>
      <c r="AE66" s="1" cm="1">
        <f t="array" ref="AE66">_xlfn.IFS(C66="Biomass_Corn", 1/H66*R66, C66="Biomass_Agri", 1/H66*U66, C66="Biomass_Wood", 1/H66*T66, C66="Biomass_Herb", 1/H66*S66)</f>
        <v>54.762078186656993</v>
      </c>
      <c r="AF66" t="e">
        <f>#REF!/H66*#REF!</f>
        <v>#REF!</v>
      </c>
      <c r="AG66">
        <f>L66/H66/(0.9*8760)</f>
        <v>1.1219173819252375</v>
      </c>
      <c r="AH66">
        <f>M66/H66/(0.9*8760)</f>
        <v>7.8355578478551591</v>
      </c>
      <c r="AI66">
        <f>N66/H66</f>
        <v>-8.1724348446793407</v>
      </c>
      <c r="AJ66" s="1" t="e">
        <f>AY66+BB66+BC66-AW66+#REF!+#REF!</f>
        <v>#REF!</v>
      </c>
      <c r="AK66" s="1" t="e">
        <f>(P66+Q66)*-1*(J66+#REF!)/H66</f>
        <v>#REF!</v>
      </c>
      <c r="AL66" t="e">
        <f>AJ66*P66</f>
        <v>#REF!</v>
      </c>
      <c r="AM66">
        <f>SUM(AY66:BB66)-AW66</f>
        <v>-0.11522188575097303</v>
      </c>
      <c r="AN66" s="1" t="e">
        <f>(J66+#REF!)/H66*-1*Q66</f>
        <v>#REF!</v>
      </c>
      <c r="AO66">
        <f>AM66*P66</f>
        <v>-12.614468431529948</v>
      </c>
      <c r="AQ66" s="9">
        <f>I66</f>
        <v>1.7588666580000001</v>
      </c>
      <c r="AR66" s="9">
        <v>0.243968185</v>
      </c>
      <c r="AS66" s="9">
        <v>0.24942761299999999</v>
      </c>
      <c r="AT66" s="10">
        <v>0.24635668499999999</v>
      </c>
      <c r="AU66" s="9">
        <v>0.23037490999999999</v>
      </c>
      <c r="AW66" s="10">
        <f>AQ66/H66</f>
        <v>0.56658349085470638</v>
      </c>
      <c r="AY66" s="10">
        <f>AU66</f>
        <v>0.23037490999999999</v>
      </c>
      <c r="AZ66" s="10"/>
      <c r="BA66" s="10"/>
      <c r="BB66" s="10">
        <f>K66/H66</f>
        <v>0.22098669510373337</v>
      </c>
      <c r="BC66" s="10">
        <f>J66/H66</f>
        <v>0.11522188388510189</v>
      </c>
      <c r="BE66" t="e">
        <f>#REF!-#REF!</f>
        <v>#REF!</v>
      </c>
    </row>
    <row r="67" spans="2:57" x14ac:dyDescent="0.2">
      <c r="B67" s="13" t="s">
        <v>54</v>
      </c>
      <c r="C67" s="23" t="s">
        <v>51</v>
      </c>
      <c r="D67" s="23">
        <v>0</v>
      </c>
      <c r="E67" s="23">
        <v>8.5342824999999997E-2</v>
      </c>
      <c r="F67" s="23"/>
      <c r="G67" s="23"/>
      <c r="H67" s="23">
        <v>3.1043379949999999</v>
      </c>
      <c r="I67" s="23">
        <v>1.7588666580000001</v>
      </c>
      <c r="J67" s="23">
        <v>0.35768767200000001</v>
      </c>
      <c r="K67" s="23">
        <v>0.68601739399999995</v>
      </c>
      <c r="L67" s="23">
        <v>45179.42</v>
      </c>
      <c r="M67" s="23">
        <v>201481.25</v>
      </c>
      <c r="N67" s="23">
        <v>-25.28</v>
      </c>
      <c r="P67" s="22">
        <v>109.479795</v>
      </c>
      <c r="Q67" s="22">
        <v>-6.4959309999999997</v>
      </c>
      <c r="R67" s="22">
        <v>170</v>
      </c>
      <c r="S67" s="22">
        <v>1554.0826480000001</v>
      </c>
      <c r="T67" s="22">
        <v>159.85701800000001</v>
      </c>
      <c r="U67" s="22">
        <v>138.16451699999999</v>
      </c>
      <c r="V67" s="22">
        <v>36.550691999999998</v>
      </c>
      <c r="X67" t="str">
        <f>B67</f>
        <v>CA_Gasoline_Gasification_Non_CCS_Herb</v>
      </c>
      <c r="Y67" t="str">
        <f>C67</f>
        <v>Biomass_Corn</v>
      </c>
      <c r="Z67" s="21" t="e">
        <f t="shared" si="2"/>
        <v>#REF!</v>
      </c>
      <c r="AA67" s="21" t="e">
        <f t="shared" si="3"/>
        <v>#REF!</v>
      </c>
      <c r="AB67" s="5" t="e">
        <f>Z67-AA67</f>
        <v>#REF!</v>
      </c>
      <c r="AC67">
        <f>D67/H67*V67*-1</f>
        <v>0</v>
      </c>
      <c r="AD67">
        <f>E67/H67*V67</f>
        <v>1.0048323719933401</v>
      </c>
      <c r="AE67" s="1" cm="1">
        <f t="array" ref="AE67">_xlfn.IFS(C67="Biomass_Corn", 1/H67*R67, C67="Biomass_Agri", 1/H67*U67, C67="Biomass_Wood", 1/H67*T67, C67="Biomass_Herb", 1/H67*S67)</f>
        <v>54.762078186656993</v>
      </c>
      <c r="AF67" t="e">
        <f>#REF!/H67*#REF!</f>
        <v>#REF!</v>
      </c>
      <c r="AG67">
        <f>L67/H67/(0.9*8760)</f>
        <v>1.8459716853700829</v>
      </c>
      <c r="AH67">
        <f>M67/H67/(0.9*8760)</f>
        <v>8.2322589053372308</v>
      </c>
      <c r="AI67">
        <f>N67/H67</f>
        <v>-8.1434431562275815</v>
      </c>
      <c r="AJ67" s="1" t="e">
        <f>AY67+BB67+BC67-AW67+#REF!+#REF!</f>
        <v>#REF!</v>
      </c>
      <c r="AK67" s="1" t="e">
        <f>(P67+Q67)*-1*(J67+#REF!)/H67</f>
        <v>#REF!</v>
      </c>
      <c r="AL67" t="e">
        <f>AJ67*P67</f>
        <v>#REF!</v>
      </c>
      <c r="AM67">
        <f>SUM(AY67:BB67)-AW67</f>
        <v>-0.11522188575097303</v>
      </c>
      <c r="AN67" s="1" t="e">
        <f>(J67+#REF!)/H67*-1*Q67</f>
        <v>#REF!</v>
      </c>
      <c r="AO67">
        <f>AM67*P67</f>
        <v>-12.614468431529948</v>
      </c>
      <c r="AQ67" s="20">
        <f>I67</f>
        <v>1.7588666580000001</v>
      </c>
      <c r="AR67" s="9">
        <v>0.243968185</v>
      </c>
      <c r="AS67" s="9">
        <v>0.24942761299999999</v>
      </c>
      <c r="AT67" s="10">
        <v>0.24635668499999999</v>
      </c>
      <c r="AU67" s="20">
        <v>0.23037490999999999</v>
      </c>
      <c r="AW67" s="18">
        <f>AQ67/H67</f>
        <v>0.56658349085470638</v>
      </c>
      <c r="AY67" s="18">
        <f>AU67</f>
        <v>0.23037490999999999</v>
      </c>
      <c r="AZ67" s="18"/>
      <c r="BA67" s="18"/>
      <c r="BB67" s="19">
        <f>K67/H67</f>
        <v>0.22098669510373337</v>
      </c>
      <c r="BC67" s="19">
        <f>J67/H67</f>
        <v>0.11522188388510189</v>
      </c>
      <c r="BE67" t="e">
        <f>#REF!-#REF!</f>
        <v>#REF!</v>
      </c>
    </row>
    <row r="68" spans="2:57" x14ac:dyDescent="0.2">
      <c r="B68" s="13" t="s">
        <v>54</v>
      </c>
      <c r="C68" s="23" t="s">
        <v>51</v>
      </c>
      <c r="D68" s="23">
        <v>0</v>
      </c>
      <c r="E68" s="23">
        <v>8.5342824999999997E-2</v>
      </c>
      <c r="F68" s="23"/>
      <c r="G68" s="23"/>
      <c r="H68" s="23">
        <v>3.1043379949999999</v>
      </c>
      <c r="I68" s="23">
        <v>1.7588666580000001</v>
      </c>
      <c r="J68" s="23">
        <v>0.35768767200000001</v>
      </c>
      <c r="K68" s="23">
        <v>0.68601739399999995</v>
      </c>
      <c r="L68" s="23">
        <v>45179.42</v>
      </c>
      <c r="M68" s="23">
        <v>201481.25</v>
      </c>
      <c r="N68" s="23">
        <v>-25.28</v>
      </c>
      <c r="P68" s="22">
        <v>109.479795</v>
      </c>
      <c r="Q68" s="22">
        <v>-7.354813</v>
      </c>
      <c r="R68" s="22">
        <v>170</v>
      </c>
      <c r="S68" s="22">
        <v>138.356765</v>
      </c>
      <c r="T68" s="22">
        <v>156.77793399999999</v>
      </c>
      <c r="U68" s="22">
        <v>119.345797</v>
      </c>
      <c r="V68" s="22">
        <v>26.773821999999999</v>
      </c>
      <c r="X68" t="str">
        <f>B68</f>
        <v>CA_Gasoline_Gasification_Non_CCS_Herb</v>
      </c>
      <c r="Y68" t="str">
        <f>C68</f>
        <v>Biomass_Corn</v>
      </c>
      <c r="Z68" s="21" t="e">
        <f t="shared" ref="Z68:Z75" si="4">SUM(AC68:AI68)+AK68+AL68</f>
        <v>#REF!</v>
      </c>
      <c r="AA68" s="21" t="e">
        <f t="shared" ref="AA68:AA75" si="5">SUM(AC68:AI68)+AN68+AO68</f>
        <v>#REF!</v>
      </c>
      <c r="AB68" s="5" t="e">
        <f>Z68-AA68</f>
        <v>#REF!</v>
      </c>
      <c r="AC68">
        <f>D68/H68*V68*-1</f>
        <v>0</v>
      </c>
      <c r="AD68">
        <f>E68/H68*V68</f>
        <v>0.73605181175742107</v>
      </c>
      <c r="AE68" s="1" cm="1">
        <f t="array" ref="AE68">_xlfn.IFS(C68="Biomass_Corn", 1/H68*R68, C68="Biomass_Agri", 1/H68*U68, C68="Biomass_Wood", 1/H68*T68, C68="Biomass_Herb", 1/H68*S68)</f>
        <v>54.762078186656993</v>
      </c>
      <c r="AF68" t="e">
        <f>#REF!/H68*#REF!</f>
        <v>#REF!</v>
      </c>
      <c r="AG68">
        <f>L68/H68/(0.9*8760)</f>
        <v>1.8459716853700829</v>
      </c>
      <c r="AH68">
        <f>M68/H68/(0.9*8760)</f>
        <v>8.2322589053372308</v>
      </c>
      <c r="AI68">
        <f>N68/H68</f>
        <v>-8.1434431562275815</v>
      </c>
      <c r="AJ68" s="1" t="e">
        <f>AY68+BB68+BC68-AW68+#REF!+#REF!</f>
        <v>#REF!</v>
      </c>
      <c r="AK68" s="1" t="e">
        <f>(P68+Q68)*-1*(J68+#REF!)/H68</f>
        <v>#REF!</v>
      </c>
      <c r="AL68" t="e">
        <f>AJ68*P68</f>
        <v>#REF!</v>
      </c>
      <c r="AM68">
        <f>SUM(AY68:BB68)-AW68</f>
        <v>-0.11522188575097303</v>
      </c>
      <c r="AN68" s="1" t="e">
        <f>(J68+#REF!)/H68*-1*Q68</f>
        <v>#REF!</v>
      </c>
      <c r="AO68">
        <f>AM68*P68</f>
        <v>-12.614468431529948</v>
      </c>
      <c r="AQ68" s="20">
        <f>I68</f>
        <v>1.7588666580000001</v>
      </c>
      <c r="AR68" s="9">
        <v>0.243968185</v>
      </c>
      <c r="AS68" s="9">
        <v>0.24942761299999999</v>
      </c>
      <c r="AT68" s="10">
        <v>0.24635668499999999</v>
      </c>
      <c r="AU68" s="20">
        <v>0.23037490999999999</v>
      </c>
      <c r="AW68" s="18">
        <f>AQ68/H68</f>
        <v>0.56658349085470638</v>
      </c>
      <c r="AY68" s="18">
        <f>AU68</f>
        <v>0.23037490999999999</v>
      </c>
      <c r="AZ68" s="18"/>
      <c r="BA68" s="18"/>
      <c r="BB68" s="19">
        <f>K68/H68</f>
        <v>0.22098669510373337</v>
      </c>
      <c r="BC68" s="19">
        <f>J68/H68</f>
        <v>0.11522188388510189</v>
      </c>
      <c r="BE68" t="e">
        <f>#REF!-#REF!</f>
        <v>#REF!</v>
      </c>
    </row>
    <row r="69" spans="2:57" x14ac:dyDescent="0.2">
      <c r="B69" s="24"/>
      <c r="C69" s="23" t="s">
        <v>51</v>
      </c>
      <c r="D69" s="23">
        <v>0</v>
      </c>
      <c r="E69" s="23">
        <v>8.5342824999999997E-2</v>
      </c>
      <c r="F69" s="23"/>
      <c r="G69" s="23"/>
      <c r="H69" s="23">
        <v>3.1043379949999999</v>
      </c>
      <c r="I69" s="23">
        <v>1.7588666580000001</v>
      </c>
      <c r="J69" s="23">
        <v>0.35768767200000001</v>
      </c>
      <c r="K69" s="23">
        <v>0.68601739399999995</v>
      </c>
      <c r="L69" s="23">
        <v>45179.42</v>
      </c>
      <c r="M69" s="23">
        <v>201481.25</v>
      </c>
      <c r="N69" s="23">
        <v>-25.28</v>
      </c>
      <c r="P69" s="22">
        <v>109.479795</v>
      </c>
      <c r="Q69" s="22">
        <v>-16.598628000000001</v>
      </c>
      <c r="R69" s="22">
        <v>170</v>
      </c>
      <c r="S69" s="22">
        <v>123.651932</v>
      </c>
      <c r="T69" s="22">
        <v>141.0224</v>
      </c>
      <c r="U69" s="22">
        <v>111.7672</v>
      </c>
      <c r="V69" s="22">
        <v>27.997803999999999</v>
      </c>
      <c r="X69">
        <f>B69</f>
        <v>0</v>
      </c>
      <c r="Y69" t="str">
        <f>C69</f>
        <v>Biomass_Corn</v>
      </c>
      <c r="Z69" s="21" t="e">
        <f t="shared" si="4"/>
        <v>#REF!</v>
      </c>
      <c r="AA69" s="21" t="e">
        <f t="shared" si="5"/>
        <v>#REF!</v>
      </c>
      <c r="AB69" s="5" t="e">
        <f>Z69-AA69</f>
        <v>#REF!</v>
      </c>
      <c r="AC69">
        <f>D69/H69*V69*-1</f>
        <v>0</v>
      </c>
      <c r="AD69">
        <f>E69/H69*V69</f>
        <v>0.76970088018920757</v>
      </c>
      <c r="AE69" s="1" cm="1">
        <f t="array" ref="AE69">_xlfn.IFS(C69="Biomass_Corn", 1/H69*R69, C69="Biomass_Agri", 1/H69*U69, C69="Biomass_Wood", 1/H69*T69, C69="Biomass_Herb", 1/H69*S69)</f>
        <v>54.762078186656993</v>
      </c>
      <c r="AF69" t="e">
        <f>#REF!/H69*#REF!</f>
        <v>#REF!</v>
      </c>
      <c r="AG69">
        <f>L69/H69/(0.9*8760)</f>
        <v>1.8459716853700829</v>
      </c>
      <c r="AH69">
        <f>M69/H69/(0.9*8760)</f>
        <v>8.2322589053372308</v>
      </c>
      <c r="AI69">
        <f>N69/H69</f>
        <v>-8.1434431562275815</v>
      </c>
      <c r="AJ69" s="1" t="e">
        <f>AY69+BB69+BC69-AW69+#REF!+#REF!</f>
        <v>#REF!</v>
      </c>
      <c r="AK69" s="1" t="e">
        <f>(P69+Q69)*-1*(J69+#REF!)/H69</f>
        <v>#REF!</v>
      </c>
      <c r="AL69" t="e">
        <f>AJ69*P69</f>
        <v>#REF!</v>
      </c>
      <c r="AM69">
        <f>SUM(AY69:BB69)-AW69</f>
        <v>-0.11522188575097303</v>
      </c>
      <c r="AN69" s="1" t="e">
        <f>(J69+#REF!)/H69*-1*Q69</f>
        <v>#REF!</v>
      </c>
      <c r="AO69">
        <f>AM69*P69</f>
        <v>-12.614468431529948</v>
      </c>
      <c r="AQ69" s="20">
        <f>I69</f>
        <v>1.7588666580000001</v>
      </c>
      <c r="AR69" s="9">
        <v>0.243968185</v>
      </c>
      <c r="AS69" s="9">
        <v>0.24942761299999999</v>
      </c>
      <c r="AT69" s="10">
        <v>0.24635668499999999</v>
      </c>
      <c r="AU69" s="20">
        <v>0.23037490999999999</v>
      </c>
      <c r="AW69" s="18">
        <f>AQ69/H69</f>
        <v>0.56658349085470638</v>
      </c>
      <c r="AY69" s="18">
        <f>AU69</f>
        <v>0.23037490999999999</v>
      </c>
      <c r="AZ69" s="18"/>
      <c r="BA69" s="18"/>
      <c r="BB69" s="19">
        <f>K69/H69</f>
        <v>0.22098669510373337</v>
      </c>
      <c r="BC69" s="19">
        <f>J69/H69</f>
        <v>0.11522188388510189</v>
      </c>
      <c r="BE69" t="e">
        <f>#REF!-#REF!</f>
        <v>#REF!</v>
      </c>
    </row>
    <row r="70" spans="2:57" x14ac:dyDescent="0.2">
      <c r="B70" s="24"/>
      <c r="C70" s="23" t="s">
        <v>51</v>
      </c>
      <c r="D70" s="23">
        <v>0</v>
      </c>
      <c r="E70" s="23">
        <v>8.5342824999999997E-2</v>
      </c>
      <c r="F70" s="23"/>
      <c r="G70" s="23"/>
      <c r="H70" s="23">
        <v>3.1043379949999999</v>
      </c>
      <c r="I70" s="23">
        <v>1.7588666580000001</v>
      </c>
      <c r="J70" s="23">
        <v>0.35768767200000001</v>
      </c>
      <c r="K70" s="23">
        <v>0.68601739399999995</v>
      </c>
      <c r="L70" s="23">
        <v>45179.42</v>
      </c>
      <c r="M70" s="23">
        <v>201481.25</v>
      </c>
      <c r="N70" s="23">
        <v>-25.28</v>
      </c>
      <c r="P70" s="22">
        <v>109.479795</v>
      </c>
      <c r="Q70" s="22">
        <v>-21.506692000000001</v>
      </c>
      <c r="R70" s="22">
        <v>170</v>
      </c>
      <c r="S70" s="22">
        <v>137.93464800000001</v>
      </c>
      <c r="T70" s="22">
        <v>157.881351</v>
      </c>
      <c r="U70" s="22">
        <v>111.364845</v>
      </c>
      <c r="V70" s="22">
        <v>20.230252</v>
      </c>
      <c r="X70">
        <f>B70</f>
        <v>0</v>
      </c>
      <c r="Y70" t="str">
        <f>C70</f>
        <v>Biomass_Corn</v>
      </c>
      <c r="Z70" s="21" t="e">
        <f t="shared" si="4"/>
        <v>#REF!</v>
      </c>
      <c r="AA70" s="21" t="e">
        <f t="shared" si="5"/>
        <v>#REF!</v>
      </c>
      <c r="AB70" s="5" t="e">
        <f>Z70-AA70</f>
        <v>#REF!</v>
      </c>
      <c r="AC70">
        <f>D70/H70*V70*-1</f>
        <v>0</v>
      </c>
      <c r="AD70">
        <f>E70/H70*V70</f>
        <v>0.55615943203436513</v>
      </c>
      <c r="AE70" s="1" cm="1">
        <f t="array" ref="AE70">_xlfn.IFS(C70="Biomass_Corn", 1/H70*R70, C70="Biomass_Agri", 1/H70*U70, C70="Biomass_Wood", 1/H70*T70, C70="Biomass_Herb", 1/H70*S70)</f>
        <v>54.762078186656993</v>
      </c>
      <c r="AF70" t="e">
        <f>#REF!/H70*#REF!</f>
        <v>#REF!</v>
      </c>
      <c r="AG70">
        <f>L70/H70/(0.9*8760)</f>
        <v>1.8459716853700829</v>
      </c>
      <c r="AH70">
        <f>M70/H70/(0.9*8760)</f>
        <v>8.2322589053372308</v>
      </c>
      <c r="AI70">
        <f>N70/H70</f>
        <v>-8.1434431562275815</v>
      </c>
      <c r="AJ70" s="1" t="e">
        <f>AY70+BB70+BC70-AW70+#REF!+#REF!</f>
        <v>#REF!</v>
      </c>
      <c r="AK70" s="1" t="e">
        <f>(P70+Q70)*-1*(J70+#REF!)/H70</f>
        <v>#REF!</v>
      </c>
      <c r="AL70" t="e">
        <f>AJ70*P70</f>
        <v>#REF!</v>
      </c>
      <c r="AM70">
        <f>SUM(AY70:BB70)-AW70</f>
        <v>-0.11522188575097303</v>
      </c>
      <c r="AN70" s="1" t="e">
        <f>(J70+#REF!)/H70*-1*Q70</f>
        <v>#REF!</v>
      </c>
      <c r="AO70">
        <f>AM70*P70</f>
        <v>-12.614468431529948</v>
      </c>
      <c r="AQ70" s="20">
        <f>I70</f>
        <v>1.7588666580000001</v>
      </c>
      <c r="AR70" s="9">
        <v>0.243968185</v>
      </c>
      <c r="AS70" s="9">
        <v>0.24942761299999999</v>
      </c>
      <c r="AT70" s="10">
        <v>0.24635668499999999</v>
      </c>
      <c r="AU70" s="20">
        <v>0.23037490999999999</v>
      </c>
      <c r="AW70" s="18">
        <f>AQ70/H70</f>
        <v>0.56658349085470638</v>
      </c>
      <c r="AY70" s="18">
        <f>AU70</f>
        <v>0.23037490999999999</v>
      </c>
      <c r="AZ70" s="18"/>
      <c r="BA70" s="18"/>
      <c r="BB70" s="19">
        <f>K70/H70</f>
        <v>0.22098669510373337</v>
      </c>
      <c r="BC70" s="19">
        <f>J70/H70</f>
        <v>0.11522188388510189</v>
      </c>
      <c r="BE70" t="e">
        <f>#REF!-#REF!</f>
        <v>#REF!</v>
      </c>
    </row>
    <row r="71" spans="2:57" x14ac:dyDescent="0.2">
      <c r="B71" s="24"/>
      <c r="C71" s="23" t="s">
        <v>51</v>
      </c>
      <c r="D71" s="23">
        <v>0</v>
      </c>
      <c r="E71" s="23">
        <v>8.5342824999999997E-2</v>
      </c>
      <c r="F71" s="23"/>
      <c r="G71" s="23"/>
      <c r="H71" s="23">
        <v>3.1043379949999999</v>
      </c>
      <c r="I71" s="23">
        <v>1.7588666580000001</v>
      </c>
      <c r="J71" s="23">
        <v>0.35768767200000001</v>
      </c>
      <c r="K71" s="23">
        <v>0.68601739399999995</v>
      </c>
      <c r="L71" s="23">
        <v>45179.42</v>
      </c>
      <c r="M71" s="23">
        <v>201481.25</v>
      </c>
      <c r="N71" s="23">
        <v>-25.28</v>
      </c>
      <c r="P71" s="22">
        <v>109.479795</v>
      </c>
      <c r="Q71" s="22">
        <v>-41.717134999999999</v>
      </c>
      <c r="R71" s="22">
        <v>170</v>
      </c>
      <c r="S71" s="22">
        <v>104.167382</v>
      </c>
      <c r="T71" s="22">
        <v>115.52638899999999</v>
      </c>
      <c r="U71" s="22">
        <v>92.044978</v>
      </c>
      <c r="V71" s="22">
        <v>30.708172999999999</v>
      </c>
      <c r="X71">
        <f>B71</f>
        <v>0</v>
      </c>
      <c r="Y71" t="str">
        <f>C71</f>
        <v>Biomass_Corn</v>
      </c>
      <c r="Z71" s="21" t="e">
        <f t="shared" si="4"/>
        <v>#REF!</v>
      </c>
      <c r="AA71" s="21" t="e">
        <f t="shared" si="5"/>
        <v>#REF!</v>
      </c>
      <c r="AB71" s="5" t="e">
        <f>Z71-AA71</f>
        <v>#REF!</v>
      </c>
      <c r="AC71">
        <f>D71/H71*V71*-1</f>
        <v>0</v>
      </c>
      <c r="AD71">
        <f>E71/H71*V71</f>
        <v>0.8442129170953</v>
      </c>
      <c r="AE71" s="1" cm="1">
        <f t="array" ref="AE71">_xlfn.IFS(C71="Biomass_Corn", 1/H71*R71, C71="Biomass_Agri", 1/H71*U71, C71="Biomass_Wood", 1/H71*T71, C71="Biomass_Herb", 1/H71*S71)</f>
        <v>54.762078186656993</v>
      </c>
      <c r="AF71" t="e">
        <f>#REF!/H71*#REF!</f>
        <v>#REF!</v>
      </c>
      <c r="AG71">
        <f>L71/H71/(0.9*8760)</f>
        <v>1.8459716853700829</v>
      </c>
      <c r="AH71">
        <f>M71/H71/(0.9*8760)</f>
        <v>8.2322589053372308</v>
      </c>
      <c r="AI71">
        <f>N71/H71</f>
        <v>-8.1434431562275815</v>
      </c>
      <c r="AJ71" s="1" t="e">
        <f>AY71+BB71+BC71-AW71+#REF!+#REF!</f>
        <v>#REF!</v>
      </c>
      <c r="AK71" s="1" t="e">
        <f>(P71+Q71)*-1*(J71+#REF!)/H71</f>
        <v>#REF!</v>
      </c>
      <c r="AL71" t="e">
        <f>AJ71*P71</f>
        <v>#REF!</v>
      </c>
      <c r="AM71">
        <f>SUM(AY71:BB71)-AW71</f>
        <v>-0.11522188575097303</v>
      </c>
      <c r="AN71" s="1" t="e">
        <f>(J71+#REF!)/H71*-1*Q71</f>
        <v>#REF!</v>
      </c>
      <c r="AO71">
        <f>AM71*P71</f>
        <v>-12.614468431529948</v>
      </c>
      <c r="AQ71" s="20">
        <f>I71</f>
        <v>1.7588666580000001</v>
      </c>
      <c r="AR71" s="9">
        <v>0.243968185</v>
      </c>
      <c r="AS71" s="9">
        <v>0.24942761299999999</v>
      </c>
      <c r="AT71" s="10">
        <v>0.24635668499999999</v>
      </c>
      <c r="AU71" s="20">
        <v>0.23037490999999999</v>
      </c>
      <c r="AW71" s="18">
        <f>AQ71/H71</f>
        <v>0.56658349085470638</v>
      </c>
      <c r="AY71" s="18">
        <f>AU71</f>
        <v>0.23037490999999999</v>
      </c>
      <c r="AZ71" s="18"/>
      <c r="BA71" s="18"/>
      <c r="BB71" s="19">
        <f>K71/H71</f>
        <v>0.22098669510373337</v>
      </c>
      <c r="BC71" s="19">
        <f>J71/H71</f>
        <v>0.11522188388510189</v>
      </c>
      <c r="BE71" t="e">
        <f>#REF!-#REF!</f>
        <v>#REF!</v>
      </c>
    </row>
    <row r="72" spans="2:57" x14ac:dyDescent="0.2">
      <c r="B72" s="24"/>
      <c r="C72" s="23" t="s">
        <v>51</v>
      </c>
      <c r="D72" s="23">
        <v>0</v>
      </c>
      <c r="E72" s="23">
        <v>8.5342824999999997E-2</v>
      </c>
      <c r="F72" s="23"/>
      <c r="G72" s="23"/>
      <c r="H72" s="23">
        <v>3.1043379949999999</v>
      </c>
      <c r="I72" s="23">
        <v>1.7588666580000001</v>
      </c>
      <c r="J72" s="23">
        <v>0.35768767200000001</v>
      </c>
      <c r="K72" s="23">
        <v>0.68601739399999995</v>
      </c>
      <c r="L72" s="23">
        <v>45179.42</v>
      </c>
      <c r="M72" s="23">
        <v>201481.25</v>
      </c>
      <c r="N72" s="23">
        <v>-25.28</v>
      </c>
      <c r="P72" s="22">
        <v>109.479795</v>
      </c>
      <c r="Q72" s="22">
        <v>-31.70346</v>
      </c>
      <c r="R72" s="22">
        <v>170</v>
      </c>
      <c r="S72" s="22">
        <v>110.461518</v>
      </c>
      <c r="T72" s="22">
        <v>127.408748</v>
      </c>
      <c r="U72" s="22">
        <v>98.832477999999995</v>
      </c>
      <c r="V72" s="22">
        <v>25.324636999999999</v>
      </c>
      <c r="X72">
        <f>B72</f>
        <v>0</v>
      </c>
      <c r="Y72" t="str">
        <f>C72</f>
        <v>Biomass_Corn</v>
      </c>
      <c r="Z72" s="21" t="e">
        <f t="shared" si="4"/>
        <v>#REF!</v>
      </c>
      <c r="AA72" s="21" t="e">
        <f t="shared" si="5"/>
        <v>#REF!</v>
      </c>
      <c r="AB72" s="5" t="e">
        <f>Z72-AA72</f>
        <v>#REF!</v>
      </c>
      <c r="AC72">
        <f>D72/H72*V72*-1</f>
        <v>0</v>
      </c>
      <c r="AD72">
        <f>E72/H72*V72</f>
        <v>0.69621158107157877</v>
      </c>
      <c r="AE72" s="1" cm="1">
        <f t="array" ref="AE72">_xlfn.IFS(C72="Biomass_Corn", 1/H72*R72, C72="Biomass_Agri", 1/H72*U72, C72="Biomass_Wood", 1/H72*T72, C72="Biomass_Herb", 1/H72*S72)</f>
        <v>54.762078186656993</v>
      </c>
      <c r="AF72" t="e">
        <f>#REF!/H72*#REF!</f>
        <v>#REF!</v>
      </c>
      <c r="AG72">
        <f>L72/H72/(0.9*8760)</f>
        <v>1.8459716853700829</v>
      </c>
      <c r="AH72">
        <f>M72/H72/(0.9*8760)</f>
        <v>8.2322589053372308</v>
      </c>
      <c r="AI72">
        <f>N72/H72</f>
        <v>-8.1434431562275815</v>
      </c>
      <c r="AJ72" s="1" t="e">
        <f>AY72+BB72+BC72-AW72+#REF!+#REF!</f>
        <v>#REF!</v>
      </c>
      <c r="AK72" s="1" t="e">
        <f>(P72+Q72)*-1*(J72+#REF!)/H72</f>
        <v>#REF!</v>
      </c>
      <c r="AL72" t="e">
        <f>AJ72*P72</f>
        <v>#REF!</v>
      </c>
      <c r="AM72">
        <f>SUM(AY72:BB72)-AW72</f>
        <v>-0.11522188575097303</v>
      </c>
      <c r="AN72" s="1" t="e">
        <f>(J72+#REF!)/H72*-1*Q72</f>
        <v>#REF!</v>
      </c>
      <c r="AO72">
        <f>AM72*P72</f>
        <v>-12.614468431529948</v>
      </c>
      <c r="AQ72" s="20">
        <f>I72</f>
        <v>1.7588666580000001</v>
      </c>
      <c r="AR72" s="9">
        <v>0.243968185</v>
      </c>
      <c r="AS72" s="9">
        <v>0.24942761299999999</v>
      </c>
      <c r="AT72" s="10">
        <v>0.24635668499999999</v>
      </c>
      <c r="AU72" s="20">
        <v>0.23037490999999999</v>
      </c>
      <c r="AW72" s="18">
        <f>AQ72/H72</f>
        <v>0.56658349085470638</v>
      </c>
      <c r="AY72" s="18">
        <f>AU72</f>
        <v>0.23037490999999999</v>
      </c>
      <c r="AZ72" s="18"/>
      <c r="BA72" s="18"/>
      <c r="BB72" s="19">
        <f>K72/H72</f>
        <v>0.22098669510373337</v>
      </c>
      <c r="BC72" s="19">
        <f>J72/H72</f>
        <v>0.11522188388510189</v>
      </c>
      <c r="BE72" t="e">
        <f>#REF!-#REF!</f>
        <v>#REF!</v>
      </c>
    </row>
    <row r="73" spans="2:57" x14ac:dyDescent="0.2">
      <c r="B73" s="24"/>
      <c r="C73" s="23" t="s">
        <v>51</v>
      </c>
      <c r="D73" s="23">
        <v>0</v>
      </c>
      <c r="E73" s="23">
        <v>8.5342824999999997E-2</v>
      </c>
      <c r="F73" s="23"/>
      <c r="G73" s="23"/>
      <c r="H73" s="23">
        <v>3.1043379949999999</v>
      </c>
      <c r="I73" s="23">
        <v>1.7588666580000001</v>
      </c>
      <c r="J73" s="23">
        <v>0.35768767200000001</v>
      </c>
      <c r="K73" s="23">
        <v>0.68601739399999995</v>
      </c>
      <c r="L73" s="23">
        <v>45179.42</v>
      </c>
      <c r="M73" s="23">
        <v>201481.25</v>
      </c>
      <c r="N73" s="23">
        <v>-25.28</v>
      </c>
      <c r="P73" s="22">
        <v>109.479795</v>
      </c>
      <c r="Q73" s="22">
        <v>-47.70091</v>
      </c>
      <c r="R73" s="22">
        <v>170</v>
      </c>
      <c r="S73" s="22">
        <v>99.632842999999994</v>
      </c>
      <c r="T73" s="22">
        <v>113.227017</v>
      </c>
      <c r="U73" s="22">
        <v>88.855315000000004</v>
      </c>
      <c r="V73" s="22">
        <v>38.218446</v>
      </c>
      <c r="X73">
        <f>B73</f>
        <v>0</v>
      </c>
      <c r="Y73" t="str">
        <f>C73</f>
        <v>Biomass_Corn</v>
      </c>
      <c r="Z73" s="21" t="e">
        <f t="shared" si="4"/>
        <v>#REF!</v>
      </c>
      <c r="AA73" s="21" t="e">
        <f t="shared" si="5"/>
        <v>#REF!</v>
      </c>
      <c r="AB73" s="5" t="e">
        <f>Z73-AA73</f>
        <v>#REF!</v>
      </c>
      <c r="AC73">
        <f>D73/H73*V73*-1</f>
        <v>0</v>
      </c>
      <c r="AD73">
        <f>E73/H73*V73</f>
        <v>1.0506813864995876</v>
      </c>
      <c r="AE73" s="1" cm="1">
        <f t="array" ref="AE73">_xlfn.IFS(C73="Biomass_Corn", 1/H73*R73, C73="Biomass_Agri", 1/H73*U73, C73="Biomass_Wood", 1/H73*T73, C73="Biomass_Herb", 1/H73*S73)</f>
        <v>54.762078186656993</v>
      </c>
      <c r="AF73" t="e">
        <f>#REF!/H73*#REF!</f>
        <v>#REF!</v>
      </c>
      <c r="AG73">
        <f>L73/H73/(0.9*8760)</f>
        <v>1.8459716853700829</v>
      </c>
      <c r="AH73">
        <f>M73/H73/(0.9*8760)</f>
        <v>8.2322589053372308</v>
      </c>
      <c r="AI73">
        <f>N73/H73</f>
        <v>-8.1434431562275815</v>
      </c>
      <c r="AJ73" s="1" t="e">
        <f>AY73+BB73+BC73-AW73+#REF!+#REF!</f>
        <v>#REF!</v>
      </c>
      <c r="AK73" s="1" t="e">
        <f>(P73+Q73)*-1*(J73+#REF!)/H73</f>
        <v>#REF!</v>
      </c>
      <c r="AL73" t="e">
        <f>AJ73*P73</f>
        <v>#REF!</v>
      </c>
      <c r="AM73">
        <f>SUM(AY73:BB73)-AW73</f>
        <v>-0.11522188575097303</v>
      </c>
      <c r="AN73" s="1" t="e">
        <f>(J73+#REF!)/H73*-1*Q73</f>
        <v>#REF!</v>
      </c>
      <c r="AO73">
        <f>AM73*P73</f>
        <v>-12.614468431529948</v>
      </c>
      <c r="AQ73" s="20">
        <f>I73</f>
        <v>1.7588666580000001</v>
      </c>
      <c r="AR73" s="9">
        <v>0.243968185</v>
      </c>
      <c r="AS73" s="9">
        <v>0.24942761299999999</v>
      </c>
      <c r="AT73" s="10">
        <v>0.24635668499999999</v>
      </c>
      <c r="AU73" s="20">
        <v>0.23037490999999999</v>
      </c>
      <c r="AW73" s="18">
        <f>AQ73/H73</f>
        <v>0.56658349085470638</v>
      </c>
      <c r="AY73" s="18">
        <f>AU73</f>
        <v>0.23037490999999999</v>
      </c>
      <c r="AZ73" s="18"/>
      <c r="BA73" s="18"/>
      <c r="BB73" s="19">
        <f>K73/H73</f>
        <v>0.22098669510373337</v>
      </c>
      <c r="BC73" s="19">
        <f>J73/H73</f>
        <v>0.11522188388510189</v>
      </c>
      <c r="BE73" t="e">
        <f>#REF!-#REF!</f>
        <v>#REF!</v>
      </c>
    </row>
    <row r="74" spans="2:57" x14ac:dyDescent="0.2">
      <c r="B74" s="24"/>
      <c r="C74" s="23" t="s">
        <v>51</v>
      </c>
      <c r="D74" s="23">
        <v>0</v>
      </c>
      <c r="E74" s="23">
        <v>8.5342824999999997E-2</v>
      </c>
      <c r="F74" s="23"/>
      <c r="G74" s="23"/>
      <c r="H74" s="23">
        <v>3.1043379949999999</v>
      </c>
      <c r="I74" s="23">
        <v>1.7588666580000001</v>
      </c>
      <c r="J74" s="23">
        <v>0.35768767200000001</v>
      </c>
      <c r="K74" s="23">
        <v>0.68601739399999995</v>
      </c>
      <c r="L74" s="23">
        <v>45179.42</v>
      </c>
      <c r="M74" s="23">
        <v>201481.25</v>
      </c>
      <c r="N74" s="23">
        <v>-25.28</v>
      </c>
      <c r="P74" s="22">
        <v>109.479795</v>
      </c>
      <c r="Q74" s="22">
        <v>-54.115442999999999</v>
      </c>
      <c r="R74" s="22">
        <v>170</v>
      </c>
      <c r="S74" s="22">
        <v>100.77374399999999</v>
      </c>
      <c r="T74" s="22">
        <v>108.668072</v>
      </c>
      <c r="U74" s="22">
        <v>89.424565000000001</v>
      </c>
      <c r="V74" s="22">
        <v>39.359471999999997</v>
      </c>
      <c r="X74">
        <f>B74</f>
        <v>0</v>
      </c>
      <c r="Y74" t="str">
        <f>C74</f>
        <v>Biomass_Corn</v>
      </c>
      <c r="Z74" s="21" t="e">
        <f t="shared" si="4"/>
        <v>#REF!</v>
      </c>
      <c r="AA74" s="21" t="e">
        <f t="shared" si="5"/>
        <v>#REF!</v>
      </c>
      <c r="AB74" s="5" t="e">
        <f>Z74-AA74</f>
        <v>#REF!</v>
      </c>
      <c r="AC74">
        <f>D74/H74*V74*-1</f>
        <v>0</v>
      </c>
      <c r="AD74">
        <f>E74/H74*V74</f>
        <v>1.0820498722750709</v>
      </c>
      <c r="AE74" s="1" cm="1">
        <f t="array" ref="AE74">_xlfn.IFS(C74="Biomass_Corn", 1/H74*R74, C74="Biomass_Agri", 1/H74*U74, C74="Biomass_Wood", 1/H74*T74, C74="Biomass_Herb", 1/H74*S74)</f>
        <v>54.762078186656993</v>
      </c>
      <c r="AF74" t="e">
        <f>#REF!/H74*#REF!</f>
        <v>#REF!</v>
      </c>
      <c r="AG74">
        <f>L74/H74/(0.9*8760)</f>
        <v>1.8459716853700829</v>
      </c>
      <c r="AH74">
        <f>M74/H74/(0.9*8760)</f>
        <v>8.2322589053372308</v>
      </c>
      <c r="AI74">
        <f>N74/H74</f>
        <v>-8.1434431562275815</v>
      </c>
      <c r="AJ74" s="1" t="e">
        <f>AY74+BB74+BC74-AW74+#REF!+#REF!</f>
        <v>#REF!</v>
      </c>
      <c r="AK74" s="1" t="e">
        <f>(P74+Q74)*-1*(J74+#REF!)/H74</f>
        <v>#REF!</v>
      </c>
      <c r="AL74" t="e">
        <f>AJ74*P74</f>
        <v>#REF!</v>
      </c>
      <c r="AM74">
        <f>SUM(AY74:BB74)-AW74</f>
        <v>-0.11522188575097303</v>
      </c>
      <c r="AN74" s="1" t="e">
        <f>(J74+#REF!)/H74*-1*Q74</f>
        <v>#REF!</v>
      </c>
      <c r="AO74">
        <f>AM74*P74</f>
        <v>-12.614468431529948</v>
      </c>
      <c r="AQ74" s="20">
        <f>I74</f>
        <v>1.7588666580000001</v>
      </c>
      <c r="AR74" s="9">
        <v>0.243968185</v>
      </c>
      <c r="AS74" s="9">
        <v>0.24942761299999999</v>
      </c>
      <c r="AT74" s="10">
        <v>0.24635668499999999</v>
      </c>
      <c r="AU74" s="20">
        <v>0.23037490999999999</v>
      </c>
      <c r="AW74" s="18">
        <f>AQ74/H74</f>
        <v>0.56658349085470638</v>
      </c>
      <c r="AY74" s="18">
        <f>AU74</f>
        <v>0.23037490999999999</v>
      </c>
      <c r="AZ74" s="18"/>
      <c r="BA74" s="18"/>
      <c r="BB74" s="19">
        <f>K74/H74</f>
        <v>0.22098669510373337</v>
      </c>
      <c r="BC74" s="19">
        <f>J74/H74</f>
        <v>0.11522188388510189</v>
      </c>
      <c r="BE74" t="e">
        <f>#REF!-#REF!</f>
        <v>#REF!</v>
      </c>
    </row>
    <row r="75" spans="2:57" x14ac:dyDescent="0.2">
      <c r="B75" s="24"/>
      <c r="C75" s="23" t="s">
        <v>51</v>
      </c>
      <c r="D75" s="23">
        <v>0</v>
      </c>
      <c r="E75" s="23">
        <v>8.5342824999999997E-2</v>
      </c>
      <c r="F75" s="23"/>
      <c r="G75" s="23"/>
      <c r="H75" s="23">
        <v>3.1043379949999999</v>
      </c>
      <c r="I75" s="23">
        <v>1.7588666580000001</v>
      </c>
      <c r="J75" s="23">
        <v>0.35768767200000001</v>
      </c>
      <c r="K75" s="23">
        <v>0.68601739399999995</v>
      </c>
      <c r="L75" s="23">
        <v>45179.42</v>
      </c>
      <c r="M75" s="23">
        <v>201481.25</v>
      </c>
      <c r="N75" s="23">
        <v>-25.28</v>
      </c>
      <c r="P75" s="22">
        <v>109.479795</v>
      </c>
      <c r="Q75" s="22">
        <v>-62.623761000000002</v>
      </c>
      <c r="R75" s="22">
        <v>170</v>
      </c>
      <c r="S75" s="22">
        <v>101.59236199999999</v>
      </c>
      <c r="T75" s="22">
        <v>107.351319</v>
      </c>
      <c r="U75" s="22">
        <v>91.706649999999996</v>
      </c>
      <c r="V75" s="22">
        <v>47.446024999999999</v>
      </c>
      <c r="X75">
        <f>B75</f>
        <v>0</v>
      </c>
      <c r="Y75" t="str">
        <f>C75</f>
        <v>Biomass_Corn</v>
      </c>
      <c r="Z75" s="21" t="e">
        <f t="shared" si="4"/>
        <v>#REF!</v>
      </c>
      <c r="AA75" s="21" t="e">
        <f t="shared" si="5"/>
        <v>#REF!</v>
      </c>
      <c r="AB75" s="5" t="e">
        <f>Z75-AA75</f>
        <v>#REF!</v>
      </c>
      <c r="AC75">
        <f>D75/H75*V75*-1</f>
        <v>0</v>
      </c>
      <c r="AD75">
        <f>E75/H75*V75</f>
        <v>1.3043611278934286</v>
      </c>
      <c r="AE75" s="1" cm="1">
        <f t="array" ref="AE75">_xlfn.IFS(C75="Biomass_Corn", 1/H75*R75, C75="Biomass_Agri", 1/H75*U75, C75="Biomass_Wood", 1/H75*T75, C75="Biomass_Herb", 1/H75*S75)</f>
        <v>54.762078186656993</v>
      </c>
      <c r="AF75" t="e">
        <f>#REF!/H75*#REF!</f>
        <v>#REF!</v>
      </c>
      <c r="AG75">
        <f>L75/H75/(0.9*8760)</f>
        <v>1.8459716853700829</v>
      </c>
      <c r="AH75">
        <f>M75/H75/(0.9*8760)</f>
        <v>8.2322589053372308</v>
      </c>
      <c r="AI75">
        <f>N75/H75</f>
        <v>-8.1434431562275815</v>
      </c>
      <c r="AJ75" s="1" t="e">
        <f>AY75+BB75+BC75-AW75+#REF!+#REF!</f>
        <v>#REF!</v>
      </c>
      <c r="AK75" s="1" t="e">
        <f>(P75+Q75)*-1*(J75+#REF!)/H75</f>
        <v>#REF!</v>
      </c>
      <c r="AL75" t="e">
        <f>AJ75*P75</f>
        <v>#REF!</v>
      </c>
      <c r="AM75">
        <f>SUM(AY75:BB75)-AW75</f>
        <v>-0.11522188575097303</v>
      </c>
      <c r="AN75" s="1" t="e">
        <f>(J75+#REF!)/H75*-1*Q75</f>
        <v>#REF!</v>
      </c>
      <c r="AO75">
        <f>AM75*P75</f>
        <v>-12.614468431529948</v>
      </c>
      <c r="AQ75" s="20">
        <f>I75</f>
        <v>1.7588666580000001</v>
      </c>
      <c r="AR75" s="20"/>
      <c r="AS75" s="20"/>
      <c r="AT75" s="18">
        <v>0.181048235160161</v>
      </c>
      <c r="AU75" s="20">
        <v>0.23037490999999999</v>
      </c>
      <c r="AW75" s="18">
        <f>AQ75/H75</f>
        <v>0.56658349085470638</v>
      </c>
      <c r="AY75" s="18">
        <f>AU75</f>
        <v>0.23037490999999999</v>
      </c>
      <c r="AZ75" s="18"/>
      <c r="BA75" s="18"/>
      <c r="BB75" s="19">
        <f>K75/H75</f>
        <v>0.22098669510373337</v>
      </c>
      <c r="BC75" s="19">
        <f>J75/H75</f>
        <v>0.11522188388510189</v>
      </c>
      <c r="BE75" t="e">
        <f>#REF!-#REF!</f>
        <v>#REF!</v>
      </c>
    </row>
    <row r="76" spans="2:57" x14ac:dyDescent="0.2">
      <c r="Z76" s="5"/>
      <c r="AA76" s="5"/>
      <c r="AB76" s="5"/>
      <c r="AQ76" s="8"/>
      <c r="AR76" s="8"/>
      <c r="AS76" s="8"/>
      <c r="AU76" s="8"/>
    </row>
    <row r="77" spans="2:57" x14ac:dyDescent="0.2">
      <c r="Z77" s="5"/>
      <c r="AA77" s="5"/>
      <c r="AB77" s="5"/>
      <c r="AQ77" s="8"/>
      <c r="AR77" s="8"/>
      <c r="AS77" s="8"/>
      <c r="AU77" s="8"/>
    </row>
    <row r="78" spans="2:57" x14ac:dyDescent="0.2">
      <c r="Z78" s="5"/>
      <c r="AA78" s="5"/>
      <c r="AB78" s="5"/>
      <c r="AQ78" s="8"/>
      <c r="AR78" s="8"/>
      <c r="AS78" s="8"/>
      <c r="AU78" s="8"/>
    </row>
    <row r="79" spans="2:57" x14ac:dyDescent="0.2">
      <c r="Z79" s="5"/>
      <c r="AA79" s="5"/>
      <c r="AB79" s="5"/>
      <c r="AQ79" s="8"/>
      <c r="AR79" s="8"/>
      <c r="AS79" s="8"/>
      <c r="AU79" s="8"/>
    </row>
    <row r="80" spans="2:57" x14ac:dyDescent="0.2">
      <c r="Z80" s="5"/>
      <c r="AA80" s="5"/>
      <c r="AB80" s="5"/>
      <c r="AQ80" s="8"/>
      <c r="AR80" s="8"/>
      <c r="AS80" s="8"/>
      <c r="AU80" s="8"/>
    </row>
    <row r="81" spans="26:47" x14ac:dyDescent="0.2">
      <c r="Z81" s="5"/>
      <c r="AA81" s="5"/>
      <c r="AB81" s="5"/>
      <c r="AQ81" s="8"/>
      <c r="AR81" s="8"/>
      <c r="AS81" s="8"/>
      <c r="AU81" s="8"/>
    </row>
    <row r="82" spans="26:47" x14ac:dyDescent="0.2">
      <c r="Z82" s="5"/>
      <c r="AA82" s="5"/>
      <c r="AB82" s="5"/>
      <c r="AQ82" s="8"/>
      <c r="AR82" s="8"/>
      <c r="AS82" s="8"/>
      <c r="AU82" s="8"/>
    </row>
    <row r="83" spans="26:47" x14ac:dyDescent="0.2">
      <c r="Z83" s="5"/>
      <c r="AA83" s="5"/>
      <c r="AB83" s="5"/>
      <c r="AQ83" s="8"/>
      <c r="AR83" s="8"/>
      <c r="AS83" s="8"/>
      <c r="AU83" s="8"/>
    </row>
    <row r="84" spans="26:47" x14ac:dyDescent="0.2">
      <c r="Z84" s="5"/>
      <c r="AA84" s="5"/>
      <c r="AB84" s="5"/>
      <c r="AQ84" s="8"/>
      <c r="AR84" s="8"/>
      <c r="AS84" s="8"/>
      <c r="AU84" s="8"/>
    </row>
    <row r="85" spans="26:47" x14ac:dyDescent="0.2">
      <c r="Z85" s="5"/>
      <c r="AA85" s="5"/>
      <c r="AB85" s="5"/>
      <c r="AQ85" s="8"/>
      <c r="AR85" s="8"/>
      <c r="AS85" s="8"/>
      <c r="AU85" s="8"/>
    </row>
    <row r="86" spans="26:47" x14ac:dyDescent="0.2">
      <c r="Z86" s="5"/>
      <c r="AA86" s="5"/>
      <c r="AB86" s="5"/>
      <c r="AQ86" s="8"/>
      <c r="AR86" s="8"/>
      <c r="AS86" s="8"/>
      <c r="AU86" s="8"/>
    </row>
    <row r="87" spans="26:47" x14ac:dyDescent="0.2">
      <c r="Z87" s="5"/>
      <c r="AA87" s="5"/>
      <c r="AB87" s="5"/>
      <c r="AQ87" s="8"/>
      <c r="AR87" s="8"/>
      <c r="AS87" s="8"/>
      <c r="AU87" s="8"/>
    </row>
    <row r="88" spans="26:47" x14ac:dyDescent="0.2">
      <c r="Z88" s="5"/>
      <c r="AA88" s="5"/>
      <c r="AB88" s="5"/>
      <c r="AQ88" s="8"/>
      <c r="AR88" s="8"/>
      <c r="AS88" s="8"/>
      <c r="AU88" s="8"/>
    </row>
    <row r="89" spans="26:47" x14ac:dyDescent="0.2">
      <c r="Z89" s="5"/>
      <c r="AA89" s="5"/>
      <c r="AB89" s="5"/>
      <c r="AQ89" s="8"/>
      <c r="AR89" s="8"/>
      <c r="AS89" s="8"/>
      <c r="AU89" s="8"/>
    </row>
    <row r="90" spans="26:47" x14ac:dyDescent="0.2">
      <c r="Z90" s="5"/>
      <c r="AA90" s="5"/>
      <c r="AB90" s="5"/>
      <c r="AQ90" s="8"/>
      <c r="AR90" s="8"/>
      <c r="AS90" s="8"/>
      <c r="AU90" s="8"/>
    </row>
    <row r="91" spans="26:47" x14ac:dyDescent="0.2">
      <c r="Z91" s="5"/>
      <c r="AA91" s="5"/>
      <c r="AB91" s="5"/>
      <c r="AQ91" s="8"/>
      <c r="AR91" s="8"/>
      <c r="AS91" s="8"/>
      <c r="AU91" s="8"/>
    </row>
    <row r="92" spans="26:47" x14ac:dyDescent="0.2">
      <c r="Z92" s="5"/>
      <c r="AA92" s="5"/>
      <c r="AB92" s="5"/>
      <c r="AQ92" s="8"/>
      <c r="AR92" s="8"/>
      <c r="AS92" s="8"/>
      <c r="AU92" s="8"/>
    </row>
    <row r="93" spans="26:47" x14ac:dyDescent="0.2">
      <c r="Z93" s="5"/>
      <c r="AA93" s="5"/>
      <c r="AB93" s="5"/>
      <c r="AQ93" s="8"/>
      <c r="AR93" s="8"/>
      <c r="AS93" s="8"/>
      <c r="AU93" s="8"/>
    </row>
    <row r="94" spans="26:47" x14ac:dyDescent="0.2">
      <c r="Z94" s="5"/>
      <c r="AA94" s="5"/>
      <c r="AB94" s="5"/>
      <c r="AQ94" s="8"/>
      <c r="AR94" s="8"/>
      <c r="AS94" s="8"/>
      <c r="AU94" s="8"/>
    </row>
    <row r="95" spans="26:47" x14ac:dyDescent="0.2">
      <c r="Z95" s="5"/>
      <c r="AA95" s="5"/>
      <c r="AB95" s="5"/>
      <c r="AQ95" s="8"/>
      <c r="AR95" s="8"/>
      <c r="AS95" s="8"/>
      <c r="AU95" s="8"/>
    </row>
    <row r="96" spans="26:47" x14ac:dyDescent="0.2">
      <c r="Z96" s="5"/>
      <c r="AA96" s="5"/>
      <c r="AB96" s="5"/>
      <c r="AQ96" s="8"/>
      <c r="AR96" s="8"/>
      <c r="AS96" s="8"/>
      <c r="AU96" s="8"/>
    </row>
    <row r="97" spans="26:47" x14ac:dyDescent="0.2">
      <c r="Z97" s="5"/>
      <c r="AA97" s="5"/>
      <c r="AB97" s="5"/>
      <c r="AQ97" s="8"/>
      <c r="AR97" s="8"/>
      <c r="AS97" s="8"/>
      <c r="AU97" s="8"/>
    </row>
    <row r="98" spans="26:47" x14ac:dyDescent="0.2">
      <c r="Z98" s="5"/>
      <c r="AA98" s="5"/>
      <c r="AB98" s="5"/>
      <c r="AQ98" s="8"/>
      <c r="AR98" s="8"/>
      <c r="AS98" s="8"/>
      <c r="AU98" s="8"/>
    </row>
    <row r="99" spans="26:47" x14ac:dyDescent="0.2">
      <c r="Z99" s="5"/>
      <c r="AA99" s="5"/>
      <c r="AB99" s="5"/>
      <c r="AQ99" s="8"/>
      <c r="AR99" s="8"/>
      <c r="AS99" s="8"/>
      <c r="AU99" s="8"/>
    </row>
    <row r="100" spans="26:47" x14ac:dyDescent="0.2">
      <c r="Z100" s="5"/>
      <c r="AA100" s="5"/>
      <c r="AB100" s="5"/>
      <c r="AQ100" s="8"/>
      <c r="AR100" s="8"/>
      <c r="AS100" s="8"/>
      <c r="AU100" s="8"/>
    </row>
    <row r="101" spans="26:47" x14ac:dyDescent="0.2">
      <c r="Z101" s="5"/>
      <c r="AA101" s="5"/>
      <c r="AB101" s="5"/>
      <c r="AQ101" s="8"/>
      <c r="AR101" s="8"/>
      <c r="AS101" s="8"/>
      <c r="AU101" s="8"/>
    </row>
    <row r="102" spans="26:47" x14ac:dyDescent="0.2">
      <c r="Z102" s="5"/>
      <c r="AA102" s="5"/>
      <c r="AB102" s="5"/>
      <c r="AQ102" s="8"/>
      <c r="AR102" s="8"/>
      <c r="AS102" s="8"/>
      <c r="AU102" s="8"/>
    </row>
    <row r="103" spans="26:47" x14ac:dyDescent="0.2">
      <c r="Z103" s="5"/>
      <c r="AA103" s="5"/>
      <c r="AB103" s="5"/>
      <c r="AQ103" s="8"/>
      <c r="AR103" s="8"/>
      <c r="AS103" s="8"/>
      <c r="AU103" s="8"/>
    </row>
    <row r="104" spans="26:47" x14ac:dyDescent="0.2">
      <c r="Z104" s="5"/>
      <c r="AA104" s="5"/>
      <c r="AB104" s="5"/>
      <c r="AQ104" s="8"/>
      <c r="AR104" s="8"/>
      <c r="AS104" s="8"/>
      <c r="AU104" s="8"/>
    </row>
    <row r="105" spans="26:47" x14ac:dyDescent="0.2">
      <c r="Z105" s="5"/>
      <c r="AA105" s="5"/>
      <c r="AB105" s="5"/>
    </row>
    <row r="106" spans="26:47" x14ac:dyDescent="0.2">
      <c r="Z106" s="5"/>
      <c r="AA106" s="5"/>
      <c r="AB106" s="5"/>
    </row>
    <row r="107" spans="26:47" x14ac:dyDescent="0.2">
      <c r="Z107" s="5"/>
      <c r="AA107" s="5"/>
      <c r="AB10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39BF-7F68-284A-BD1D-FC402D7FBBD8}">
  <dimension ref="B1:Z74"/>
  <sheetViews>
    <sheetView zoomScale="50" zoomScaleNormal="112" workbookViewId="0">
      <selection activeCell="BI34" sqref="BI34"/>
    </sheetView>
  </sheetViews>
  <sheetFormatPr baseColWidth="10" defaultRowHeight="16" x14ac:dyDescent="0.2"/>
  <cols>
    <col min="2" max="2" width="37.83203125" bestFit="1" customWidth="1"/>
    <col min="3" max="3" width="13.6640625" bestFit="1" customWidth="1"/>
    <col min="4" max="4" width="15.1640625" bestFit="1" customWidth="1"/>
    <col min="5" max="5" width="18.5" bestFit="1" customWidth="1"/>
    <col min="6" max="6" width="17.1640625" bestFit="1" customWidth="1"/>
    <col min="7" max="7" width="13.6640625" bestFit="1" customWidth="1"/>
    <col min="8" max="8" width="12.1640625" bestFit="1" customWidth="1"/>
    <col min="9" max="9" width="14.5" bestFit="1" customWidth="1"/>
    <col min="10" max="10" width="17.83203125" bestFit="1" customWidth="1"/>
    <col min="11" max="11" width="19.33203125" bestFit="1" customWidth="1"/>
    <col min="12" max="12" width="18.6640625" bestFit="1" customWidth="1"/>
    <col min="13" max="13" width="16.33203125" bestFit="1" customWidth="1"/>
    <col min="15" max="15" width="39" bestFit="1" customWidth="1"/>
    <col min="16" max="16" width="13.6640625" bestFit="1" customWidth="1"/>
    <col min="17" max="17" width="15.1640625" bestFit="1" customWidth="1"/>
    <col min="18" max="18" width="18.5" bestFit="1" customWidth="1"/>
    <col min="19" max="19" width="17.1640625" bestFit="1" customWidth="1"/>
    <col min="20" max="20" width="13.6640625" bestFit="1" customWidth="1"/>
    <col min="21" max="21" width="12.1640625" bestFit="1" customWidth="1"/>
    <col min="22" max="22" width="14.5" bestFit="1" customWidth="1"/>
    <col min="23" max="23" width="17.83203125" bestFit="1" customWidth="1"/>
    <col min="24" max="24" width="19.33203125" bestFit="1" customWidth="1"/>
    <col min="25" max="25" width="18.6640625" bestFit="1" customWidth="1"/>
    <col min="26" max="26" width="16.33203125" bestFit="1" customWidth="1"/>
  </cols>
  <sheetData>
    <row r="1" spans="2:26" x14ac:dyDescent="0.2">
      <c r="B1" t="s">
        <v>52</v>
      </c>
      <c r="O1" t="s">
        <v>53</v>
      </c>
    </row>
    <row r="2" spans="2:26" x14ac:dyDescent="0.2">
      <c r="B2" s="2" t="s">
        <v>11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3" t="s">
        <v>40</v>
      </c>
      <c r="K2" s="3" t="s">
        <v>41</v>
      </c>
      <c r="L2" s="3" t="s">
        <v>30</v>
      </c>
      <c r="M2" s="3" t="s">
        <v>31</v>
      </c>
      <c r="O2" s="2" t="s">
        <v>11</v>
      </c>
      <c r="P2" s="4" t="s">
        <v>33</v>
      </c>
      <c r="Q2" s="4" t="s">
        <v>34</v>
      </c>
      <c r="R2" s="4" t="s">
        <v>35</v>
      </c>
      <c r="S2" s="4" t="s">
        <v>36</v>
      </c>
      <c r="T2" s="4" t="s">
        <v>37</v>
      </c>
      <c r="U2" s="4" t="s">
        <v>38</v>
      </c>
      <c r="V2" s="4" t="s">
        <v>39</v>
      </c>
      <c r="W2" s="3" t="s">
        <v>40</v>
      </c>
      <c r="X2" s="3" t="s">
        <v>41</v>
      </c>
      <c r="Y2" s="3" t="s">
        <v>30</v>
      </c>
      <c r="Z2" s="3" t="s">
        <v>31</v>
      </c>
    </row>
    <row r="3" spans="2:26" x14ac:dyDescent="0.2">
      <c r="B3" t="str">
        <f>lc_detailed!B4</f>
        <v>CA_Gasoline_Gasification_Non_CCS_Herb</v>
      </c>
      <c r="C3">
        <f>lc_detailed!AC4</f>
        <v>-2.7330397246070137</v>
      </c>
      <c r="D3">
        <f>lc_detailed!AD4</f>
        <v>0</v>
      </c>
      <c r="E3">
        <f>lc_detailed!AE4</f>
        <v>55.653727327690454</v>
      </c>
      <c r="F3" t="e">
        <f>lc_detailed!AF4</f>
        <v>#REF!</v>
      </c>
      <c r="G3">
        <f>lc_detailed!AG4</f>
        <v>17.45471442935871</v>
      </c>
      <c r="H3">
        <f>lc_detailed!AH4</f>
        <v>9.2063495350048488</v>
      </c>
      <c r="I3">
        <f>lc_detailed!AI4</f>
        <v>0.22672309552599759</v>
      </c>
      <c r="J3" t="e">
        <f>lc_detailed!AK4</f>
        <v>#REF!</v>
      </c>
      <c r="K3" t="e">
        <f>lc_detailed!AL4</f>
        <v>#REF!</v>
      </c>
      <c r="L3" t="e">
        <f>lc_detailed!AA4</f>
        <v>#REF!</v>
      </c>
      <c r="M3" t="e">
        <f>lc_detailed!#REF!</f>
        <v>#REF!</v>
      </c>
      <c r="O3" t="str" cm="1">
        <f t="array" ref="O3:Z74">_xlfn._xlws.SORT(B3:M74, 11, 1)</f>
        <v>CA_Gasoline_Gasification_Non_CCS_Herb</v>
      </c>
      <c r="P3">
        <v>-2.7330397246070137</v>
      </c>
      <c r="Q3">
        <v>0</v>
      </c>
      <c r="R3">
        <v>55.653727327690454</v>
      </c>
      <c r="S3" t="e">
        <v>#REF!</v>
      </c>
      <c r="T3">
        <v>17.45471442935871</v>
      </c>
      <c r="U3">
        <v>9.2063495350048488</v>
      </c>
      <c r="V3">
        <v>0.22672309552599759</v>
      </c>
      <c r="W3" t="e">
        <v>#REF!</v>
      </c>
      <c r="X3" t="e">
        <v>#REF!</v>
      </c>
      <c r="Y3" t="e">
        <v>#REF!</v>
      </c>
      <c r="Z3" t="e">
        <v>#REF!</v>
      </c>
    </row>
    <row r="4" spans="2:26" x14ac:dyDescent="0.2">
      <c r="B4" t="str">
        <f>lc_detailed!B5</f>
        <v>CA_Gasoline_Gasification_Non_CCS_Herb</v>
      </c>
      <c r="C4">
        <f>lc_detailed!AC5</f>
        <v>-4.2472829150772933</v>
      </c>
      <c r="D4">
        <f>lc_detailed!AD5</f>
        <v>0</v>
      </c>
      <c r="E4">
        <f>lc_detailed!AE5</f>
        <v>50.579072475406548</v>
      </c>
      <c r="F4" t="e">
        <f>lc_detailed!AF5</f>
        <v>#REF!</v>
      </c>
      <c r="G4">
        <f>lc_detailed!AG5</f>
        <v>17.388133507022271</v>
      </c>
      <c r="H4">
        <f>lc_detailed!AH5</f>
        <v>9.1712319599867627</v>
      </c>
      <c r="I4">
        <f>lc_detailed!AI5</f>
        <v>0.22585826139329454</v>
      </c>
      <c r="J4" t="e">
        <f>lc_detailed!AK5</f>
        <v>#REF!</v>
      </c>
      <c r="K4" t="e">
        <f>lc_detailed!AL5</f>
        <v>#REF!</v>
      </c>
      <c r="L4" t="e">
        <f>lc_detailed!AA5</f>
        <v>#REF!</v>
      </c>
      <c r="M4" t="e">
        <f>lc_detailed!#REF!</f>
        <v>#REF!</v>
      </c>
      <c r="O4" t="str">
        <v>CA_Gasoline_Gasification_Non_CCS_Herb</v>
      </c>
      <c r="P4">
        <v>-4.2472829150772933</v>
      </c>
      <c r="Q4">
        <v>0</v>
      </c>
      <c r="R4">
        <v>50.579072475406548</v>
      </c>
      <c r="S4" t="e">
        <v>#REF!</v>
      </c>
      <c r="T4">
        <v>17.388133507022271</v>
      </c>
      <c r="U4">
        <v>9.1712319599867627</v>
      </c>
      <c r="V4">
        <v>0.22585826139329454</v>
      </c>
      <c r="W4" t="e">
        <v>#REF!</v>
      </c>
      <c r="X4" t="e">
        <v>#REF!</v>
      </c>
      <c r="Y4" t="e">
        <v>#REF!</v>
      </c>
      <c r="Z4" t="e">
        <v>#REF!</v>
      </c>
    </row>
    <row r="5" spans="2:26" x14ac:dyDescent="0.2">
      <c r="B5" t="str">
        <f>lc_detailed!B6</f>
        <v>CA_Gasoline_Gasification_Non_CCS_Herb</v>
      </c>
      <c r="C5">
        <f>lc_detailed!AC6</f>
        <v>-3.3142741931687283</v>
      </c>
      <c r="D5">
        <f>lc_detailed!AD6</f>
        <v>0</v>
      </c>
      <c r="E5">
        <f>lc_detailed!AE6</f>
        <v>52.169771122351882</v>
      </c>
      <c r="F5" t="e">
        <f>lc_detailed!AF6</f>
        <v>#REF!</v>
      </c>
      <c r="G5">
        <f>lc_detailed!AG6</f>
        <v>17.350687233631078</v>
      </c>
      <c r="H5">
        <f>lc_detailed!AH6</f>
        <v>9.1514812225560309</v>
      </c>
      <c r="I5">
        <f>lc_detailed!AI6</f>
        <v>0.22537186357489861</v>
      </c>
      <c r="J5" t="e">
        <f>lc_detailed!AK6</f>
        <v>#REF!</v>
      </c>
      <c r="K5" t="e">
        <f>lc_detailed!AL6</f>
        <v>#REF!</v>
      </c>
      <c r="L5" t="e">
        <f>lc_detailed!AA6</f>
        <v>#REF!</v>
      </c>
      <c r="M5" t="e">
        <f>lc_detailed!#REF!</f>
        <v>#REF!</v>
      </c>
      <c r="O5" t="str">
        <v>CA_Gasoline_Gasification_Non_CCS_Herb</v>
      </c>
      <c r="P5">
        <v>-3.3142741931687283</v>
      </c>
      <c r="Q5">
        <v>0</v>
      </c>
      <c r="R5">
        <v>52.169771122351882</v>
      </c>
      <c r="S5" t="e">
        <v>#REF!</v>
      </c>
      <c r="T5">
        <v>17.350687233631078</v>
      </c>
      <c r="U5">
        <v>9.1514812225560309</v>
      </c>
      <c r="V5">
        <v>0.22537186357489861</v>
      </c>
      <c r="W5" t="e">
        <v>#REF!</v>
      </c>
      <c r="X5" t="e">
        <v>#REF!</v>
      </c>
      <c r="Y5" t="e">
        <v>#REF!</v>
      </c>
      <c r="Z5" t="e">
        <v>#REF!</v>
      </c>
    </row>
    <row r="6" spans="2:26" x14ac:dyDescent="0.2">
      <c r="B6" t="str">
        <f>lc_detailed!B7</f>
        <v>CA_Gasoline_Gasification_Non_CCS_Herb</v>
      </c>
      <c r="C6">
        <f>lc_detailed!AC7</f>
        <v>-4.1236960660105977</v>
      </c>
      <c r="D6">
        <f>lc_detailed!AD7</f>
        <v>0</v>
      </c>
      <c r="E6">
        <f>lc_detailed!AE7</f>
        <v>50.281525611910162</v>
      </c>
      <c r="F6" t="e">
        <f>lc_detailed!AF7</f>
        <v>#REF!</v>
      </c>
      <c r="G6">
        <f>lc_detailed!AG7</f>
        <v>17.483783597976871</v>
      </c>
      <c r="H6">
        <f>lc_detailed!AH7</f>
        <v>9.2216818355173462</v>
      </c>
      <c r="I6">
        <f>lc_detailed!AI7</f>
        <v>0.22710068130204392</v>
      </c>
      <c r="J6" t="e">
        <f>lc_detailed!AK7</f>
        <v>#REF!</v>
      </c>
      <c r="K6" t="e">
        <f>lc_detailed!AL7</f>
        <v>#REF!</v>
      </c>
      <c r="L6" t="e">
        <f>lc_detailed!AA7</f>
        <v>#REF!</v>
      </c>
      <c r="M6" t="e">
        <f>lc_detailed!#REF!</f>
        <v>#REF!</v>
      </c>
      <c r="O6" t="str">
        <v>CA_Gasoline_Gasification_Non_CCS_Herb</v>
      </c>
      <c r="P6">
        <v>-4.1236960660105977</v>
      </c>
      <c r="Q6">
        <v>0</v>
      </c>
      <c r="R6">
        <v>50.281525611910162</v>
      </c>
      <c r="S6" t="e">
        <v>#REF!</v>
      </c>
      <c r="T6">
        <v>17.483783597976871</v>
      </c>
      <c r="U6">
        <v>9.2216818355173462</v>
      </c>
      <c r="V6">
        <v>0.22710068130204392</v>
      </c>
      <c r="W6" t="e">
        <v>#REF!</v>
      </c>
      <c r="X6" t="e">
        <v>#REF!</v>
      </c>
      <c r="Y6" t="e">
        <v>#REF!</v>
      </c>
      <c r="Z6" t="e">
        <v>#REF!</v>
      </c>
    </row>
    <row r="7" spans="2:26" x14ac:dyDescent="0.2">
      <c r="B7" t="str">
        <f>lc_detailed!B8</f>
        <v>CA_Gasoline_Gasification_Non_CCS_Herb</v>
      </c>
      <c r="C7">
        <f>lc_detailed!AC8</f>
        <v>-2.1826272589443856</v>
      </c>
      <c r="D7">
        <f>lc_detailed!AD8</f>
        <v>0</v>
      </c>
      <c r="E7">
        <f>lc_detailed!AE8</f>
        <v>69.801451343555485</v>
      </c>
      <c r="F7" t="e">
        <f>lc_detailed!AF8</f>
        <v>#REF!</v>
      </c>
      <c r="G7">
        <f>lc_detailed!AG8</f>
        <v>17.531560750666046</v>
      </c>
      <c r="H7">
        <f>lc_detailed!AH8</f>
        <v>9.2468815126145572</v>
      </c>
      <c r="I7">
        <f>lc_detailed!AI8</f>
        <v>0.22772126916654017</v>
      </c>
      <c r="J7" t="e">
        <f>lc_detailed!AK8</f>
        <v>#REF!</v>
      </c>
      <c r="K7" t="e">
        <f>lc_detailed!AL8</f>
        <v>#REF!</v>
      </c>
      <c r="L7" t="e">
        <f>lc_detailed!AA8</f>
        <v>#REF!</v>
      </c>
      <c r="M7" t="e">
        <f>lc_detailed!#REF!</f>
        <v>#REF!</v>
      </c>
      <c r="O7" t="str">
        <v>CA_Gasoline_Gasification_Non_CCS_Herb</v>
      </c>
      <c r="P7">
        <v>-2.1826272589443856</v>
      </c>
      <c r="Q7">
        <v>0</v>
      </c>
      <c r="R7">
        <v>69.801451343555485</v>
      </c>
      <c r="S7" t="e">
        <v>#REF!</v>
      </c>
      <c r="T7">
        <v>17.531560750666046</v>
      </c>
      <c r="U7">
        <v>9.2468815126145572</v>
      </c>
      <c r="V7">
        <v>0.22772126916654017</v>
      </c>
      <c r="W7" t="e">
        <v>#REF!</v>
      </c>
      <c r="X7" t="e">
        <v>#REF!</v>
      </c>
      <c r="Y7" t="e">
        <v>#REF!</v>
      </c>
      <c r="Z7" t="e">
        <v>#REF!</v>
      </c>
    </row>
    <row r="8" spans="2:26" x14ac:dyDescent="0.2">
      <c r="B8" t="str">
        <f>lc_detailed!B9</f>
        <v>CA_Gasoline_Gasification_Non_CCS_Herb</v>
      </c>
      <c r="C8">
        <f>lc_detailed!AC9</f>
        <v>-2.7334799882959251</v>
      </c>
      <c r="D8">
        <f>lc_detailed!AD9</f>
        <v>0</v>
      </c>
      <c r="E8">
        <f>lc_detailed!AE9</f>
        <v>61.366317310471054</v>
      </c>
      <c r="F8" t="e">
        <f>lc_detailed!AF9</f>
        <v>#REF!</v>
      </c>
      <c r="G8">
        <f>lc_detailed!AG9</f>
        <v>16.686310181770139</v>
      </c>
      <c r="H8">
        <f>lc_detailed!AH9</f>
        <v>8.8010608597811508</v>
      </c>
      <c r="I8">
        <f>lc_detailed!AI9</f>
        <v>0.2167421250361237</v>
      </c>
      <c r="J8" t="e">
        <f>lc_detailed!AK9</f>
        <v>#REF!</v>
      </c>
      <c r="K8" t="e">
        <f>lc_detailed!AL9</f>
        <v>#REF!</v>
      </c>
      <c r="L8" t="e">
        <f>lc_detailed!AA9</f>
        <v>#REF!</v>
      </c>
      <c r="M8" t="e">
        <f>lc_detailed!#REF!</f>
        <v>#REF!</v>
      </c>
      <c r="O8" t="str">
        <v>CA_Gasoline_Gasification_Non_CCS_Herb</v>
      </c>
      <c r="P8">
        <v>-2.7334799882959251</v>
      </c>
      <c r="Q8">
        <v>0</v>
      </c>
      <c r="R8">
        <v>61.366317310471054</v>
      </c>
      <c r="S8" t="e">
        <v>#REF!</v>
      </c>
      <c r="T8">
        <v>16.686310181770139</v>
      </c>
      <c r="U8">
        <v>8.8010608597811508</v>
      </c>
      <c r="V8">
        <v>0.2167421250361237</v>
      </c>
      <c r="W8" t="e">
        <v>#REF!</v>
      </c>
      <c r="X8" t="e">
        <v>#REF!</v>
      </c>
      <c r="Y8" t="e">
        <v>#REF!</v>
      </c>
      <c r="Z8" t="e">
        <v>#REF!</v>
      </c>
    </row>
    <row r="9" spans="2:26" x14ac:dyDescent="0.2">
      <c r="B9" t="str">
        <f>lc_detailed!B10</f>
        <v>CA_Gasoline_Gasification_Non_CCS_Herb</v>
      </c>
      <c r="C9">
        <f>lc_detailed!AC10</f>
        <v>-4.2464947082185818</v>
      </c>
      <c r="D9">
        <f>lc_detailed!AD10</f>
        <v>0</v>
      </c>
      <c r="E9">
        <f>lc_detailed!AE10</f>
        <v>52.50426245349567</v>
      </c>
      <c r="F9" t="e">
        <f>lc_detailed!AF10</f>
        <v>#REF!</v>
      </c>
      <c r="G9">
        <f>lc_detailed!AG10</f>
        <v>16.738714402759417</v>
      </c>
      <c r="H9">
        <f>lc_detailed!AH10</f>
        <v>8.8287010470491492</v>
      </c>
      <c r="I9">
        <f>lc_detailed!AI10</f>
        <v>0.21742281490071025</v>
      </c>
      <c r="J9" t="e">
        <f>lc_detailed!AK10</f>
        <v>#REF!</v>
      </c>
      <c r="K9" t="e">
        <f>lc_detailed!AL10</f>
        <v>#REF!</v>
      </c>
      <c r="L9" t="e">
        <f>lc_detailed!AA10</f>
        <v>#REF!</v>
      </c>
      <c r="M9" t="e">
        <f>lc_detailed!#REF!</f>
        <v>#REF!</v>
      </c>
      <c r="O9" t="str">
        <v>CA_Gasoline_Gasification_Non_CCS_Herb</v>
      </c>
      <c r="P9">
        <v>-4.2464947082185818</v>
      </c>
      <c r="Q9">
        <v>0</v>
      </c>
      <c r="R9">
        <v>52.50426245349567</v>
      </c>
      <c r="S9" t="e">
        <v>#REF!</v>
      </c>
      <c r="T9">
        <v>16.738714402759417</v>
      </c>
      <c r="U9">
        <v>8.8287010470491492</v>
      </c>
      <c r="V9">
        <v>0.21742281490071025</v>
      </c>
      <c r="W9" t="e">
        <v>#REF!</v>
      </c>
      <c r="X9" t="e">
        <v>#REF!</v>
      </c>
      <c r="Y9" t="e">
        <v>#REF!</v>
      </c>
      <c r="Z9" t="e">
        <v>#REF!</v>
      </c>
    </row>
    <row r="10" spans="2:26" x14ac:dyDescent="0.2">
      <c r="B10" t="str">
        <f>lc_detailed!B11</f>
        <v>CA_Gasoline_Gasification_Non_CCS_Herb</v>
      </c>
      <c r="C10">
        <f>lc_detailed!AC11</f>
        <v>-3.3133631799431353</v>
      </c>
      <c r="D10">
        <f>lc_detailed!AD11</f>
        <v>0</v>
      </c>
      <c r="E10">
        <f>lc_detailed!AE11</f>
        <v>55.672685171798946</v>
      </c>
      <c r="F10" t="e">
        <f>lc_detailed!AF11</f>
        <v>#REF!</v>
      </c>
      <c r="G10">
        <f>lc_detailed!AG11</f>
        <v>16.695155510284405</v>
      </c>
      <c r="H10">
        <f>lc_detailed!AH11</f>
        <v>8.8057262575671658</v>
      </c>
      <c r="I10">
        <f>lc_detailed!AI11</f>
        <v>0.21685701893884632</v>
      </c>
      <c r="J10" t="e">
        <f>lc_detailed!AK11</f>
        <v>#REF!</v>
      </c>
      <c r="K10" t="e">
        <f>lc_detailed!AL11</f>
        <v>#REF!</v>
      </c>
      <c r="L10" t="e">
        <f>lc_detailed!AA11</f>
        <v>#REF!</v>
      </c>
      <c r="M10" t="e">
        <f>lc_detailed!#REF!</f>
        <v>#REF!</v>
      </c>
      <c r="O10" t="str">
        <v>CA_Gasoline_Gasification_Non_CCS_Herb</v>
      </c>
      <c r="P10">
        <v>-3.3133631799431353</v>
      </c>
      <c r="Q10">
        <v>0</v>
      </c>
      <c r="R10">
        <v>55.672685171798946</v>
      </c>
      <c r="S10" t="e">
        <v>#REF!</v>
      </c>
      <c r="T10">
        <v>16.695155510284405</v>
      </c>
      <c r="U10">
        <v>8.8057262575671658</v>
      </c>
      <c r="V10">
        <v>0.21685701893884632</v>
      </c>
      <c r="W10" t="e">
        <v>#REF!</v>
      </c>
      <c r="X10" t="e">
        <v>#REF!</v>
      </c>
      <c r="Y10" t="e">
        <v>#REF!</v>
      </c>
      <c r="Z10" t="e">
        <v>#REF!</v>
      </c>
    </row>
    <row r="11" spans="2:26" x14ac:dyDescent="0.2">
      <c r="B11" t="str">
        <f>lc_detailed!B12</f>
        <v>CA_Gasoline_Gasification_Non_CCS_Herb</v>
      </c>
      <c r="C11">
        <f>lc_detailed!AC12</f>
        <v>-4.1248337198387555</v>
      </c>
      <c r="D11">
        <f>lc_detailed!AD12</f>
        <v>0</v>
      </c>
      <c r="E11">
        <f>lc_detailed!AE12</f>
        <v>54.336796717535272</v>
      </c>
      <c r="F11" t="e">
        <f>lc_detailed!AF12</f>
        <v>#REF!</v>
      </c>
      <c r="G11">
        <f>lc_detailed!AG12</f>
        <v>16.625452154425169</v>
      </c>
      <c r="H11">
        <f>lc_detailed!AH12</f>
        <v>8.7689617799585484</v>
      </c>
      <c r="I11">
        <f>lc_detailed!AI12</f>
        <v>0.21595162683558883</v>
      </c>
      <c r="J11" t="e">
        <f>lc_detailed!AK12</f>
        <v>#REF!</v>
      </c>
      <c r="K11" t="e">
        <f>lc_detailed!AL12</f>
        <v>#REF!</v>
      </c>
      <c r="L11" t="e">
        <f>lc_detailed!AA12</f>
        <v>#REF!</v>
      </c>
      <c r="M11" t="e">
        <f>lc_detailed!#REF!</f>
        <v>#REF!</v>
      </c>
      <c r="O11" t="str">
        <v>CA_Gasoline_Gasification_Non_CCS_Herb</v>
      </c>
      <c r="P11">
        <v>-4.1248337198387555</v>
      </c>
      <c r="Q11">
        <v>0</v>
      </c>
      <c r="R11">
        <v>54.336796717535272</v>
      </c>
      <c r="S11" t="e">
        <v>#REF!</v>
      </c>
      <c r="T11">
        <v>16.625452154425169</v>
      </c>
      <c r="U11">
        <v>8.7689617799585484</v>
      </c>
      <c r="V11">
        <v>0.21595162683558883</v>
      </c>
      <c r="W11" t="e">
        <v>#REF!</v>
      </c>
      <c r="X11" t="e">
        <v>#REF!</v>
      </c>
      <c r="Y11" t="e">
        <v>#REF!</v>
      </c>
      <c r="Z11" t="e">
        <v>#REF!</v>
      </c>
    </row>
    <row r="12" spans="2:26" x14ac:dyDescent="0.2">
      <c r="B12" t="str">
        <f>lc_detailed!B13</f>
        <v>CA_Gasoline_Gasification_Non_CCS_Herb</v>
      </c>
      <c r="C12">
        <f>lc_detailed!AC13</f>
        <v>-2.1835733922340474</v>
      </c>
      <c r="D12">
        <f>lc_detailed!AD13</f>
        <v>0</v>
      </c>
      <c r="E12">
        <f>lc_detailed!AE13</f>
        <v>76.727098702434745</v>
      </c>
      <c r="F12" t="e">
        <f>lc_detailed!AF13</f>
        <v>#REF!</v>
      </c>
      <c r="G12">
        <f>lc_detailed!AG13</f>
        <v>16.836330465758454</v>
      </c>
      <c r="H12">
        <f>lc_detailed!AH13</f>
        <v>8.8801878588120839</v>
      </c>
      <c r="I12">
        <f>lc_detailed!AI13</f>
        <v>0.21869077124945327</v>
      </c>
      <c r="J12" t="e">
        <f>lc_detailed!AK13</f>
        <v>#REF!</v>
      </c>
      <c r="K12" t="e">
        <f>lc_detailed!AL13</f>
        <v>#REF!</v>
      </c>
      <c r="L12" t="e">
        <f>lc_detailed!AA13</f>
        <v>#REF!</v>
      </c>
      <c r="M12" t="e">
        <f>lc_detailed!#REF!</f>
        <v>#REF!</v>
      </c>
      <c r="O12" t="str">
        <v>CA_Gasoline_Gasification_Non_CCS_Herb</v>
      </c>
      <c r="P12">
        <v>-2.1835733922340474</v>
      </c>
      <c r="Q12">
        <v>0</v>
      </c>
      <c r="R12">
        <v>76.727098702434745</v>
      </c>
      <c r="S12" t="e">
        <v>#REF!</v>
      </c>
      <c r="T12">
        <v>16.836330465758454</v>
      </c>
      <c r="U12">
        <v>8.8801878588120839</v>
      </c>
      <c r="V12">
        <v>0.21869077124945327</v>
      </c>
      <c r="W12" t="e">
        <v>#REF!</v>
      </c>
      <c r="X12" t="e">
        <v>#REF!</v>
      </c>
      <c r="Y12" t="e">
        <v>#REF!</v>
      </c>
      <c r="Z12" t="e">
        <v>#REF!</v>
      </c>
    </row>
    <row r="13" spans="2:26" x14ac:dyDescent="0.2">
      <c r="B13" t="str">
        <f>lc_detailed!B14</f>
        <v>CA_Gasoline_Gasification_Non_CCS_Herb</v>
      </c>
      <c r="C13">
        <f>lc_detailed!AC14</f>
        <v>-2.7324164346314324</v>
      </c>
      <c r="D13">
        <f>lc_detailed!AD14</f>
        <v>0</v>
      </c>
      <c r="E13">
        <f>lc_detailed!AE14</f>
        <v>52.868555686316462</v>
      </c>
      <c r="F13" t="e">
        <f>lc_detailed!AF14</f>
        <v>#REF!</v>
      </c>
      <c r="G13">
        <f>lc_detailed!AG14</f>
        <v>18.5322120463203</v>
      </c>
      <c r="H13">
        <f>lc_detailed!AH14</f>
        <v>9.7746670359888874</v>
      </c>
      <c r="I13">
        <f>lc_detailed!AI14</f>
        <v>0.24071894725580401</v>
      </c>
      <c r="J13" t="e">
        <f>lc_detailed!AK14</f>
        <v>#REF!</v>
      </c>
      <c r="K13" t="e">
        <f>lc_detailed!AL14</f>
        <v>#REF!</v>
      </c>
      <c r="L13" t="e">
        <f>lc_detailed!AA14</f>
        <v>#REF!</v>
      </c>
      <c r="M13" t="e">
        <f>lc_detailed!#REF!</f>
        <v>#REF!</v>
      </c>
      <c r="O13" t="str">
        <v>CA_Gasoline_Gasification_Non_CCS_Herb</v>
      </c>
      <c r="P13">
        <v>-2.7324164346314324</v>
      </c>
      <c r="Q13">
        <v>0</v>
      </c>
      <c r="R13">
        <v>52.868555686316462</v>
      </c>
      <c r="S13" t="e">
        <v>#REF!</v>
      </c>
      <c r="T13">
        <v>18.5322120463203</v>
      </c>
      <c r="U13">
        <v>9.7746670359888874</v>
      </c>
      <c r="V13">
        <v>0.24071894725580401</v>
      </c>
      <c r="W13" t="e">
        <v>#REF!</v>
      </c>
      <c r="X13" t="e">
        <v>#REF!</v>
      </c>
      <c r="Y13" t="e">
        <v>#REF!</v>
      </c>
      <c r="Z13" t="e">
        <v>#REF!</v>
      </c>
    </row>
    <row r="14" spans="2:26" x14ac:dyDescent="0.2">
      <c r="B14" t="str">
        <f>lc_detailed!B15</f>
        <v>CA_Gasoline_Gasification_Non_CCS_Herb</v>
      </c>
      <c r="C14">
        <f>lc_detailed!AC15</f>
        <v>-4.2470487513953117</v>
      </c>
      <c r="D14">
        <f>lc_detailed!AD15</f>
        <v>0</v>
      </c>
      <c r="E14">
        <f>lc_detailed!AE15</f>
        <v>47.53338914580344</v>
      </c>
      <c r="F14" t="e">
        <f>lc_detailed!AF15</f>
        <v>#REF!</v>
      </c>
      <c r="G14">
        <f>lc_detailed!AG15</f>
        <v>18.41498814617082</v>
      </c>
      <c r="H14">
        <f>lc_detailed!AH15</f>
        <v>9.7128382273309022</v>
      </c>
      <c r="I14">
        <f>lc_detailed!AI15</f>
        <v>0.23919630043055334</v>
      </c>
      <c r="J14" t="e">
        <f>lc_detailed!AK15</f>
        <v>#REF!</v>
      </c>
      <c r="K14" t="e">
        <f>lc_detailed!AL15</f>
        <v>#REF!</v>
      </c>
      <c r="L14" t="e">
        <f>lc_detailed!AA15</f>
        <v>#REF!</v>
      </c>
      <c r="M14" t="e">
        <f>lc_detailed!#REF!</f>
        <v>#REF!</v>
      </c>
      <c r="O14" t="str">
        <v>CA_Gasoline_Gasification_Non_CCS_Herb</v>
      </c>
      <c r="P14">
        <v>-4.2470487513953117</v>
      </c>
      <c r="Q14">
        <v>0</v>
      </c>
      <c r="R14">
        <v>47.53338914580344</v>
      </c>
      <c r="S14" t="e">
        <v>#REF!</v>
      </c>
      <c r="T14">
        <v>18.41498814617082</v>
      </c>
      <c r="U14">
        <v>9.7128382273309022</v>
      </c>
      <c r="V14">
        <v>0.23919630043055334</v>
      </c>
      <c r="W14" t="e">
        <v>#REF!</v>
      </c>
      <c r="X14" t="e">
        <v>#REF!</v>
      </c>
      <c r="Y14" t="e">
        <v>#REF!</v>
      </c>
      <c r="Z14" t="e">
        <v>#REF!</v>
      </c>
    </row>
    <row r="15" spans="2:26" x14ac:dyDescent="0.2">
      <c r="B15" t="str">
        <f>lc_detailed!B16</f>
        <v>CA_Gasoline_Gasification_Non_CCS_Herb</v>
      </c>
      <c r="C15">
        <f>lc_detailed!AC16</f>
        <v>-3.3145588377488719</v>
      </c>
      <c r="D15">
        <f>lc_detailed!AD16</f>
        <v>0</v>
      </c>
      <c r="E15">
        <f>lc_detailed!AE16</f>
        <v>48.869114945580044</v>
      </c>
      <c r="F15" t="e">
        <f>lc_detailed!AF16</f>
        <v>#REF!</v>
      </c>
      <c r="G15">
        <f>lc_detailed!AG16</f>
        <v>18.393478736071767</v>
      </c>
      <c r="H15">
        <f>lc_detailed!AH16</f>
        <v>9.7014932609915725</v>
      </c>
      <c r="I15">
        <f>lc_detailed!AI16</f>
        <v>0.23891691000796392</v>
      </c>
      <c r="J15" t="e">
        <f>lc_detailed!AK16</f>
        <v>#REF!</v>
      </c>
      <c r="K15" t="e">
        <f>lc_detailed!AL16</f>
        <v>#REF!</v>
      </c>
      <c r="L15" t="e">
        <f>lc_detailed!AA16</f>
        <v>#REF!</v>
      </c>
      <c r="M15" t="e">
        <f>lc_detailed!#REF!</f>
        <v>#REF!</v>
      </c>
      <c r="O15" t="str">
        <v>CA_Gasoline_Gasification_Non_CCS_Herb</v>
      </c>
      <c r="P15">
        <v>-3.3145588377488719</v>
      </c>
      <c r="Q15">
        <v>0</v>
      </c>
      <c r="R15">
        <v>48.869114945580044</v>
      </c>
      <c r="S15" t="e">
        <v>#REF!</v>
      </c>
      <c r="T15">
        <v>18.393478736071767</v>
      </c>
      <c r="U15">
        <v>9.7014932609915725</v>
      </c>
      <c r="V15">
        <v>0.23891691000796392</v>
      </c>
      <c r="W15" t="e">
        <v>#REF!</v>
      </c>
      <c r="X15" t="e">
        <v>#REF!</v>
      </c>
      <c r="Y15" t="e">
        <v>#REF!</v>
      </c>
      <c r="Z15" t="e">
        <v>#REF!</v>
      </c>
    </row>
    <row r="16" spans="2:26" x14ac:dyDescent="0.2">
      <c r="B16" t="str">
        <f>lc_detailed!B17</f>
        <v>CA_Gasoline_Gasification_Non_CCS_Herb</v>
      </c>
      <c r="C16">
        <f>lc_detailed!AC17</f>
        <v>-4.1235745351031508</v>
      </c>
      <c r="D16">
        <f>lc_detailed!AD17</f>
        <v>0</v>
      </c>
      <c r="E16">
        <f>lc_detailed!AE17</f>
        <v>47.36676528599606</v>
      </c>
      <c r="F16" t="e">
        <f>lc_detailed!AF17</f>
        <v>#REF!</v>
      </c>
      <c r="G16">
        <f>lc_detailed!AG17</f>
        <v>18.467997867365622</v>
      </c>
      <c r="H16">
        <f>lc_detailed!AH17</f>
        <v>9.7407977808399302</v>
      </c>
      <c r="I16">
        <f>lc_detailed!AI17</f>
        <v>0.23988485526947068</v>
      </c>
      <c r="J16" t="e">
        <f>lc_detailed!AK17</f>
        <v>#REF!</v>
      </c>
      <c r="K16" t="e">
        <f>lc_detailed!AL17</f>
        <v>#REF!</v>
      </c>
      <c r="L16" t="e">
        <f>lc_detailed!AA17</f>
        <v>#REF!</v>
      </c>
      <c r="M16" t="e">
        <f>lc_detailed!#REF!</f>
        <v>#REF!</v>
      </c>
      <c r="O16" t="str">
        <v>CA_Gasoline_Gasification_Non_CCS_Herb</v>
      </c>
      <c r="P16">
        <v>-4.1235745351031508</v>
      </c>
      <c r="Q16">
        <v>0</v>
      </c>
      <c r="R16">
        <v>47.36676528599606</v>
      </c>
      <c r="S16" t="e">
        <v>#REF!</v>
      </c>
      <c r="T16">
        <v>18.467997867365622</v>
      </c>
      <c r="U16">
        <v>9.7407977808399302</v>
      </c>
      <c r="V16">
        <v>0.23988485526947068</v>
      </c>
      <c r="W16" t="e">
        <v>#REF!</v>
      </c>
      <c r="X16" t="e">
        <v>#REF!</v>
      </c>
      <c r="Y16" t="e">
        <v>#REF!</v>
      </c>
      <c r="Z16" t="e">
        <v>#REF!</v>
      </c>
    </row>
    <row r="17" spans="2:26" x14ac:dyDescent="0.2">
      <c r="B17" t="str">
        <f>lc_detailed!B18</f>
        <v>CA_Gasoline_Gasification_Non_CCS_Herb</v>
      </c>
      <c r="C17">
        <f>lc_detailed!AC18</f>
        <v>-2.1829676197541801</v>
      </c>
      <c r="D17">
        <f>lc_detailed!AD18</f>
        <v>0</v>
      </c>
      <c r="E17">
        <f>lc_detailed!AE18</f>
        <v>61.656984276381351</v>
      </c>
      <c r="F17" t="e">
        <f>lc_detailed!AF18</f>
        <v>#REF!</v>
      </c>
      <c r="G17">
        <f>lc_detailed!AG18</f>
        <v>19.18066504229386</v>
      </c>
      <c r="H17">
        <f>lc_detailed!AH18</f>
        <v>10.11668838283558</v>
      </c>
      <c r="I17">
        <f>lc_detailed!AI18</f>
        <v>0.24914184475694828</v>
      </c>
      <c r="J17" t="e">
        <f>lc_detailed!AK18</f>
        <v>#REF!</v>
      </c>
      <c r="K17" t="e">
        <f>lc_detailed!AL18</f>
        <v>#REF!</v>
      </c>
      <c r="L17" t="e">
        <f>lc_detailed!AA18</f>
        <v>#REF!</v>
      </c>
      <c r="M17" t="e">
        <f>lc_detailed!#REF!</f>
        <v>#REF!</v>
      </c>
      <c r="O17" t="str">
        <v>CA_Gasoline_Gasification_Non_CCS_Herb</v>
      </c>
      <c r="P17">
        <v>-2.1829676197541801</v>
      </c>
      <c r="Q17">
        <v>0</v>
      </c>
      <c r="R17">
        <v>61.656984276381351</v>
      </c>
      <c r="S17" t="e">
        <v>#REF!</v>
      </c>
      <c r="T17">
        <v>19.18066504229386</v>
      </c>
      <c r="U17">
        <v>10.11668838283558</v>
      </c>
      <c r="V17">
        <v>0.24914184475694828</v>
      </c>
      <c r="W17" t="e">
        <v>#REF!</v>
      </c>
      <c r="X17" t="e">
        <v>#REF!</v>
      </c>
      <c r="Y17" t="e">
        <v>#REF!</v>
      </c>
      <c r="Z17" t="e">
        <v>#REF!</v>
      </c>
    </row>
    <row r="18" spans="2:26" x14ac:dyDescent="0.2">
      <c r="B18" t="str">
        <f>lc_detailed!B19</f>
        <v>CA_Gasoline_Gasification_Non_CCS_Herb</v>
      </c>
      <c r="C18">
        <f>lc_detailed!AC19</f>
        <v>0</v>
      </c>
      <c r="D18">
        <f>lc_detailed!AD19</f>
        <v>0</v>
      </c>
      <c r="E18">
        <f>lc_detailed!AE19</f>
        <v>55.653727327690454</v>
      </c>
      <c r="F18" t="e">
        <f>lc_detailed!AF19</f>
        <v>#REF!</v>
      </c>
      <c r="G18">
        <f>lc_detailed!AG19</f>
        <v>18.725964591166843</v>
      </c>
      <c r="H18">
        <f>lc_detailed!AH19</f>
        <v>9.9021474929402586</v>
      </c>
      <c r="I18">
        <f>lc_detailed!AI19</f>
        <v>0.2418379685610641</v>
      </c>
      <c r="J18" t="e">
        <f>lc_detailed!AK19</f>
        <v>#REF!</v>
      </c>
      <c r="K18" t="e">
        <f>lc_detailed!AL19</f>
        <v>#REF!</v>
      </c>
      <c r="L18" t="e">
        <f>lc_detailed!AA19</f>
        <v>#REF!</v>
      </c>
      <c r="M18" t="e">
        <f>lc_detailed!#REF!</f>
        <v>#REF!</v>
      </c>
      <c r="O18" t="str">
        <v>CA_Gasoline_Gasification_Non_CCS_Herb</v>
      </c>
      <c r="P18">
        <v>0</v>
      </c>
      <c r="Q18">
        <v>0</v>
      </c>
      <c r="R18">
        <v>55.653727327690454</v>
      </c>
      <c r="S18" t="e">
        <v>#REF!</v>
      </c>
      <c r="T18">
        <v>18.725964591166843</v>
      </c>
      <c r="U18">
        <v>9.9021474929402586</v>
      </c>
      <c r="V18">
        <v>0.2418379685610641</v>
      </c>
      <c r="W18" t="e">
        <v>#REF!</v>
      </c>
      <c r="X18" t="e">
        <v>#REF!</v>
      </c>
      <c r="Y18" t="e">
        <v>#REF!</v>
      </c>
      <c r="Z18" t="e">
        <v>#REF!</v>
      </c>
    </row>
    <row r="19" spans="2:26" x14ac:dyDescent="0.2">
      <c r="B19" t="str">
        <f>lc_detailed!B20</f>
        <v>CA_Gasoline_Gasification_Non_CCS_Herb</v>
      </c>
      <c r="C19">
        <f>lc_detailed!AC20</f>
        <v>0</v>
      </c>
      <c r="D19">
        <f>lc_detailed!AD20</f>
        <v>0</v>
      </c>
      <c r="E19">
        <f>lc_detailed!AE20</f>
        <v>50.579072475406548</v>
      </c>
      <c r="F19" t="e">
        <f>lc_detailed!AF20</f>
        <v>#REF!</v>
      </c>
      <c r="G19">
        <f>lc_detailed!AG20</f>
        <v>18.654534491341071</v>
      </c>
      <c r="H19">
        <f>lc_detailed!AH20</f>
        <v>9.8643758000340416</v>
      </c>
      <c r="I19">
        <f>lc_detailed!AI20</f>
        <v>0.24091547881951414</v>
      </c>
      <c r="J19" t="e">
        <f>lc_detailed!AK20</f>
        <v>#REF!</v>
      </c>
      <c r="K19" t="e">
        <f>lc_detailed!AL20</f>
        <v>#REF!</v>
      </c>
      <c r="L19" t="e">
        <f>lc_detailed!AA20</f>
        <v>#REF!</v>
      </c>
      <c r="M19" t="e">
        <f>lc_detailed!#REF!</f>
        <v>#REF!</v>
      </c>
      <c r="O19" t="str">
        <v>CA_Gasoline_Gasification_Non_CCS_Herb</v>
      </c>
      <c r="P19">
        <v>0</v>
      </c>
      <c r="Q19">
        <v>0</v>
      </c>
      <c r="R19">
        <v>50.579072475406548</v>
      </c>
      <c r="S19" t="e">
        <v>#REF!</v>
      </c>
      <c r="T19">
        <v>18.654534491341071</v>
      </c>
      <c r="U19">
        <v>9.8643758000340416</v>
      </c>
      <c r="V19">
        <v>0.24091547881951414</v>
      </c>
      <c r="W19" t="e">
        <v>#REF!</v>
      </c>
      <c r="X19" t="e">
        <v>#REF!</v>
      </c>
      <c r="Y19" t="e">
        <v>#REF!</v>
      </c>
      <c r="Z19" t="e">
        <v>#REF!</v>
      </c>
    </row>
    <row r="20" spans="2:26" x14ac:dyDescent="0.2">
      <c r="B20" t="str">
        <f>lc_detailed!B21</f>
        <v>CA_Gasoline_Gasification_Non_CCS_Herb</v>
      </c>
      <c r="C20">
        <f>lc_detailed!AC21</f>
        <v>0</v>
      </c>
      <c r="D20">
        <f>lc_detailed!AD21</f>
        <v>0</v>
      </c>
      <c r="E20">
        <f>lc_detailed!AE21</f>
        <v>52.169771122351882</v>
      </c>
      <c r="F20" t="e">
        <f>lc_detailed!AF21</f>
        <v>#REF!</v>
      </c>
      <c r="G20">
        <f>lc_detailed!AG21</f>
        <v>18.614360955851129</v>
      </c>
      <c r="H20">
        <f>lc_detailed!AH21</f>
        <v>9.8431323403554991</v>
      </c>
      <c r="I20">
        <f>lc_detailed!AI21</f>
        <v>0.24039665447989184</v>
      </c>
      <c r="J20" t="e">
        <f>lc_detailed!AK21</f>
        <v>#REF!</v>
      </c>
      <c r="K20" t="e">
        <f>lc_detailed!AL21</f>
        <v>#REF!</v>
      </c>
      <c r="L20" t="e">
        <f>lc_detailed!AA21</f>
        <v>#REF!</v>
      </c>
      <c r="M20" t="e">
        <f>lc_detailed!#REF!</f>
        <v>#REF!</v>
      </c>
      <c r="O20" t="str">
        <v>CA_Gasoline_Gasification_Non_CCS_Herb</v>
      </c>
      <c r="P20">
        <v>0</v>
      </c>
      <c r="Q20">
        <v>0</v>
      </c>
      <c r="R20">
        <v>52.169771122351882</v>
      </c>
      <c r="S20" t="e">
        <v>#REF!</v>
      </c>
      <c r="T20">
        <v>18.614360955851129</v>
      </c>
      <c r="U20">
        <v>9.8431323403554991</v>
      </c>
      <c r="V20">
        <v>0.24039665447989184</v>
      </c>
      <c r="W20" t="e">
        <v>#REF!</v>
      </c>
      <c r="X20" t="e">
        <v>#REF!</v>
      </c>
      <c r="Y20" t="e">
        <v>#REF!</v>
      </c>
      <c r="Z20" t="e">
        <v>#REF!</v>
      </c>
    </row>
    <row r="21" spans="2:26" x14ac:dyDescent="0.2">
      <c r="B21" t="str">
        <f>lc_detailed!B22</f>
        <v>CA_Gasoline_Gasification_Non_CCS_Herb</v>
      </c>
      <c r="C21">
        <f>lc_detailed!AC22</f>
        <v>0</v>
      </c>
      <c r="D21">
        <f>lc_detailed!AD22</f>
        <v>0</v>
      </c>
      <c r="E21">
        <f>lc_detailed!AE22</f>
        <v>50.281525611910162</v>
      </c>
      <c r="F21" t="e">
        <f>lc_detailed!AF22</f>
        <v>#REF!</v>
      </c>
      <c r="G21">
        <f>lc_detailed!AG22</f>
        <v>18.757150906155914</v>
      </c>
      <c r="H21">
        <f>lc_detailed!AH22</f>
        <v>9.9186385788482578</v>
      </c>
      <c r="I21">
        <f>lc_detailed!AI22</f>
        <v>0.24224072672218017</v>
      </c>
      <c r="J21" t="e">
        <f>lc_detailed!AK22</f>
        <v>#REF!</v>
      </c>
      <c r="K21" t="e">
        <f>lc_detailed!AL22</f>
        <v>#REF!</v>
      </c>
      <c r="L21" t="e">
        <f>lc_detailed!AA22</f>
        <v>#REF!</v>
      </c>
      <c r="M21" t="e">
        <f>lc_detailed!#REF!</f>
        <v>#REF!</v>
      </c>
      <c r="O21" t="str">
        <v>CA_Gasoline_Gasification_Non_CCS_Herb</v>
      </c>
      <c r="P21">
        <v>0</v>
      </c>
      <c r="Q21">
        <v>0</v>
      </c>
      <c r="R21">
        <v>50.281525611910162</v>
      </c>
      <c r="S21" t="e">
        <v>#REF!</v>
      </c>
      <c r="T21">
        <v>18.757150906155914</v>
      </c>
      <c r="U21">
        <v>9.9186385788482578</v>
      </c>
      <c r="V21">
        <v>0.24224072672218017</v>
      </c>
      <c r="W21" t="e">
        <v>#REF!</v>
      </c>
      <c r="X21" t="e">
        <v>#REF!</v>
      </c>
      <c r="Y21" t="e">
        <v>#REF!</v>
      </c>
      <c r="Z21" t="e">
        <v>#REF!</v>
      </c>
    </row>
    <row r="22" spans="2:26" x14ac:dyDescent="0.2">
      <c r="B22" t="str">
        <f>lc_detailed!B23</f>
        <v>CA_Gasoline_Gasification_Non_CCS_Herb</v>
      </c>
      <c r="C22">
        <f>lc_detailed!AC23</f>
        <v>0</v>
      </c>
      <c r="D22">
        <f>lc_detailed!AD23</f>
        <v>0</v>
      </c>
      <c r="E22">
        <f>lc_detailed!AE23</f>
        <v>69.801451343555485</v>
      </c>
      <c r="F22" t="e">
        <f>lc_detailed!AF23</f>
        <v>#REF!</v>
      </c>
      <c r="G22">
        <f>lc_detailed!AG23</f>
        <v>18.808407732679495</v>
      </c>
      <c r="H22">
        <f>lc_detailed!AH23</f>
        <v>9.945742798435214</v>
      </c>
      <c r="I22">
        <f>lc_detailed!AI23</f>
        <v>0.24290268711097615</v>
      </c>
      <c r="J22" t="e">
        <f>lc_detailed!AK23</f>
        <v>#REF!</v>
      </c>
      <c r="K22" t="e">
        <f>lc_detailed!AL23</f>
        <v>#REF!</v>
      </c>
      <c r="L22" t="e">
        <f>lc_detailed!AA23</f>
        <v>#REF!</v>
      </c>
      <c r="M22" t="e">
        <f>lc_detailed!#REF!</f>
        <v>#REF!</v>
      </c>
      <c r="O22" t="str">
        <v>CA_Gasoline_Gasification_Non_CCS_Herb</v>
      </c>
      <c r="P22">
        <v>0</v>
      </c>
      <c r="Q22">
        <v>0</v>
      </c>
      <c r="R22">
        <v>69.801451343555485</v>
      </c>
      <c r="S22" t="e">
        <v>#REF!</v>
      </c>
      <c r="T22">
        <v>18.808407732679495</v>
      </c>
      <c r="U22">
        <v>9.945742798435214</v>
      </c>
      <c r="V22">
        <v>0.24290268711097615</v>
      </c>
      <c r="W22" t="e">
        <v>#REF!</v>
      </c>
      <c r="X22" t="e">
        <v>#REF!</v>
      </c>
      <c r="Y22" t="e">
        <v>#REF!</v>
      </c>
      <c r="Z22" t="e">
        <v>#REF!</v>
      </c>
    </row>
    <row r="23" spans="2:26" x14ac:dyDescent="0.2">
      <c r="B23" t="str">
        <f>lc_detailed!B24</f>
        <v>CA_Gasoline_Gasification_Non_CCS_Herb</v>
      </c>
      <c r="C23">
        <f>lc_detailed!AC24</f>
        <v>0</v>
      </c>
      <c r="D23">
        <f>lc_detailed!AD24</f>
        <v>0</v>
      </c>
      <c r="E23">
        <f>lc_detailed!AE24</f>
        <v>61.366317310471054</v>
      </c>
      <c r="F23" t="e">
        <f>lc_detailed!AF24</f>
        <v>#REF!</v>
      </c>
      <c r="G23">
        <f>lc_detailed!AG24</f>
        <v>17.901596436060082</v>
      </c>
      <c r="H23">
        <f>lc_detailed!AH24</f>
        <v>9.4662278894074863</v>
      </c>
      <c r="I23">
        <f>lc_detailed!AI24</f>
        <v>0.23119160003853192</v>
      </c>
      <c r="J23" t="e">
        <f>lc_detailed!AK24</f>
        <v>#REF!</v>
      </c>
      <c r="K23" t="e">
        <f>lc_detailed!AL24</f>
        <v>#REF!</v>
      </c>
      <c r="L23" t="e">
        <f>lc_detailed!AA24</f>
        <v>#REF!</v>
      </c>
      <c r="M23" t="e">
        <f>lc_detailed!#REF!</f>
        <v>#REF!</v>
      </c>
      <c r="O23" t="str">
        <v>CA_Gasoline_Gasification_Non_CCS_Herb</v>
      </c>
      <c r="P23">
        <v>0</v>
      </c>
      <c r="Q23">
        <v>0</v>
      </c>
      <c r="R23">
        <v>61.366317310471054</v>
      </c>
      <c r="S23" t="e">
        <v>#REF!</v>
      </c>
      <c r="T23">
        <v>17.901596436060082</v>
      </c>
      <c r="U23">
        <v>9.4662278894074863</v>
      </c>
      <c r="V23">
        <v>0.23119160003853192</v>
      </c>
      <c r="W23" t="e">
        <v>#REF!</v>
      </c>
      <c r="X23" t="e">
        <v>#REF!</v>
      </c>
      <c r="Y23" t="e">
        <v>#REF!</v>
      </c>
      <c r="Z23" t="e">
        <v>#REF!</v>
      </c>
    </row>
    <row r="24" spans="2:26" x14ac:dyDescent="0.2">
      <c r="B24" t="str">
        <f>lc_detailed!B25</f>
        <v>CA_Gasoline_Gasification_Non_CCS_Herb</v>
      </c>
      <c r="C24">
        <f>lc_detailed!AC25</f>
        <v>0</v>
      </c>
      <c r="D24">
        <f>lc_detailed!AD25</f>
        <v>0</v>
      </c>
      <c r="E24">
        <f>lc_detailed!AE25</f>
        <v>52.50426245349567</v>
      </c>
      <c r="F24" t="e">
        <f>lc_detailed!AF25</f>
        <v>#REF!</v>
      </c>
      <c r="G24">
        <f>lc_detailed!AG25</f>
        <v>17.957817326447284</v>
      </c>
      <c r="H24">
        <f>lc_detailed!AH25</f>
        <v>9.4959570681682486</v>
      </c>
      <c r="I24">
        <f>lc_detailed!AI25</f>
        <v>0.23191766922742424</v>
      </c>
      <c r="J24" t="e">
        <f>lc_detailed!AK25</f>
        <v>#REF!</v>
      </c>
      <c r="K24" t="e">
        <f>lc_detailed!AL25</f>
        <v>#REF!</v>
      </c>
      <c r="L24" t="e">
        <f>lc_detailed!AA25</f>
        <v>#REF!</v>
      </c>
      <c r="M24" t="e">
        <f>lc_detailed!#REF!</f>
        <v>#REF!</v>
      </c>
      <c r="O24" t="str">
        <v>CA_Gasoline_Gasification_Non_CCS_Herb</v>
      </c>
      <c r="P24">
        <v>0</v>
      </c>
      <c r="Q24">
        <v>0</v>
      </c>
      <c r="R24">
        <v>52.50426245349567</v>
      </c>
      <c r="S24" t="e">
        <v>#REF!</v>
      </c>
      <c r="T24">
        <v>17.957817326447284</v>
      </c>
      <c r="U24">
        <v>9.4959570681682486</v>
      </c>
      <c r="V24">
        <v>0.23191766922742424</v>
      </c>
      <c r="W24" t="e">
        <v>#REF!</v>
      </c>
      <c r="X24" t="e">
        <v>#REF!</v>
      </c>
      <c r="Y24" t="e">
        <v>#REF!</v>
      </c>
      <c r="Z24" t="e">
        <v>#REF!</v>
      </c>
    </row>
    <row r="25" spans="2:26" x14ac:dyDescent="0.2">
      <c r="B25" t="str">
        <f>lc_detailed!B26</f>
        <v>CA_Gasoline_Gasification_Non_CCS_Herb</v>
      </c>
      <c r="C25">
        <f>lc_detailed!AC26</f>
        <v>0</v>
      </c>
      <c r="D25">
        <f>lc_detailed!AD26</f>
        <v>0</v>
      </c>
      <c r="E25">
        <f>lc_detailed!AE26</f>
        <v>55.672685171798946</v>
      </c>
      <c r="F25" t="e">
        <f>lc_detailed!AF26</f>
        <v>#REF!</v>
      </c>
      <c r="G25">
        <f>lc_detailed!AG26</f>
        <v>17.911085981662545</v>
      </c>
      <c r="H25">
        <f>lc_detailed!AH26</f>
        <v>9.4712458888669584</v>
      </c>
      <c r="I25">
        <f>lc_detailed!AI26</f>
        <v>0.23131415353476942</v>
      </c>
      <c r="J25" t="e">
        <f>lc_detailed!AK26</f>
        <v>#REF!</v>
      </c>
      <c r="K25" t="e">
        <f>lc_detailed!AL26</f>
        <v>#REF!</v>
      </c>
      <c r="L25" t="e">
        <f>lc_detailed!AA26</f>
        <v>#REF!</v>
      </c>
      <c r="M25" t="e">
        <f>lc_detailed!#REF!</f>
        <v>#REF!</v>
      </c>
      <c r="O25" t="str">
        <v>CA_Gasoline_Gasification_Non_CCS_Herb</v>
      </c>
      <c r="P25">
        <v>0</v>
      </c>
      <c r="Q25">
        <v>0</v>
      </c>
      <c r="R25">
        <v>55.672685171798946</v>
      </c>
      <c r="S25" t="e">
        <v>#REF!</v>
      </c>
      <c r="T25">
        <v>17.911085981662545</v>
      </c>
      <c r="U25">
        <v>9.4712458888669584</v>
      </c>
      <c r="V25">
        <v>0.23131415353476942</v>
      </c>
      <c r="W25" t="e">
        <v>#REF!</v>
      </c>
      <c r="X25" t="e">
        <v>#REF!</v>
      </c>
      <c r="Y25" t="e">
        <v>#REF!</v>
      </c>
      <c r="Z25" t="e">
        <v>#REF!</v>
      </c>
    </row>
    <row r="26" spans="2:26" x14ac:dyDescent="0.2">
      <c r="B26" t="str">
        <f>lc_detailed!B27</f>
        <v>CA_Gasoline_Gasification_Non_CCS_Herb</v>
      </c>
      <c r="C26">
        <f>lc_detailed!AC27</f>
        <v>0</v>
      </c>
      <c r="D26">
        <f>lc_detailed!AD27</f>
        <v>0</v>
      </c>
      <c r="E26">
        <f>lc_detailed!AE27</f>
        <v>54.336796717535272</v>
      </c>
      <c r="F26" t="e">
        <f>lc_detailed!AF27</f>
        <v>#REF!</v>
      </c>
      <c r="G26">
        <f>lc_detailed!AG27</f>
        <v>17.836306037310653</v>
      </c>
      <c r="H26">
        <f>lc_detailed!AH27</f>
        <v>9.4317028236816505</v>
      </c>
      <c r="I26">
        <f>lc_detailed!AI27</f>
        <v>0.23034840195796139</v>
      </c>
      <c r="J26" t="e">
        <f>lc_detailed!AK27</f>
        <v>#REF!</v>
      </c>
      <c r="K26" t="e">
        <f>lc_detailed!AL27</f>
        <v>#REF!</v>
      </c>
      <c r="L26" t="e">
        <f>lc_detailed!AA27</f>
        <v>#REF!</v>
      </c>
      <c r="M26" t="e">
        <f>lc_detailed!#REF!</f>
        <v>#REF!</v>
      </c>
      <c r="O26" t="str">
        <v>CA_Gasoline_Gasification_Non_CCS_Herb</v>
      </c>
      <c r="P26">
        <v>0</v>
      </c>
      <c r="Q26">
        <v>0</v>
      </c>
      <c r="R26">
        <v>54.336796717535272</v>
      </c>
      <c r="S26" t="e">
        <v>#REF!</v>
      </c>
      <c r="T26">
        <v>17.836306037310653</v>
      </c>
      <c r="U26">
        <v>9.4317028236816505</v>
      </c>
      <c r="V26">
        <v>0.23034840195796139</v>
      </c>
      <c r="W26" t="e">
        <v>#REF!</v>
      </c>
      <c r="X26" t="e">
        <v>#REF!</v>
      </c>
      <c r="Y26" t="e">
        <v>#REF!</v>
      </c>
      <c r="Z26" t="e">
        <v>#REF!</v>
      </c>
    </row>
    <row r="27" spans="2:26" x14ac:dyDescent="0.2">
      <c r="B27" t="str">
        <f>lc_detailed!B28</f>
        <v>CA_Gasoline_Gasification_Non_CCS_Herb</v>
      </c>
      <c r="C27">
        <f>lc_detailed!AC28</f>
        <v>0</v>
      </c>
      <c r="D27">
        <f>lc_detailed!AD28</f>
        <v>0</v>
      </c>
      <c r="E27">
        <f>lc_detailed!AE28</f>
        <v>76.727098702434745</v>
      </c>
      <c r="F27" t="e">
        <f>lc_detailed!AF28</f>
        <v>#REF!</v>
      </c>
      <c r="G27">
        <f>lc_detailed!AG28</f>
        <v>18.062542897676021</v>
      </c>
      <c r="H27">
        <f>lc_detailed!AH28</f>
        <v>9.551335152834632</v>
      </c>
      <c r="I27">
        <f>lc_detailed!AI28</f>
        <v>0.23327015599941681</v>
      </c>
      <c r="J27" t="e">
        <f>lc_detailed!AK28</f>
        <v>#REF!</v>
      </c>
      <c r="K27" t="e">
        <f>lc_detailed!AL28</f>
        <v>#REF!</v>
      </c>
      <c r="L27" t="e">
        <f>lc_detailed!AA28</f>
        <v>#REF!</v>
      </c>
      <c r="M27" t="e">
        <f>lc_detailed!#REF!</f>
        <v>#REF!</v>
      </c>
      <c r="O27" t="str">
        <v>CA_Gasoline_Gasification_Non_CCS_Herb</v>
      </c>
      <c r="P27">
        <v>0</v>
      </c>
      <c r="Q27">
        <v>0</v>
      </c>
      <c r="R27">
        <v>76.727098702434745</v>
      </c>
      <c r="S27" t="e">
        <v>#REF!</v>
      </c>
      <c r="T27">
        <v>18.062542897676021</v>
      </c>
      <c r="U27">
        <v>9.551335152834632</v>
      </c>
      <c r="V27">
        <v>0.23327015599941681</v>
      </c>
      <c r="W27" t="e">
        <v>#REF!</v>
      </c>
      <c r="X27" t="e">
        <v>#REF!</v>
      </c>
      <c r="Y27" t="e">
        <v>#REF!</v>
      </c>
      <c r="Z27" t="e">
        <v>#REF!</v>
      </c>
    </row>
    <row r="28" spans="2:26" x14ac:dyDescent="0.2">
      <c r="B28" t="str">
        <f>lc_detailed!B29</f>
        <v>CA_Gasoline_Gasification_Non_CCS_Herb</v>
      </c>
      <c r="C28">
        <f>lc_detailed!AC29</f>
        <v>0</v>
      </c>
      <c r="D28">
        <f>lc_detailed!AD29</f>
        <v>0</v>
      </c>
      <c r="E28">
        <f>lc_detailed!AE29</f>
        <v>52.868555686316462</v>
      </c>
      <c r="F28" t="e">
        <f>lc_detailed!AF29</f>
        <v>#REF!</v>
      </c>
      <c r="G28">
        <f>lc_detailed!AG29</f>
        <v>19.881937798517143</v>
      </c>
      <c r="H28">
        <f>lc_detailed!AH29</f>
        <v>10.513417323198794</v>
      </c>
      <c r="I28">
        <f>lc_detailed!AI29</f>
        <v>0.25676687707285761</v>
      </c>
      <c r="J28" t="e">
        <f>lc_detailed!AK29</f>
        <v>#REF!</v>
      </c>
      <c r="K28" t="e">
        <f>lc_detailed!AL29</f>
        <v>#REF!</v>
      </c>
      <c r="L28" t="e">
        <f>lc_detailed!AA29</f>
        <v>#REF!</v>
      </c>
      <c r="M28" t="e">
        <f>lc_detailed!#REF!</f>
        <v>#REF!</v>
      </c>
      <c r="O28" t="str">
        <v>CA_Gasoline_Gasification_Non_CCS_Herb</v>
      </c>
      <c r="P28">
        <v>0</v>
      </c>
      <c r="Q28">
        <v>0</v>
      </c>
      <c r="R28">
        <v>52.868555686316462</v>
      </c>
      <c r="S28" t="e">
        <v>#REF!</v>
      </c>
      <c r="T28">
        <v>19.881937798517143</v>
      </c>
      <c r="U28">
        <v>10.513417323198794</v>
      </c>
      <c r="V28">
        <v>0.25676687707285761</v>
      </c>
      <c r="W28" t="e">
        <v>#REF!</v>
      </c>
      <c r="X28" t="e">
        <v>#REF!</v>
      </c>
      <c r="Y28" t="e">
        <v>#REF!</v>
      </c>
      <c r="Z28" t="e">
        <v>#REF!</v>
      </c>
    </row>
    <row r="29" spans="2:26" x14ac:dyDescent="0.2">
      <c r="B29" t="str">
        <f>lc_detailed!B30</f>
        <v>CA_Gasoline_Gasification_Non_CCS_Herb</v>
      </c>
      <c r="C29">
        <f>lc_detailed!AC30</f>
        <v>0</v>
      </c>
      <c r="D29">
        <f>lc_detailed!AD30</f>
        <v>0</v>
      </c>
      <c r="E29">
        <f>lc_detailed!AE30</f>
        <v>47.53338914580344</v>
      </c>
      <c r="F29" t="e">
        <f>lc_detailed!AF30</f>
        <v>#REF!</v>
      </c>
      <c r="G29">
        <f>lc_detailed!AG30</f>
        <v>19.756176325172991</v>
      </c>
      <c r="H29">
        <f>lc_detailed!AH30</f>
        <v>10.446915613664926</v>
      </c>
      <c r="I29">
        <f>lc_detailed!AI30</f>
        <v>0.2551427204592569</v>
      </c>
      <c r="J29" t="e">
        <f>lc_detailed!AK30</f>
        <v>#REF!</v>
      </c>
      <c r="K29" t="e">
        <f>lc_detailed!AL30</f>
        <v>#REF!</v>
      </c>
      <c r="L29" t="e">
        <f>lc_detailed!AA30</f>
        <v>#REF!</v>
      </c>
      <c r="M29" t="e">
        <f>lc_detailed!#REF!</f>
        <v>#REF!</v>
      </c>
      <c r="O29" t="str">
        <v>CA_Gasoline_Gasification_Non_CCS_Herb</v>
      </c>
      <c r="P29">
        <v>0</v>
      </c>
      <c r="Q29">
        <v>0</v>
      </c>
      <c r="R29">
        <v>47.53338914580344</v>
      </c>
      <c r="S29" t="e">
        <v>#REF!</v>
      </c>
      <c r="T29">
        <v>19.756176325172991</v>
      </c>
      <c r="U29">
        <v>10.446915613664926</v>
      </c>
      <c r="V29">
        <v>0.2551427204592569</v>
      </c>
      <c r="W29" t="e">
        <v>#REF!</v>
      </c>
      <c r="X29" t="e">
        <v>#REF!</v>
      </c>
      <c r="Y29" t="e">
        <v>#REF!</v>
      </c>
      <c r="Z29" t="e">
        <v>#REF!</v>
      </c>
    </row>
    <row r="30" spans="2:26" x14ac:dyDescent="0.2">
      <c r="B30" t="str">
        <f>lc_detailed!B31</f>
        <v>CA_Gasoline_Gasification_Non_CCS_Herb</v>
      </c>
      <c r="C30">
        <f>lc_detailed!AC31</f>
        <v>0</v>
      </c>
      <c r="D30">
        <f>lc_detailed!AD31</f>
        <v>0</v>
      </c>
      <c r="E30">
        <f>lc_detailed!AE31</f>
        <v>48.869114945580044</v>
      </c>
      <c r="F30" t="e">
        <f>lc_detailed!AF31</f>
        <v>#REF!</v>
      </c>
      <c r="G30">
        <f>lc_detailed!AG31</f>
        <v>19.733100356011654</v>
      </c>
      <c r="H30">
        <f>lc_detailed!AH31</f>
        <v>10.434713216876997</v>
      </c>
      <c r="I30">
        <f>lc_detailed!AI31</f>
        <v>0.25484470400849479</v>
      </c>
      <c r="J30" t="e">
        <f>lc_detailed!AK31</f>
        <v>#REF!</v>
      </c>
      <c r="K30" t="e">
        <f>lc_detailed!AL31</f>
        <v>#REF!</v>
      </c>
      <c r="L30" t="e">
        <f>lc_detailed!AA31</f>
        <v>#REF!</v>
      </c>
      <c r="M30" t="e">
        <f>lc_detailed!#REF!</f>
        <v>#REF!</v>
      </c>
      <c r="O30" t="str">
        <v>CA_Gasoline_Gasification_Non_CCS_Herb</v>
      </c>
      <c r="P30">
        <v>0</v>
      </c>
      <c r="Q30">
        <v>0</v>
      </c>
      <c r="R30">
        <v>48.869114945580044</v>
      </c>
      <c r="S30" t="e">
        <v>#REF!</v>
      </c>
      <c r="T30">
        <v>19.733100356011654</v>
      </c>
      <c r="U30">
        <v>10.434713216876997</v>
      </c>
      <c r="V30">
        <v>0.25484470400849479</v>
      </c>
      <c r="W30" t="e">
        <v>#REF!</v>
      </c>
      <c r="X30" t="e">
        <v>#REF!</v>
      </c>
      <c r="Y30" t="e">
        <v>#REF!</v>
      </c>
      <c r="Z30" t="e">
        <v>#REF!</v>
      </c>
    </row>
    <row r="31" spans="2:26" x14ac:dyDescent="0.2">
      <c r="B31" t="str">
        <f>lc_detailed!B32</f>
        <v>CA_Gasoline_Gasification_Non_CCS_Herb</v>
      </c>
      <c r="C31">
        <f>lc_detailed!AC32</f>
        <v>0</v>
      </c>
      <c r="D31">
        <f>lc_detailed!AD32</f>
        <v>0</v>
      </c>
      <c r="E31">
        <f>lc_detailed!AE32</f>
        <v>47.36676528599606</v>
      </c>
      <c r="F31" t="e">
        <f>lc_detailed!AF32</f>
        <v>#REF!</v>
      </c>
      <c r="G31">
        <f>lc_detailed!AG32</f>
        <v>19.813046815154298</v>
      </c>
      <c r="H31">
        <f>lc_detailed!AH32</f>
        <v>10.476988295744883</v>
      </c>
      <c r="I31">
        <f>lc_detailed!AI32</f>
        <v>0.25587717895410206</v>
      </c>
      <c r="J31" t="e">
        <f>lc_detailed!AK32</f>
        <v>#REF!</v>
      </c>
      <c r="K31" t="e">
        <f>lc_detailed!AL32</f>
        <v>#REF!</v>
      </c>
      <c r="L31" t="e">
        <f>lc_detailed!AA32</f>
        <v>#REF!</v>
      </c>
      <c r="M31" t="e">
        <f>lc_detailed!#REF!</f>
        <v>#REF!</v>
      </c>
      <c r="O31" t="str">
        <v>CA_Gasoline_Gasification_Non_CCS_Herb</v>
      </c>
      <c r="P31">
        <v>0</v>
      </c>
      <c r="Q31">
        <v>0</v>
      </c>
      <c r="R31">
        <v>47.36676528599606</v>
      </c>
      <c r="S31" t="e">
        <v>#REF!</v>
      </c>
      <c r="T31">
        <v>19.813046815154298</v>
      </c>
      <c r="U31">
        <v>10.476988295744883</v>
      </c>
      <c r="V31">
        <v>0.25587717895410206</v>
      </c>
      <c r="W31" t="e">
        <v>#REF!</v>
      </c>
      <c r="X31" t="e">
        <v>#REF!</v>
      </c>
      <c r="Y31" t="e">
        <v>#REF!</v>
      </c>
      <c r="Z31" t="e">
        <v>#REF!</v>
      </c>
    </row>
    <row r="32" spans="2:26" x14ac:dyDescent="0.2">
      <c r="B32" t="str">
        <f>lc_detailed!B33</f>
        <v>CA_Gasoline_Gasification_Non_CCS_Herb</v>
      </c>
      <c r="C32">
        <f>lc_detailed!AC33</f>
        <v>0</v>
      </c>
      <c r="D32">
        <f>lc_detailed!AD33</f>
        <v>0</v>
      </c>
      <c r="E32">
        <f>lc_detailed!AE33</f>
        <v>61.656984276381351</v>
      </c>
      <c r="F32" t="e">
        <f>lc_detailed!AF33</f>
        <v>#REF!</v>
      </c>
      <c r="G32">
        <f>lc_detailed!AG33</f>
        <v>20.577618492164735</v>
      </c>
      <c r="H32">
        <f>lc_detailed!AH33</f>
        <v>10.881287976961479</v>
      </c>
      <c r="I32">
        <f>lc_detailed!AI33</f>
        <v>0.26575130107407818</v>
      </c>
      <c r="J32" t="e">
        <f>lc_detailed!AK33</f>
        <v>#REF!</v>
      </c>
      <c r="K32" t="e">
        <f>lc_detailed!AL33</f>
        <v>#REF!</v>
      </c>
      <c r="L32" t="e">
        <f>lc_detailed!AA33</f>
        <v>#REF!</v>
      </c>
      <c r="M32" t="e">
        <f>lc_detailed!#REF!</f>
        <v>#REF!</v>
      </c>
      <c r="O32" t="str">
        <v>CA_Gasoline_Gasification_Non_CCS_Herb</v>
      </c>
      <c r="P32">
        <v>0</v>
      </c>
      <c r="Q32">
        <v>0</v>
      </c>
      <c r="R32">
        <v>61.656984276381351</v>
      </c>
      <c r="S32" t="e">
        <v>#REF!</v>
      </c>
      <c r="T32">
        <v>20.577618492164735</v>
      </c>
      <c r="U32">
        <v>10.881287976961479</v>
      </c>
      <c r="V32">
        <v>0.26575130107407818</v>
      </c>
      <c r="W32" t="e">
        <v>#REF!</v>
      </c>
      <c r="X32" t="e">
        <v>#REF!</v>
      </c>
      <c r="Y32" t="e">
        <v>#REF!</v>
      </c>
      <c r="Z32" t="e">
        <v>#REF!</v>
      </c>
    </row>
    <row r="33" spans="2:26" x14ac:dyDescent="0.2">
      <c r="B33" t="str">
        <f>lc_detailed!B34</f>
        <v>CA_Gasoline_Gasification_Non_CCS_Herb</v>
      </c>
      <c r="C33">
        <f>lc_detailed!AC34</f>
        <v>0</v>
      </c>
      <c r="D33">
        <f>lc_detailed!AD34</f>
        <v>3.3582448903667879</v>
      </c>
      <c r="E33">
        <f>lc_detailed!AE34</f>
        <v>55.653727327690454</v>
      </c>
      <c r="F33" t="e">
        <f>lc_detailed!AF34</f>
        <v>#REF!</v>
      </c>
      <c r="G33">
        <f>lc_detailed!AG34</f>
        <v>33.240683481624224</v>
      </c>
      <c r="H33">
        <f>lc_detailed!AH34</f>
        <v>17.846543164887237</v>
      </c>
      <c r="I33">
        <f>lc_detailed!AI34</f>
        <v>0.8413945989520355</v>
      </c>
      <c r="J33" t="e">
        <f>lc_detailed!AK34</f>
        <v>#REF!</v>
      </c>
      <c r="K33" t="e">
        <f>lc_detailed!AL34</f>
        <v>#REF!</v>
      </c>
      <c r="L33" t="e">
        <f>lc_detailed!AA34</f>
        <v>#REF!</v>
      </c>
      <c r="M33" t="e">
        <f>lc_detailed!#REF!</f>
        <v>#REF!</v>
      </c>
      <c r="O33" t="str">
        <v>CA_Gasoline_Gasification_Non_CCS_Herb</v>
      </c>
      <c r="P33">
        <v>0</v>
      </c>
      <c r="Q33">
        <v>3.3582448903667879</v>
      </c>
      <c r="R33">
        <v>55.653727327690454</v>
      </c>
      <c r="S33" t="e">
        <v>#REF!</v>
      </c>
      <c r="T33">
        <v>33.240683481624224</v>
      </c>
      <c r="U33">
        <v>17.846543164887237</v>
      </c>
      <c r="V33">
        <v>0.8413945989520355</v>
      </c>
      <c r="W33" t="e">
        <v>#REF!</v>
      </c>
      <c r="X33" t="e">
        <v>#REF!</v>
      </c>
      <c r="Y33" t="e">
        <v>#REF!</v>
      </c>
      <c r="Z33" t="e">
        <v>#REF!</v>
      </c>
    </row>
    <row r="34" spans="2:26" x14ac:dyDescent="0.2">
      <c r="B34" t="str">
        <f>lc_detailed!B35</f>
        <v>CA_Gasoline_Gasification_Non_CCS_Herb</v>
      </c>
      <c r="C34">
        <f>lc_detailed!AC35</f>
        <v>0</v>
      </c>
      <c r="D34">
        <f>lc_detailed!AD35</f>
        <v>5.1994644802248535</v>
      </c>
      <c r="E34">
        <f>lc_detailed!AE35</f>
        <v>50.579072475406548</v>
      </c>
      <c r="F34" t="e">
        <f>lc_detailed!AF35</f>
        <v>#REF!</v>
      </c>
      <c r="G34">
        <f>lc_detailed!AG35</f>
        <v>33.113887057984215</v>
      </c>
      <c r="H34">
        <f>lc_detailed!AH35</f>
        <v>17.778467613766406</v>
      </c>
      <c r="I34">
        <f>lc_detailed!AI35</f>
        <v>0.83818510339289298</v>
      </c>
      <c r="J34" t="e">
        <f>lc_detailed!AK35</f>
        <v>#REF!</v>
      </c>
      <c r="K34" t="e">
        <f>lc_detailed!AL35</f>
        <v>#REF!</v>
      </c>
      <c r="L34" t="e">
        <f>lc_detailed!AA35</f>
        <v>#REF!</v>
      </c>
      <c r="M34" t="e">
        <f>lc_detailed!#REF!</f>
        <v>#REF!</v>
      </c>
      <c r="O34" t="str">
        <v>CA_Gasoline_Gasification_Non_CCS_Herb</v>
      </c>
      <c r="P34">
        <v>0</v>
      </c>
      <c r="Q34">
        <v>5.1994644802248535</v>
      </c>
      <c r="R34">
        <v>50.579072475406548</v>
      </c>
      <c r="S34" t="e">
        <v>#REF!</v>
      </c>
      <c r="T34">
        <v>33.113887057984215</v>
      </c>
      <c r="U34">
        <v>17.778467613766406</v>
      </c>
      <c r="V34">
        <v>0.83818510339289298</v>
      </c>
      <c r="W34" t="e">
        <v>#REF!</v>
      </c>
      <c r="X34" t="e">
        <v>#REF!</v>
      </c>
      <c r="Y34" t="e">
        <v>#REF!</v>
      </c>
      <c r="Z34" t="e">
        <v>#REF!</v>
      </c>
    </row>
    <row r="35" spans="2:26" x14ac:dyDescent="0.2">
      <c r="B35" t="str">
        <f>lc_detailed!B36</f>
        <v>CA_Gasoline_Gasification_Non_CCS_Herb</v>
      </c>
      <c r="C35">
        <f>lc_detailed!AC36</f>
        <v>0</v>
      </c>
      <c r="D35">
        <f>lc_detailed!AD36</f>
        <v>4.0478745598237085</v>
      </c>
      <c r="E35">
        <f>lc_detailed!AE36</f>
        <v>52.169771122351882</v>
      </c>
      <c r="F35" t="e">
        <f>lc_detailed!AF36</f>
        <v>#REF!</v>
      </c>
      <c r="G35">
        <f>lc_detailed!AG36</f>
        <v>33.042574535146869</v>
      </c>
      <c r="H35">
        <f>lc_detailed!AH36</f>
        <v>17.740180735046923</v>
      </c>
      <c r="I35">
        <f>lc_detailed!AI36</f>
        <v>0.83638002704462366</v>
      </c>
      <c r="J35" t="e">
        <f>lc_detailed!AK36</f>
        <v>#REF!</v>
      </c>
      <c r="K35" t="e">
        <f>lc_detailed!AL36</f>
        <v>#REF!</v>
      </c>
      <c r="L35" t="e">
        <f>lc_detailed!AA36</f>
        <v>#REF!</v>
      </c>
      <c r="M35" t="e">
        <f>lc_detailed!#REF!</f>
        <v>#REF!</v>
      </c>
      <c r="O35" t="str">
        <v>CA_Gasoline_Gasification_Non_CCS_Herb</v>
      </c>
      <c r="P35">
        <v>0</v>
      </c>
      <c r="Q35">
        <v>4.0478745598237085</v>
      </c>
      <c r="R35">
        <v>52.169771122351882</v>
      </c>
      <c r="S35" t="e">
        <v>#REF!</v>
      </c>
      <c r="T35">
        <v>33.042574535146869</v>
      </c>
      <c r="U35">
        <v>17.740180735046923</v>
      </c>
      <c r="V35">
        <v>0.83638002704462366</v>
      </c>
      <c r="W35" t="e">
        <v>#REF!</v>
      </c>
      <c r="X35" t="e">
        <v>#REF!</v>
      </c>
      <c r="Y35" t="e">
        <v>#REF!</v>
      </c>
      <c r="Z35" t="e">
        <v>#REF!</v>
      </c>
    </row>
    <row r="36" spans="2:26" x14ac:dyDescent="0.2">
      <c r="B36" t="str">
        <f>lc_detailed!B37</f>
        <v>CA_Gasoline_Gasification_Non_CCS_Herb</v>
      </c>
      <c r="C36">
        <f>lc_detailed!AC37</f>
        <v>0</v>
      </c>
      <c r="D36">
        <f>lc_detailed!AD37</f>
        <v>5.076505166389099</v>
      </c>
      <c r="E36">
        <f>lc_detailed!AE37</f>
        <v>50.281525611910162</v>
      </c>
      <c r="F36" t="e">
        <f>lc_detailed!AF37</f>
        <v>#REF!</v>
      </c>
      <c r="G36">
        <f>lc_detailed!AG37</f>
        <v>33.296042681972118</v>
      </c>
      <c r="H36">
        <f>lc_detailed!AH37</f>
        <v>17.876264887039209</v>
      </c>
      <c r="I36">
        <f>lc_detailed!AI37</f>
        <v>0.84279586172091847</v>
      </c>
      <c r="J36" t="e">
        <f>lc_detailed!AK37</f>
        <v>#REF!</v>
      </c>
      <c r="K36" t="e">
        <f>lc_detailed!AL37</f>
        <v>#REF!</v>
      </c>
      <c r="L36" t="e">
        <f>lc_detailed!AA37</f>
        <v>#REF!</v>
      </c>
      <c r="M36" t="e">
        <f>lc_detailed!#REF!</f>
        <v>#REF!</v>
      </c>
      <c r="O36" t="str">
        <v>CA_Gasoline_Gasification_Non_CCS_Herb</v>
      </c>
      <c r="P36">
        <v>0</v>
      </c>
      <c r="Q36">
        <v>5.076505166389099</v>
      </c>
      <c r="R36">
        <v>50.281525611910162</v>
      </c>
      <c r="S36" t="e">
        <v>#REF!</v>
      </c>
      <c r="T36">
        <v>33.296042681972118</v>
      </c>
      <c r="U36">
        <v>17.876264887039209</v>
      </c>
      <c r="V36">
        <v>0.84279586172091847</v>
      </c>
      <c r="W36" t="e">
        <v>#REF!</v>
      </c>
      <c r="X36" t="e">
        <v>#REF!</v>
      </c>
      <c r="Y36" t="e">
        <v>#REF!</v>
      </c>
      <c r="Z36" t="e">
        <v>#REF!</v>
      </c>
    </row>
    <row r="37" spans="2:26" x14ac:dyDescent="0.2">
      <c r="B37" t="str">
        <f>lc_detailed!B38</f>
        <v>CA_Gasoline_Gasification_Non_CCS_Herb</v>
      </c>
      <c r="C37">
        <f>lc_detailed!AC38</f>
        <v>0</v>
      </c>
      <c r="D37">
        <f>lc_detailed!AD38</f>
        <v>2.6945004434998232</v>
      </c>
      <c r="E37">
        <f>lc_detailed!AE38</f>
        <v>69.801451343555485</v>
      </c>
      <c r="F37" t="e">
        <f>lc_detailed!AF38</f>
        <v>#REF!</v>
      </c>
      <c r="G37">
        <f>lc_detailed!AG38</f>
        <v>33.387029287145261</v>
      </c>
      <c r="H37">
        <f>lc_detailed!AH38</f>
        <v>17.925114555775615</v>
      </c>
      <c r="I37">
        <f>lc_detailed!AI38</f>
        <v>0.84509893224027122</v>
      </c>
      <c r="J37" t="e">
        <f>lc_detailed!AK38</f>
        <v>#REF!</v>
      </c>
      <c r="K37" t="e">
        <f>lc_detailed!AL38</f>
        <v>#REF!</v>
      </c>
      <c r="L37" t="e">
        <f>lc_detailed!AA38</f>
        <v>#REF!</v>
      </c>
      <c r="M37" t="e">
        <f>lc_detailed!#REF!</f>
        <v>#REF!</v>
      </c>
      <c r="O37" t="str">
        <v>CA_Gasoline_Gasification_Non_CCS_Herb</v>
      </c>
      <c r="P37">
        <v>0</v>
      </c>
      <c r="Q37">
        <v>2.6945004434998232</v>
      </c>
      <c r="R37">
        <v>69.801451343555485</v>
      </c>
      <c r="S37" t="e">
        <v>#REF!</v>
      </c>
      <c r="T37">
        <v>33.387029287145261</v>
      </c>
      <c r="U37">
        <v>17.925114555775615</v>
      </c>
      <c r="V37">
        <v>0.84509893224027122</v>
      </c>
      <c r="W37" t="e">
        <v>#REF!</v>
      </c>
      <c r="X37" t="e">
        <v>#REF!</v>
      </c>
      <c r="Y37" t="e">
        <v>#REF!</v>
      </c>
      <c r="Z37" t="e">
        <v>#REF!</v>
      </c>
    </row>
    <row r="38" spans="2:26" x14ac:dyDescent="0.2">
      <c r="B38" t="str">
        <f>lc_detailed!B39</f>
        <v>CA_Gasoline_Gasification_Non_CCS_Herb</v>
      </c>
      <c r="C38">
        <f>lc_detailed!AC39</f>
        <v>0</v>
      </c>
      <c r="D38">
        <f>lc_detailed!AD39</f>
        <v>3.2104057693863788</v>
      </c>
      <c r="E38">
        <f>lc_detailed!AE39</f>
        <v>61.366317310471054</v>
      </c>
      <c r="F38" t="e">
        <f>lc_detailed!AF39</f>
        <v>#REF!</v>
      </c>
      <c r="G38">
        <f>lc_detailed!AG39</f>
        <v>31.777337720030705</v>
      </c>
      <c r="H38">
        <f>lc_detailed!AH39</f>
        <v>17.06088954516337</v>
      </c>
      <c r="I38">
        <f>lc_detailed!AI39</f>
        <v>0.8043541084673923</v>
      </c>
      <c r="J38" t="e">
        <f>lc_detailed!AK39</f>
        <v>#REF!</v>
      </c>
      <c r="K38" t="e">
        <f>lc_detailed!AL39</f>
        <v>#REF!</v>
      </c>
      <c r="L38" t="e">
        <f>lc_detailed!AA39</f>
        <v>#REF!</v>
      </c>
      <c r="M38" t="e">
        <f>lc_detailed!#REF!</f>
        <v>#REF!</v>
      </c>
      <c r="O38" t="str">
        <v>CA_Gasoline_Gasification_Non_CCS_Herb</v>
      </c>
      <c r="P38">
        <v>0</v>
      </c>
      <c r="Q38">
        <v>3.2104057693863788</v>
      </c>
      <c r="R38">
        <v>61.366317310471054</v>
      </c>
      <c r="S38" t="e">
        <v>#REF!</v>
      </c>
      <c r="T38">
        <v>31.777337720030705</v>
      </c>
      <c r="U38">
        <v>17.06088954516337</v>
      </c>
      <c r="V38">
        <v>0.8043541084673923</v>
      </c>
      <c r="W38" t="e">
        <v>#REF!</v>
      </c>
      <c r="X38" t="e">
        <v>#REF!</v>
      </c>
      <c r="Y38" t="e">
        <v>#REF!</v>
      </c>
      <c r="Z38" t="e">
        <v>#REF!</v>
      </c>
    </row>
    <row r="39" spans="2:26" x14ac:dyDescent="0.2">
      <c r="B39" t="str">
        <f>lc_detailed!B40</f>
        <v>CA_Gasoline_Gasification_Non_CCS_Herb</v>
      </c>
      <c r="C39">
        <f>lc_detailed!AC40</f>
        <v>0</v>
      </c>
      <c r="D39">
        <f>lc_detailed!AD40</f>
        <v>5.0052727595303663</v>
      </c>
      <c r="E39">
        <f>lc_detailed!AE40</f>
        <v>52.50426245349567</v>
      </c>
      <c r="F39" t="e">
        <f>lc_detailed!AF40</f>
        <v>#REF!</v>
      </c>
      <c r="G39">
        <f>lc_detailed!AG40</f>
        <v>31.877136094278278</v>
      </c>
      <c r="H39">
        <f>lc_detailed!AH40</f>
        <v>17.114470152035651</v>
      </c>
      <c r="I39">
        <f>lc_detailed!AI40</f>
        <v>0.80688022418708016</v>
      </c>
      <c r="J39" t="e">
        <f>lc_detailed!AK40</f>
        <v>#REF!</v>
      </c>
      <c r="K39" t="e">
        <f>lc_detailed!AL40</f>
        <v>#REF!</v>
      </c>
      <c r="L39" t="e">
        <f>lc_detailed!AA40</f>
        <v>#REF!</v>
      </c>
      <c r="M39" t="e">
        <f>lc_detailed!#REF!</f>
        <v>#REF!</v>
      </c>
      <c r="O39" t="str">
        <v>CA_Gasoline_Gasification_Non_CCS_Herb</v>
      </c>
      <c r="P39">
        <v>0</v>
      </c>
      <c r="Q39">
        <v>5.0052727595303663</v>
      </c>
      <c r="R39">
        <v>52.50426245349567</v>
      </c>
      <c r="S39" t="e">
        <v>#REF!</v>
      </c>
      <c r="T39">
        <v>31.877136094278278</v>
      </c>
      <c r="U39">
        <v>17.114470152035651</v>
      </c>
      <c r="V39">
        <v>0.80688022418708016</v>
      </c>
      <c r="W39" t="e">
        <v>#REF!</v>
      </c>
      <c r="X39" t="e">
        <v>#REF!</v>
      </c>
      <c r="Y39" t="e">
        <v>#REF!</v>
      </c>
      <c r="Z39" t="e">
        <v>#REF!</v>
      </c>
    </row>
    <row r="40" spans="2:26" x14ac:dyDescent="0.2">
      <c r="B40" t="str">
        <f>lc_detailed!B41</f>
        <v>CA_Gasoline_Gasification_Non_CCS_Herb</v>
      </c>
      <c r="C40">
        <f>lc_detailed!AC41</f>
        <v>0</v>
      </c>
      <c r="D40">
        <f>lc_detailed!AD41</f>
        <v>3.8949405491783522</v>
      </c>
      <c r="E40">
        <f>lc_detailed!AE41</f>
        <v>55.672685171798946</v>
      </c>
      <c r="F40" t="e">
        <f>lc_detailed!AF41</f>
        <v>#REF!</v>
      </c>
      <c r="G40">
        <f>lc_detailed!AG41</f>
        <v>31.794182725809723</v>
      </c>
      <c r="H40">
        <f>lc_detailed!AH41</f>
        <v>17.069933436300992</v>
      </c>
      <c r="I40">
        <f>lc_detailed!AI41</f>
        <v>0.80478049250638517</v>
      </c>
      <c r="J40" t="e">
        <f>lc_detailed!AK41</f>
        <v>#REF!</v>
      </c>
      <c r="K40" t="e">
        <f>lc_detailed!AL41</f>
        <v>#REF!</v>
      </c>
      <c r="L40" t="e">
        <f>lc_detailed!AA41</f>
        <v>#REF!</v>
      </c>
      <c r="M40" t="e">
        <f>lc_detailed!#REF!</f>
        <v>#REF!</v>
      </c>
      <c r="O40" t="str">
        <v>CA_Gasoline_Gasification_Non_CCS_Herb</v>
      </c>
      <c r="P40">
        <v>0</v>
      </c>
      <c r="Q40">
        <v>3.8949405491783522</v>
      </c>
      <c r="R40">
        <v>55.672685171798946</v>
      </c>
      <c r="S40" t="e">
        <v>#REF!</v>
      </c>
      <c r="T40">
        <v>31.794182725809723</v>
      </c>
      <c r="U40">
        <v>17.069933436300992</v>
      </c>
      <c r="V40">
        <v>0.80478049250638517</v>
      </c>
      <c r="W40" t="e">
        <v>#REF!</v>
      </c>
      <c r="X40" t="e">
        <v>#REF!</v>
      </c>
      <c r="Y40" t="e">
        <v>#REF!</v>
      </c>
      <c r="Z40" t="e">
        <v>#REF!</v>
      </c>
    </row>
    <row r="41" spans="2:26" x14ac:dyDescent="0.2">
      <c r="B41" t="str">
        <f>lc_detailed!B42</f>
        <v>CA_Gasoline_Gasification_Non_CCS_Herb</v>
      </c>
      <c r="C41">
        <f>lc_detailed!AC42</f>
        <v>0</v>
      </c>
      <c r="D41">
        <f>lc_detailed!AD42</f>
        <v>4.8272842821767918</v>
      </c>
      <c r="E41">
        <f>lc_detailed!AE42</f>
        <v>54.336796717535272</v>
      </c>
      <c r="F41" t="e">
        <f>lc_detailed!AF42</f>
        <v>#REF!</v>
      </c>
      <c r="G41">
        <f>lc_detailed!AG42</f>
        <v>31.661439953127818</v>
      </c>
      <c r="H41">
        <f>lc_detailed!AH42</f>
        <v>16.998665358320466</v>
      </c>
      <c r="I41">
        <f>lc_detailed!AI42</f>
        <v>0.80142048181207404</v>
      </c>
      <c r="J41" t="e">
        <f>lc_detailed!AK42</f>
        <v>#REF!</v>
      </c>
      <c r="K41" t="e">
        <f>lc_detailed!AL42</f>
        <v>#REF!</v>
      </c>
      <c r="L41" t="e">
        <f>lc_detailed!AA42</f>
        <v>#REF!</v>
      </c>
      <c r="M41" t="e">
        <f>lc_detailed!#REF!</f>
        <v>#REF!</v>
      </c>
      <c r="O41" t="str">
        <v>CA_Gasoline_Gasification_Non_CCS_Herb</v>
      </c>
      <c r="P41">
        <v>0</v>
      </c>
      <c r="Q41">
        <v>4.8272842821767918</v>
      </c>
      <c r="R41">
        <v>54.336796717535272</v>
      </c>
      <c r="S41" t="e">
        <v>#REF!</v>
      </c>
      <c r="T41">
        <v>31.661439953127818</v>
      </c>
      <c r="U41">
        <v>16.998665358320466</v>
      </c>
      <c r="V41">
        <v>0.80142048181207404</v>
      </c>
      <c r="W41" t="e">
        <v>#REF!</v>
      </c>
      <c r="X41" t="e">
        <v>#REF!</v>
      </c>
      <c r="Y41" t="e">
        <v>#REF!</v>
      </c>
      <c r="Z41" t="e">
        <v>#REF!</v>
      </c>
    </row>
    <row r="42" spans="2:26" x14ac:dyDescent="0.2">
      <c r="B42" t="str">
        <f>lc_detailed!B43</f>
        <v>CA_Gasoline_Gasification_Non_CCS_Herb</v>
      </c>
      <c r="C42">
        <f>lc_detailed!AC43</f>
        <v>0</v>
      </c>
      <c r="D42">
        <f>lc_detailed!AD43</f>
        <v>2.5876475319045533</v>
      </c>
      <c r="E42">
        <f>lc_detailed!AE43</f>
        <v>76.727098702434745</v>
      </c>
      <c r="F42" t="e">
        <f>lc_detailed!AF43</f>
        <v>#REF!</v>
      </c>
      <c r="G42">
        <f>lc_detailed!AG43</f>
        <v>32.063035707016454</v>
      </c>
      <c r="H42">
        <f>lc_detailed!AH43</f>
        <v>17.214277530090971</v>
      </c>
      <c r="I42">
        <f>lc_detailed!AI43</f>
        <v>0.81158575108130426</v>
      </c>
      <c r="J42" t="e">
        <f>lc_detailed!AK43</f>
        <v>#REF!</v>
      </c>
      <c r="K42" t="e">
        <f>lc_detailed!AL43</f>
        <v>#REF!</v>
      </c>
      <c r="L42" t="e">
        <f>lc_detailed!AA43</f>
        <v>#REF!</v>
      </c>
      <c r="M42" t="e">
        <f>lc_detailed!#REF!</f>
        <v>#REF!</v>
      </c>
      <c r="O42" t="str">
        <v>CA_Gasoline_Gasification_Non_CCS_Herb</v>
      </c>
      <c r="P42">
        <v>0</v>
      </c>
      <c r="Q42">
        <v>2.5876475319045533</v>
      </c>
      <c r="R42">
        <v>76.727098702434745</v>
      </c>
      <c r="S42" t="e">
        <v>#REF!</v>
      </c>
      <c r="T42">
        <v>32.063035707016454</v>
      </c>
      <c r="U42">
        <v>17.214277530090971</v>
      </c>
      <c r="V42">
        <v>0.81158575108130426</v>
      </c>
      <c r="W42" t="e">
        <v>#REF!</v>
      </c>
      <c r="X42" t="e">
        <v>#REF!</v>
      </c>
      <c r="Y42" t="e">
        <v>#REF!</v>
      </c>
      <c r="Z42" t="e">
        <v>#REF!</v>
      </c>
    </row>
    <row r="43" spans="2:26" x14ac:dyDescent="0.2">
      <c r="B43" t="str">
        <f>lc_detailed!B44</f>
        <v>CA_Gasoline_Gasification_Non_CCS_Herb</v>
      </c>
      <c r="C43">
        <f>lc_detailed!AC44</f>
        <v>0</v>
      </c>
      <c r="D43">
        <f>lc_detailed!AD44</f>
        <v>3.5655528289290683</v>
      </c>
      <c r="E43">
        <f>lc_detailed!AE44</f>
        <v>52.868555686316462</v>
      </c>
      <c r="F43" t="e">
        <f>lc_detailed!AF44</f>
        <v>#REF!</v>
      </c>
      <c r="G43">
        <f>lc_detailed!AG44</f>
        <v>35.292665333437341</v>
      </c>
      <c r="H43">
        <f>lc_detailed!AH44</f>
        <v>18.94822877590039</v>
      </c>
      <c r="I43">
        <f>lc_detailed!AI44</f>
        <v>0.89333475981598376</v>
      </c>
      <c r="J43" t="e">
        <f>lc_detailed!AK44</f>
        <v>#REF!</v>
      </c>
      <c r="K43" t="e">
        <f>lc_detailed!AL44</f>
        <v>#REF!</v>
      </c>
      <c r="L43" t="e">
        <f>lc_detailed!AA44</f>
        <v>#REF!</v>
      </c>
      <c r="M43" t="e">
        <f>lc_detailed!#REF!</f>
        <v>#REF!</v>
      </c>
      <c r="O43" t="str">
        <v>CA_Gasoline_Gasification_Non_CCS_Herb</v>
      </c>
      <c r="P43">
        <v>0</v>
      </c>
      <c r="Q43">
        <v>3.5655528289290683</v>
      </c>
      <c r="R43">
        <v>52.868555686316462</v>
      </c>
      <c r="S43" t="e">
        <v>#REF!</v>
      </c>
      <c r="T43">
        <v>35.292665333437341</v>
      </c>
      <c r="U43">
        <v>18.94822877590039</v>
      </c>
      <c r="V43">
        <v>0.89333475981598376</v>
      </c>
      <c r="W43" t="e">
        <v>#REF!</v>
      </c>
      <c r="X43" t="e">
        <v>#REF!</v>
      </c>
      <c r="Y43" t="e">
        <v>#REF!</v>
      </c>
      <c r="Z43" t="e">
        <v>#REF!</v>
      </c>
    </row>
    <row r="44" spans="2:26" x14ac:dyDescent="0.2">
      <c r="B44" t="str">
        <f>lc_detailed!B45</f>
        <v>CA_Gasoline_Gasification_Non_CCS_Herb</v>
      </c>
      <c r="C44">
        <f>lc_detailed!AC45</f>
        <v>0</v>
      </c>
      <c r="D44">
        <f>lc_detailed!AD45</f>
        <v>5.506518381119438</v>
      </c>
      <c r="E44">
        <f>lc_detailed!AE45</f>
        <v>47.53338914580344</v>
      </c>
      <c r="F44" t="e">
        <f>lc_detailed!AF45</f>
        <v>#REF!</v>
      </c>
      <c r="G44">
        <f>lc_detailed!AG45</f>
        <v>35.069424639519347</v>
      </c>
      <c r="H44">
        <f>lc_detailed!AH45</f>
        <v>18.828373398005734</v>
      </c>
      <c r="I44">
        <f>lc_detailed!AI45</f>
        <v>0.88768404826449798</v>
      </c>
      <c r="J44" t="e">
        <f>lc_detailed!AK45</f>
        <v>#REF!</v>
      </c>
      <c r="K44" t="e">
        <f>lc_detailed!AL45</f>
        <v>#REF!</v>
      </c>
      <c r="L44" t="e">
        <f>lc_detailed!AA45</f>
        <v>#REF!</v>
      </c>
      <c r="M44" t="e">
        <f>lc_detailed!#REF!</f>
        <v>#REF!</v>
      </c>
      <c r="O44" t="str">
        <v>CA_Gasoline_Gasification_Non_CCS_Herb</v>
      </c>
      <c r="P44">
        <v>0</v>
      </c>
      <c r="Q44">
        <v>5.506518381119438</v>
      </c>
      <c r="R44">
        <v>47.53338914580344</v>
      </c>
      <c r="S44" t="e">
        <v>#REF!</v>
      </c>
      <c r="T44">
        <v>35.069424639519347</v>
      </c>
      <c r="U44">
        <v>18.828373398005734</v>
      </c>
      <c r="V44">
        <v>0.88768404826449798</v>
      </c>
      <c r="W44" t="e">
        <v>#REF!</v>
      </c>
      <c r="X44" t="e">
        <v>#REF!</v>
      </c>
      <c r="Y44" t="e">
        <v>#REF!</v>
      </c>
      <c r="Z44" t="e">
        <v>#REF!</v>
      </c>
    </row>
    <row r="45" spans="2:26" x14ac:dyDescent="0.2">
      <c r="B45" t="str">
        <f>lc_detailed!B46</f>
        <v>CA_Gasoline_Gasification_Non_CCS_Herb</v>
      </c>
      <c r="C45">
        <f>lc_detailed!AC46</f>
        <v>0</v>
      </c>
      <c r="D45">
        <f>lc_detailed!AD46</f>
        <v>4.2911553669232809</v>
      </c>
      <c r="E45">
        <f>lc_detailed!AE46</f>
        <v>48.869114945580044</v>
      </c>
      <c r="F45" t="e">
        <f>lc_detailed!AF46</f>
        <v>#REF!</v>
      </c>
      <c r="G45">
        <f>lc_detailed!AG46</f>
        <v>35.028462210951822</v>
      </c>
      <c r="H45">
        <f>lc_detailed!AH46</f>
        <v>18.806381138130178</v>
      </c>
      <c r="I45">
        <f>lc_detailed!AI46</f>
        <v>0.88664719936288827</v>
      </c>
      <c r="J45" t="e">
        <f>lc_detailed!AK46</f>
        <v>#REF!</v>
      </c>
      <c r="K45" t="e">
        <f>lc_detailed!AL46</f>
        <v>#REF!</v>
      </c>
      <c r="L45" t="e">
        <f>lc_detailed!AA46</f>
        <v>#REF!</v>
      </c>
      <c r="M45" t="e">
        <f>lc_detailed!#REF!</f>
        <v>#REF!</v>
      </c>
      <c r="O45" t="str">
        <v>CA_Gasoline_Gasification_Non_CCS_Herb</v>
      </c>
      <c r="P45">
        <v>0</v>
      </c>
      <c r="Q45">
        <v>4.2911553669232809</v>
      </c>
      <c r="R45">
        <v>48.869114945580044</v>
      </c>
      <c r="S45" t="e">
        <v>#REF!</v>
      </c>
      <c r="T45">
        <v>35.028462210951822</v>
      </c>
      <c r="U45">
        <v>18.806381138130178</v>
      </c>
      <c r="V45">
        <v>0.88664719936288827</v>
      </c>
      <c r="W45" t="e">
        <v>#REF!</v>
      </c>
      <c r="X45" t="e">
        <v>#REF!</v>
      </c>
      <c r="Y45" t="e">
        <v>#REF!</v>
      </c>
      <c r="Z45" t="e">
        <v>#REF!</v>
      </c>
    </row>
    <row r="46" spans="2:26" x14ac:dyDescent="0.2">
      <c r="B46" t="str">
        <f>lc_detailed!B47</f>
        <v>CA_Gasoline_Gasification_Non_CCS_Herb</v>
      </c>
      <c r="C46">
        <f>lc_detailed!AC47</f>
        <v>0</v>
      </c>
      <c r="D46">
        <f>lc_detailed!AD47</f>
        <v>5.3622767669918439</v>
      </c>
      <c r="E46">
        <f>lc_detailed!AE47</f>
        <v>47.36676528599606</v>
      </c>
      <c r="F46" t="e">
        <f>lc_detailed!AF47</f>
        <v>#REF!</v>
      </c>
      <c r="G46">
        <f>lc_detailed!AG47</f>
        <v>35.170376125767767</v>
      </c>
      <c r="H46">
        <f>lc_detailed!AH47</f>
        <v>18.88257309753622</v>
      </c>
      <c r="I46">
        <f>lc_detailed!AI47</f>
        <v>0.89023935177781333</v>
      </c>
      <c r="J46" t="e">
        <f>lc_detailed!AK47</f>
        <v>#REF!</v>
      </c>
      <c r="K46" t="e">
        <f>lc_detailed!AL47</f>
        <v>#REF!</v>
      </c>
      <c r="L46" t="e">
        <f>lc_detailed!AA47</f>
        <v>#REF!</v>
      </c>
      <c r="M46" t="e">
        <f>lc_detailed!#REF!</f>
        <v>#REF!</v>
      </c>
      <c r="O46" t="str">
        <v>CA_Gasoline_Gasification_Non_CCS_Herb</v>
      </c>
      <c r="P46">
        <v>0</v>
      </c>
      <c r="Q46">
        <v>5.3622767669918439</v>
      </c>
      <c r="R46">
        <v>47.36676528599606</v>
      </c>
      <c r="S46" t="e">
        <v>#REF!</v>
      </c>
      <c r="T46">
        <v>35.170376125767767</v>
      </c>
      <c r="U46">
        <v>18.88257309753622</v>
      </c>
      <c r="V46">
        <v>0.89023935177781333</v>
      </c>
      <c r="W46" t="e">
        <v>#REF!</v>
      </c>
      <c r="X46" t="e">
        <v>#REF!</v>
      </c>
      <c r="Y46" t="e">
        <v>#REF!</v>
      </c>
      <c r="Z46" t="e">
        <v>#REF!</v>
      </c>
    </row>
    <row r="47" spans="2:26" x14ac:dyDescent="0.2">
      <c r="B47" t="str">
        <f>lc_detailed!B48</f>
        <v>CA_Gasoline_Gasification_Non_CCS_Herb</v>
      </c>
      <c r="C47">
        <f>lc_detailed!AC48</f>
        <v>0</v>
      </c>
      <c r="D47">
        <f>lc_detailed!AD48</f>
        <v>2.9479583248809655</v>
      </c>
      <c r="E47">
        <f>lc_detailed!AE48</f>
        <v>61.656984276381351</v>
      </c>
      <c r="F47" t="e">
        <f>lc_detailed!AF48</f>
        <v>#REF!</v>
      </c>
      <c r="G47">
        <f>lc_detailed!AG48</f>
        <v>36.527576444650514</v>
      </c>
      <c r="H47">
        <f>lc_detailed!AH48</f>
        <v>19.611238441849292</v>
      </c>
      <c r="I47">
        <f>lc_detailed!AI48</f>
        <v>0.92459306832023025</v>
      </c>
      <c r="J47" t="e">
        <f>lc_detailed!AK48</f>
        <v>#REF!</v>
      </c>
      <c r="K47" t="e">
        <f>lc_detailed!AL48</f>
        <v>#REF!</v>
      </c>
      <c r="L47" t="e">
        <f>lc_detailed!AA48</f>
        <v>#REF!</v>
      </c>
      <c r="M47" t="e">
        <f>lc_detailed!#REF!</f>
        <v>#REF!</v>
      </c>
      <c r="O47" t="str">
        <v>CA_Gasoline_Gasification_Non_CCS_Herb</v>
      </c>
      <c r="P47">
        <v>0</v>
      </c>
      <c r="Q47">
        <v>2.9479583248809655</v>
      </c>
      <c r="R47">
        <v>61.656984276381351</v>
      </c>
      <c r="S47" t="e">
        <v>#REF!</v>
      </c>
      <c r="T47">
        <v>36.527576444650514</v>
      </c>
      <c r="U47">
        <v>19.611238441849292</v>
      </c>
      <c r="V47">
        <v>0.92459306832023025</v>
      </c>
      <c r="W47" t="e">
        <v>#REF!</v>
      </c>
      <c r="X47" t="e">
        <v>#REF!</v>
      </c>
      <c r="Y47" t="e">
        <v>#REF!</v>
      </c>
      <c r="Z47" t="e">
        <v>#REF!</v>
      </c>
    </row>
    <row r="48" spans="2:26" x14ac:dyDescent="0.2">
      <c r="B48" t="str">
        <f>lc_detailed!B49</f>
        <v>CA_Gasoline_Gasification_Non_CCS_Herb</v>
      </c>
      <c r="C48">
        <f>lc_detailed!AC49</f>
        <v>0</v>
      </c>
      <c r="D48">
        <f>lc_detailed!AD49</f>
        <v>1.0048323719933401</v>
      </c>
      <c r="E48">
        <f>lc_detailed!AE49</f>
        <v>54.762078186656993</v>
      </c>
      <c r="F48" t="e">
        <f>lc_detailed!AF49</f>
        <v>#REF!</v>
      </c>
      <c r="G48">
        <f>lc_detailed!AG49</f>
        <v>0</v>
      </c>
      <c r="H48">
        <f>lc_detailed!AH49</f>
        <v>7.2208724377810398</v>
      </c>
      <c r="I48">
        <f>lc_detailed!AI49</f>
        <v>-8.1853200395467898</v>
      </c>
      <c r="J48" t="e">
        <f>lc_detailed!AK49</f>
        <v>#REF!</v>
      </c>
      <c r="K48" t="e">
        <f>lc_detailed!AL49</f>
        <v>#REF!</v>
      </c>
      <c r="L48" t="e">
        <f>lc_detailed!AA49</f>
        <v>#REF!</v>
      </c>
      <c r="M48" t="e">
        <f>lc_detailed!#REF!</f>
        <v>#REF!</v>
      </c>
      <c r="O48" t="str">
        <v>CA_Gasoline_Gasification_Non_CCS_Herb</v>
      </c>
      <c r="P48">
        <v>0</v>
      </c>
      <c r="Q48">
        <v>1.0048323719933401</v>
      </c>
      <c r="R48">
        <v>54.762078186656993</v>
      </c>
      <c r="S48" t="e">
        <v>#REF!</v>
      </c>
      <c r="T48">
        <v>0</v>
      </c>
      <c r="U48">
        <v>7.2208724377810398</v>
      </c>
      <c r="V48">
        <v>-8.1853200395467898</v>
      </c>
      <c r="W48" t="e">
        <v>#REF!</v>
      </c>
      <c r="X48" t="e">
        <v>#REF!</v>
      </c>
      <c r="Y48" t="e">
        <v>#REF!</v>
      </c>
      <c r="Z48" t="e">
        <v>#REF!</v>
      </c>
    </row>
    <row r="49" spans="2:26" x14ac:dyDescent="0.2">
      <c r="B49" t="str">
        <f>lc_detailed!B50</f>
        <v>CA_Gasoline_Gasification_Non_CCS_Herb</v>
      </c>
      <c r="C49">
        <f>lc_detailed!AC50</f>
        <v>0</v>
      </c>
      <c r="D49">
        <f>lc_detailed!AD50</f>
        <v>0.73605181175742107</v>
      </c>
      <c r="E49">
        <f>lc_detailed!AE50</f>
        <v>54.762078186656993</v>
      </c>
      <c r="F49" t="e">
        <f>lc_detailed!AF50</f>
        <v>#REF!</v>
      </c>
      <c r="G49">
        <f>lc_detailed!AG50</f>
        <v>0</v>
      </c>
      <c r="H49">
        <f>lc_detailed!AH50</f>
        <v>7.2208724377810398</v>
      </c>
      <c r="I49">
        <f>lc_detailed!AI50</f>
        <v>-8.1853200395467898</v>
      </c>
      <c r="J49" t="e">
        <f>lc_detailed!AK50</f>
        <v>#REF!</v>
      </c>
      <c r="K49" t="e">
        <f>lc_detailed!AL50</f>
        <v>#REF!</v>
      </c>
      <c r="L49" t="e">
        <f>lc_detailed!AA50</f>
        <v>#REF!</v>
      </c>
      <c r="M49" t="e">
        <f>lc_detailed!#REF!</f>
        <v>#REF!</v>
      </c>
      <c r="O49" t="str">
        <v>CA_Gasoline_Gasification_Non_CCS_Herb</v>
      </c>
      <c r="P49">
        <v>0</v>
      </c>
      <c r="Q49">
        <v>0.73605181175742107</v>
      </c>
      <c r="R49">
        <v>54.762078186656993</v>
      </c>
      <c r="S49" t="e">
        <v>#REF!</v>
      </c>
      <c r="T49">
        <v>0</v>
      </c>
      <c r="U49">
        <v>7.2208724377810398</v>
      </c>
      <c r="V49">
        <v>-8.1853200395467898</v>
      </c>
      <c r="W49" t="e">
        <v>#REF!</v>
      </c>
      <c r="X49" t="e">
        <v>#REF!</v>
      </c>
      <c r="Y49" t="e">
        <v>#REF!</v>
      </c>
      <c r="Z49" t="e">
        <v>#REF!</v>
      </c>
    </row>
    <row r="50" spans="2:26" x14ac:dyDescent="0.2">
      <c r="B50" t="str">
        <f>lc_detailed!B51</f>
        <v>CA_Gasoline_Gasification_Non_CCS_Herb</v>
      </c>
      <c r="C50">
        <f>lc_detailed!AC51</f>
        <v>0</v>
      </c>
      <c r="D50">
        <f>lc_detailed!AD51</f>
        <v>0.76970088018920757</v>
      </c>
      <c r="E50">
        <f>lc_detailed!AE51</f>
        <v>54.762078186656993</v>
      </c>
      <c r="F50" t="e">
        <f>lc_detailed!AF51</f>
        <v>#REF!</v>
      </c>
      <c r="G50">
        <f>lc_detailed!AG51</f>
        <v>0</v>
      </c>
      <c r="H50">
        <f>lc_detailed!AH51</f>
        <v>7.2208724377810398</v>
      </c>
      <c r="I50">
        <f>lc_detailed!AI51</f>
        <v>-8.1853200395467898</v>
      </c>
      <c r="J50" t="e">
        <f>lc_detailed!AK51</f>
        <v>#REF!</v>
      </c>
      <c r="K50" t="e">
        <f>lc_detailed!AL51</f>
        <v>#REF!</v>
      </c>
      <c r="L50" t="e">
        <f>lc_detailed!AA51</f>
        <v>#REF!</v>
      </c>
      <c r="M50" t="e">
        <f>lc_detailed!#REF!</f>
        <v>#REF!</v>
      </c>
      <c r="O50" t="str">
        <v>CA_Gasoline_Gasification_Non_CCS_Herb</v>
      </c>
      <c r="P50">
        <v>0</v>
      </c>
      <c r="Q50">
        <v>0.76970088018920757</v>
      </c>
      <c r="R50">
        <v>54.762078186656993</v>
      </c>
      <c r="S50" t="e">
        <v>#REF!</v>
      </c>
      <c r="T50">
        <v>0</v>
      </c>
      <c r="U50">
        <v>7.2208724377810398</v>
      </c>
      <c r="V50">
        <v>-8.1853200395467898</v>
      </c>
      <c r="W50" t="e">
        <v>#REF!</v>
      </c>
      <c r="X50" t="e">
        <v>#REF!</v>
      </c>
      <c r="Y50" t="e">
        <v>#REF!</v>
      </c>
      <c r="Z50" t="e">
        <v>#REF!</v>
      </c>
    </row>
    <row r="51" spans="2:26" x14ac:dyDescent="0.2">
      <c r="B51" t="str">
        <f>lc_detailed!B52</f>
        <v>CA_Gasoline_Gasification_Non_CCS_Herb</v>
      </c>
      <c r="C51">
        <f>lc_detailed!AC52</f>
        <v>0</v>
      </c>
      <c r="D51">
        <f>lc_detailed!AD52</f>
        <v>0.55615943203436513</v>
      </c>
      <c r="E51">
        <f>lc_detailed!AE52</f>
        <v>54.762078186656993</v>
      </c>
      <c r="F51" t="e">
        <f>lc_detailed!AF52</f>
        <v>#REF!</v>
      </c>
      <c r="G51">
        <f>lc_detailed!AG52</f>
        <v>0</v>
      </c>
      <c r="H51">
        <f>lc_detailed!AH52</f>
        <v>7.2208724377810398</v>
      </c>
      <c r="I51">
        <f>lc_detailed!AI52</f>
        <v>-8.1853200395467898</v>
      </c>
      <c r="J51" t="e">
        <f>lc_detailed!AK52</f>
        <v>#REF!</v>
      </c>
      <c r="K51" t="e">
        <f>lc_detailed!AL52</f>
        <v>#REF!</v>
      </c>
      <c r="L51" t="e">
        <f>lc_detailed!AA52</f>
        <v>#REF!</v>
      </c>
      <c r="M51" t="e">
        <f>lc_detailed!#REF!</f>
        <v>#REF!</v>
      </c>
      <c r="O51" t="str">
        <v>CA_Gasoline_Gasification_Non_CCS_Herb</v>
      </c>
      <c r="P51">
        <v>0</v>
      </c>
      <c r="Q51">
        <v>0.55615943203436513</v>
      </c>
      <c r="R51">
        <v>54.762078186656993</v>
      </c>
      <c r="S51" t="e">
        <v>#REF!</v>
      </c>
      <c r="T51">
        <v>0</v>
      </c>
      <c r="U51">
        <v>7.2208724377810398</v>
      </c>
      <c r="V51">
        <v>-8.1853200395467898</v>
      </c>
      <c r="W51" t="e">
        <v>#REF!</v>
      </c>
      <c r="X51" t="e">
        <v>#REF!</v>
      </c>
      <c r="Y51" t="e">
        <v>#REF!</v>
      </c>
      <c r="Z51" t="e">
        <v>#REF!</v>
      </c>
    </row>
    <row r="52" spans="2:26" x14ac:dyDescent="0.2">
      <c r="B52" t="str">
        <f>lc_detailed!B53</f>
        <v>CA_Gasoline_Gasification_Non_CCS_Herb</v>
      </c>
      <c r="C52">
        <f>lc_detailed!AC53</f>
        <v>0</v>
      </c>
      <c r="D52">
        <f>lc_detailed!AD53</f>
        <v>0.8442129170953</v>
      </c>
      <c r="E52">
        <f>lc_detailed!AE53</f>
        <v>54.762078186656993</v>
      </c>
      <c r="F52" t="e">
        <f>lc_detailed!AF53</f>
        <v>#REF!</v>
      </c>
      <c r="G52">
        <f>lc_detailed!AG53</f>
        <v>0</v>
      </c>
      <c r="H52">
        <f>lc_detailed!AH53</f>
        <v>7.2208724377810398</v>
      </c>
      <c r="I52">
        <f>lc_detailed!AI53</f>
        <v>-8.1853200395467898</v>
      </c>
      <c r="J52" t="e">
        <f>lc_detailed!AK53</f>
        <v>#REF!</v>
      </c>
      <c r="K52" t="e">
        <f>lc_detailed!AL53</f>
        <v>#REF!</v>
      </c>
      <c r="L52" t="e">
        <f>lc_detailed!AA53</f>
        <v>#REF!</v>
      </c>
      <c r="M52" t="e">
        <f>lc_detailed!#REF!</f>
        <v>#REF!</v>
      </c>
      <c r="O52" t="str">
        <v>CA_Gasoline_Gasification_Non_CCS_Herb</v>
      </c>
      <c r="P52">
        <v>0</v>
      </c>
      <c r="Q52">
        <v>0.8442129170953</v>
      </c>
      <c r="R52">
        <v>54.762078186656993</v>
      </c>
      <c r="S52" t="e">
        <v>#REF!</v>
      </c>
      <c r="T52">
        <v>0</v>
      </c>
      <c r="U52">
        <v>7.2208724377810398</v>
      </c>
      <c r="V52">
        <v>-8.1853200395467898</v>
      </c>
      <c r="W52" t="e">
        <v>#REF!</v>
      </c>
      <c r="X52" t="e">
        <v>#REF!</v>
      </c>
      <c r="Y52" t="e">
        <v>#REF!</v>
      </c>
      <c r="Z52" t="e">
        <v>#REF!</v>
      </c>
    </row>
    <row r="53" spans="2:26" x14ac:dyDescent="0.2">
      <c r="B53" t="str">
        <f>lc_detailed!B54</f>
        <v>CA_Gasoline_Gasification_Non_CCS_Herb</v>
      </c>
      <c r="C53">
        <f>lc_detailed!AC54</f>
        <v>0</v>
      </c>
      <c r="D53">
        <f>lc_detailed!AD54</f>
        <v>0.69621158107157877</v>
      </c>
      <c r="E53">
        <f>lc_detailed!AE54</f>
        <v>54.762078186656993</v>
      </c>
      <c r="F53" t="e">
        <f>lc_detailed!AF54</f>
        <v>#REF!</v>
      </c>
      <c r="G53">
        <f>lc_detailed!AG54</f>
        <v>0</v>
      </c>
      <c r="H53">
        <f>lc_detailed!AH54</f>
        <v>7.2208724377810398</v>
      </c>
      <c r="I53">
        <f>lc_detailed!AI54</f>
        <v>-8.1853200395467898</v>
      </c>
      <c r="J53" t="e">
        <f>lc_detailed!AK54</f>
        <v>#REF!</v>
      </c>
      <c r="K53" t="e">
        <f>lc_detailed!AL54</f>
        <v>#REF!</v>
      </c>
      <c r="L53" t="e">
        <f>lc_detailed!AA54</f>
        <v>#REF!</v>
      </c>
      <c r="M53" t="e">
        <f>lc_detailed!#REF!</f>
        <v>#REF!</v>
      </c>
      <c r="O53" t="str">
        <v>CA_Gasoline_Gasification_Non_CCS_Herb</v>
      </c>
      <c r="P53">
        <v>0</v>
      </c>
      <c r="Q53">
        <v>0.69621158107157877</v>
      </c>
      <c r="R53">
        <v>54.762078186656993</v>
      </c>
      <c r="S53" t="e">
        <v>#REF!</v>
      </c>
      <c r="T53">
        <v>0</v>
      </c>
      <c r="U53">
        <v>7.2208724377810398</v>
      </c>
      <c r="V53">
        <v>-8.1853200395467898</v>
      </c>
      <c r="W53" t="e">
        <v>#REF!</v>
      </c>
      <c r="X53" t="e">
        <v>#REF!</v>
      </c>
      <c r="Y53" t="e">
        <v>#REF!</v>
      </c>
      <c r="Z53" t="e">
        <v>#REF!</v>
      </c>
    </row>
    <row r="54" spans="2:26" x14ac:dyDescent="0.2">
      <c r="B54" t="str">
        <f>lc_detailed!B55</f>
        <v>CA_Gasoline_Gasification_Non_CCS_Herb</v>
      </c>
      <c r="C54">
        <f>lc_detailed!AC55</f>
        <v>0</v>
      </c>
      <c r="D54">
        <f>lc_detailed!AD55</f>
        <v>1.0506813864995876</v>
      </c>
      <c r="E54">
        <f>lc_detailed!AE55</f>
        <v>54.762078186656993</v>
      </c>
      <c r="F54" t="e">
        <f>lc_detailed!AF55</f>
        <v>#REF!</v>
      </c>
      <c r="G54">
        <f>lc_detailed!AG55</f>
        <v>0</v>
      </c>
      <c r="H54">
        <f>lc_detailed!AH55</f>
        <v>7.2208724377810398</v>
      </c>
      <c r="I54">
        <f>lc_detailed!AI55</f>
        <v>-8.1853200395467898</v>
      </c>
      <c r="J54" t="e">
        <f>lc_detailed!AK55</f>
        <v>#REF!</v>
      </c>
      <c r="K54" t="e">
        <f>lc_detailed!AL55</f>
        <v>#REF!</v>
      </c>
      <c r="L54" t="e">
        <f>lc_detailed!AA55</f>
        <v>#REF!</v>
      </c>
      <c r="M54" t="e">
        <f>lc_detailed!#REF!</f>
        <v>#REF!</v>
      </c>
      <c r="O54" t="str">
        <v>CA_Gasoline_Gasification_Non_CCS_Herb</v>
      </c>
      <c r="P54">
        <v>0</v>
      </c>
      <c r="Q54">
        <v>1.0506813864995876</v>
      </c>
      <c r="R54">
        <v>54.762078186656993</v>
      </c>
      <c r="S54" t="e">
        <v>#REF!</v>
      </c>
      <c r="T54">
        <v>0</v>
      </c>
      <c r="U54">
        <v>7.2208724377810398</v>
      </c>
      <c r="V54">
        <v>-8.1853200395467898</v>
      </c>
      <c r="W54" t="e">
        <v>#REF!</v>
      </c>
      <c r="X54" t="e">
        <v>#REF!</v>
      </c>
      <c r="Y54" t="e">
        <v>#REF!</v>
      </c>
      <c r="Z54" t="e">
        <v>#REF!</v>
      </c>
    </row>
    <row r="55" spans="2:26" x14ac:dyDescent="0.2">
      <c r="B55" t="str">
        <f>lc_detailed!B56</f>
        <v>CA_Gasoline_Gasification_Non_CCS_Herb</v>
      </c>
      <c r="C55">
        <f>lc_detailed!AC56</f>
        <v>0</v>
      </c>
      <c r="D55">
        <f>lc_detailed!AD56</f>
        <v>1.0820498722750709</v>
      </c>
      <c r="E55">
        <f>lc_detailed!AE56</f>
        <v>54.762078186656993</v>
      </c>
      <c r="F55" t="e">
        <f>lc_detailed!AF56</f>
        <v>#REF!</v>
      </c>
      <c r="G55">
        <f>lc_detailed!AG56</f>
        <v>0</v>
      </c>
      <c r="H55">
        <f>lc_detailed!AH56</f>
        <v>7.2208724377810398</v>
      </c>
      <c r="I55">
        <f>lc_detailed!AI56</f>
        <v>-8.1853200395467898</v>
      </c>
      <c r="J55" t="e">
        <f>lc_detailed!AK56</f>
        <v>#REF!</v>
      </c>
      <c r="K55" t="e">
        <f>lc_detailed!AL56</f>
        <v>#REF!</v>
      </c>
      <c r="L55" t="e">
        <f>lc_detailed!AA56</f>
        <v>#REF!</v>
      </c>
      <c r="M55" t="e">
        <f>lc_detailed!#REF!</f>
        <v>#REF!</v>
      </c>
      <c r="O55" t="str">
        <v>CA_Gasoline_Gasification_Non_CCS_Herb</v>
      </c>
      <c r="P55">
        <v>0</v>
      </c>
      <c r="Q55">
        <v>1.0820498722750709</v>
      </c>
      <c r="R55">
        <v>54.762078186656993</v>
      </c>
      <c r="S55" t="e">
        <v>#REF!</v>
      </c>
      <c r="T55">
        <v>0</v>
      </c>
      <c r="U55">
        <v>7.2208724377810398</v>
      </c>
      <c r="V55">
        <v>-8.1853200395467898</v>
      </c>
      <c r="W55" t="e">
        <v>#REF!</v>
      </c>
      <c r="X55" t="e">
        <v>#REF!</v>
      </c>
      <c r="Y55" t="e">
        <v>#REF!</v>
      </c>
      <c r="Z55" t="e">
        <v>#REF!</v>
      </c>
    </row>
    <row r="56" spans="2:26" x14ac:dyDescent="0.2">
      <c r="B56" t="str">
        <f>lc_detailed!B57</f>
        <v>CA_Gasoline_Gasification_Non_CCS_Herb</v>
      </c>
      <c r="C56">
        <f>lc_detailed!AC57</f>
        <v>0</v>
      </c>
      <c r="D56">
        <f>lc_detailed!AD57</f>
        <v>1.3043611278934286</v>
      </c>
      <c r="E56">
        <f>lc_detailed!AE57</f>
        <v>54.762078186656993</v>
      </c>
      <c r="F56" t="e">
        <f>lc_detailed!AF57</f>
        <v>#REF!</v>
      </c>
      <c r="G56">
        <f>lc_detailed!AG57</f>
        <v>0</v>
      </c>
      <c r="H56">
        <f>lc_detailed!AH57</f>
        <v>7.2208724377810398</v>
      </c>
      <c r="I56">
        <f>lc_detailed!AI57</f>
        <v>-8.1853200395467898</v>
      </c>
      <c r="J56" t="e">
        <f>lc_detailed!AK57</f>
        <v>#REF!</v>
      </c>
      <c r="K56" t="e">
        <f>lc_detailed!AL57</f>
        <v>#REF!</v>
      </c>
      <c r="L56" t="e">
        <f>lc_detailed!AA57</f>
        <v>#REF!</v>
      </c>
      <c r="M56" t="e">
        <f>lc_detailed!#REF!</f>
        <v>#REF!</v>
      </c>
      <c r="O56" t="str">
        <v>CA_Gasoline_Gasification_Non_CCS_Herb</v>
      </c>
      <c r="P56">
        <v>0</v>
      </c>
      <c r="Q56">
        <v>1.3043611278934286</v>
      </c>
      <c r="R56">
        <v>54.762078186656993</v>
      </c>
      <c r="S56" t="e">
        <v>#REF!</v>
      </c>
      <c r="T56">
        <v>0</v>
      </c>
      <c r="U56">
        <v>7.2208724377810398</v>
      </c>
      <c r="V56">
        <v>-8.1853200395467898</v>
      </c>
      <c r="W56" t="e">
        <v>#REF!</v>
      </c>
      <c r="X56" t="e">
        <v>#REF!</v>
      </c>
      <c r="Y56" t="e">
        <v>#REF!</v>
      </c>
      <c r="Z56" t="e">
        <v>#REF!</v>
      </c>
    </row>
    <row r="57" spans="2:26" x14ac:dyDescent="0.2">
      <c r="B57" t="str">
        <f>lc_detailed!B58</f>
        <v>CA_Gasoline_Gasification_Non_CCS_Herb</v>
      </c>
      <c r="C57">
        <f>lc_detailed!AC58</f>
        <v>0</v>
      </c>
      <c r="D57">
        <f>lc_detailed!AD58</f>
        <v>1.0048323719933401</v>
      </c>
      <c r="E57">
        <f>lc_detailed!AE58</f>
        <v>54.762078186656993</v>
      </c>
      <c r="F57" t="e">
        <f>lc_detailed!AF58</f>
        <v>#REF!</v>
      </c>
      <c r="G57">
        <f>lc_detailed!AG58</f>
        <v>1.1219173819252375</v>
      </c>
      <c r="H57">
        <f>lc_detailed!AH58</f>
        <v>7.8355578478551591</v>
      </c>
      <c r="I57">
        <f>lc_detailed!AI58</f>
        <v>-8.1724348446793407</v>
      </c>
      <c r="J57" t="e">
        <f>lc_detailed!AK58</f>
        <v>#REF!</v>
      </c>
      <c r="K57" t="e">
        <f>lc_detailed!AL58</f>
        <v>#REF!</v>
      </c>
      <c r="L57" t="e">
        <f>lc_detailed!AA58</f>
        <v>#REF!</v>
      </c>
      <c r="M57" t="e">
        <f>lc_detailed!#REF!</f>
        <v>#REF!</v>
      </c>
      <c r="O57" t="str">
        <v>CA_Gasoline_Gasification_Non_CCS_Herb</v>
      </c>
      <c r="P57">
        <v>0</v>
      </c>
      <c r="Q57">
        <v>1.0048323719933401</v>
      </c>
      <c r="R57">
        <v>54.762078186656993</v>
      </c>
      <c r="S57" t="e">
        <v>#REF!</v>
      </c>
      <c r="T57">
        <v>1.1219173819252375</v>
      </c>
      <c r="U57">
        <v>7.8355578478551591</v>
      </c>
      <c r="V57">
        <v>-8.1724348446793407</v>
      </c>
      <c r="W57" t="e">
        <v>#REF!</v>
      </c>
      <c r="X57" t="e">
        <v>#REF!</v>
      </c>
      <c r="Y57" t="e">
        <v>#REF!</v>
      </c>
      <c r="Z57" t="e">
        <v>#REF!</v>
      </c>
    </row>
    <row r="58" spans="2:26" x14ac:dyDescent="0.2">
      <c r="B58" t="str">
        <f>lc_detailed!B59</f>
        <v>CA_Gasoline_Gasification_Non_CCS_Herb</v>
      </c>
      <c r="C58">
        <f>lc_detailed!AC59</f>
        <v>0</v>
      </c>
      <c r="D58">
        <f>lc_detailed!AD59</f>
        <v>0.73605181175742107</v>
      </c>
      <c r="E58">
        <f>lc_detailed!AE59</f>
        <v>54.762078186656993</v>
      </c>
      <c r="F58" t="e">
        <f>lc_detailed!AF59</f>
        <v>#REF!</v>
      </c>
      <c r="G58">
        <f>lc_detailed!AG59</f>
        <v>1.1219173819252375</v>
      </c>
      <c r="H58">
        <f>lc_detailed!AH59</f>
        <v>7.8355578478551591</v>
      </c>
      <c r="I58">
        <f>lc_detailed!AI59</f>
        <v>-8.1724348446793407</v>
      </c>
      <c r="J58" t="e">
        <f>lc_detailed!AK59</f>
        <v>#REF!</v>
      </c>
      <c r="K58" t="e">
        <f>lc_detailed!AL59</f>
        <v>#REF!</v>
      </c>
      <c r="L58" t="e">
        <f>lc_detailed!AA59</f>
        <v>#REF!</v>
      </c>
      <c r="M58" t="e">
        <f>lc_detailed!#REF!</f>
        <v>#REF!</v>
      </c>
      <c r="O58" t="str">
        <v>CA_Gasoline_Gasification_Non_CCS_Herb</v>
      </c>
      <c r="P58">
        <v>0</v>
      </c>
      <c r="Q58">
        <v>0.73605181175742107</v>
      </c>
      <c r="R58">
        <v>54.762078186656993</v>
      </c>
      <c r="S58" t="e">
        <v>#REF!</v>
      </c>
      <c r="T58">
        <v>1.1219173819252375</v>
      </c>
      <c r="U58">
        <v>7.8355578478551591</v>
      </c>
      <c r="V58">
        <v>-8.1724348446793407</v>
      </c>
      <c r="W58" t="e">
        <v>#REF!</v>
      </c>
      <c r="X58" t="e">
        <v>#REF!</v>
      </c>
      <c r="Y58" t="e">
        <v>#REF!</v>
      </c>
      <c r="Z58" t="e">
        <v>#REF!</v>
      </c>
    </row>
    <row r="59" spans="2:26" x14ac:dyDescent="0.2">
      <c r="B59" t="str">
        <f>lc_detailed!B60</f>
        <v>CA_Gasoline_Gasification_Non_CCS_Herb</v>
      </c>
      <c r="C59">
        <f>lc_detailed!AC60</f>
        <v>0</v>
      </c>
      <c r="D59">
        <f>lc_detailed!AD60</f>
        <v>0.76970088018920757</v>
      </c>
      <c r="E59">
        <f>lc_detailed!AE60</f>
        <v>54.762078186656993</v>
      </c>
      <c r="F59" t="e">
        <f>lc_detailed!AF60</f>
        <v>#REF!</v>
      </c>
      <c r="G59">
        <f>lc_detailed!AG60</f>
        <v>1.1219173819252375</v>
      </c>
      <c r="H59">
        <f>lc_detailed!AH60</f>
        <v>7.8355578478551591</v>
      </c>
      <c r="I59">
        <f>lc_detailed!AI60</f>
        <v>-8.1724348446793407</v>
      </c>
      <c r="J59" t="e">
        <f>lc_detailed!AK60</f>
        <v>#REF!</v>
      </c>
      <c r="K59" t="e">
        <f>lc_detailed!AL60</f>
        <v>#REF!</v>
      </c>
      <c r="L59" t="e">
        <f>lc_detailed!AA60</f>
        <v>#REF!</v>
      </c>
      <c r="M59" t="e">
        <f>lc_detailed!#REF!</f>
        <v>#REF!</v>
      </c>
      <c r="O59" t="str">
        <v>CA_Gasoline_Gasification_Non_CCS_Herb</v>
      </c>
      <c r="P59">
        <v>0</v>
      </c>
      <c r="Q59">
        <v>0.76970088018920757</v>
      </c>
      <c r="R59">
        <v>54.762078186656993</v>
      </c>
      <c r="S59" t="e">
        <v>#REF!</v>
      </c>
      <c r="T59">
        <v>1.1219173819252375</v>
      </c>
      <c r="U59">
        <v>7.8355578478551591</v>
      </c>
      <c r="V59">
        <v>-8.1724348446793407</v>
      </c>
      <c r="W59" t="e">
        <v>#REF!</v>
      </c>
      <c r="X59" t="e">
        <v>#REF!</v>
      </c>
      <c r="Y59" t="e">
        <v>#REF!</v>
      </c>
      <c r="Z59" t="e">
        <v>#REF!</v>
      </c>
    </row>
    <row r="60" spans="2:26" x14ac:dyDescent="0.2">
      <c r="B60" t="str">
        <f>lc_detailed!B61</f>
        <v>CA_Gasoline_Gasification_Non_CCS_Herb</v>
      </c>
      <c r="C60">
        <f>lc_detailed!AC61</f>
        <v>0</v>
      </c>
      <c r="D60">
        <f>lc_detailed!AD61</f>
        <v>0.55615943203436513</v>
      </c>
      <c r="E60">
        <f>lc_detailed!AE61</f>
        <v>54.762078186656993</v>
      </c>
      <c r="F60" t="e">
        <f>lc_detailed!AF61</f>
        <v>#REF!</v>
      </c>
      <c r="G60">
        <f>lc_detailed!AG61</f>
        <v>1.1219173819252375</v>
      </c>
      <c r="H60">
        <f>lc_detailed!AH61</f>
        <v>7.8355578478551591</v>
      </c>
      <c r="I60">
        <f>lc_detailed!AI61</f>
        <v>-8.1724348446793407</v>
      </c>
      <c r="J60" t="e">
        <f>lc_detailed!AK61</f>
        <v>#REF!</v>
      </c>
      <c r="K60" t="e">
        <f>lc_detailed!AL61</f>
        <v>#REF!</v>
      </c>
      <c r="L60" t="e">
        <f>lc_detailed!AA61</f>
        <v>#REF!</v>
      </c>
      <c r="M60" t="e">
        <f>lc_detailed!#REF!</f>
        <v>#REF!</v>
      </c>
      <c r="O60" t="str">
        <v>CA_Gasoline_Gasification_Non_CCS_Herb</v>
      </c>
      <c r="P60">
        <v>0</v>
      </c>
      <c r="Q60">
        <v>0.55615943203436513</v>
      </c>
      <c r="R60">
        <v>54.762078186656993</v>
      </c>
      <c r="S60" t="e">
        <v>#REF!</v>
      </c>
      <c r="T60">
        <v>1.1219173819252375</v>
      </c>
      <c r="U60">
        <v>7.8355578478551591</v>
      </c>
      <c r="V60">
        <v>-8.1724348446793407</v>
      </c>
      <c r="W60" t="e">
        <v>#REF!</v>
      </c>
      <c r="X60" t="e">
        <v>#REF!</v>
      </c>
      <c r="Y60" t="e">
        <v>#REF!</v>
      </c>
      <c r="Z60" t="e">
        <v>#REF!</v>
      </c>
    </row>
    <row r="61" spans="2:26" x14ac:dyDescent="0.2">
      <c r="B61" t="str">
        <f>lc_detailed!B62</f>
        <v>CA_Gasoline_Gasification_Non_CCS_Herb</v>
      </c>
      <c r="C61">
        <f>lc_detailed!AC62</f>
        <v>0</v>
      </c>
      <c r="D61">
        <f>lc_detailed!AD62</f>
        <v>0.8442129170953</v>
      </c>
      <c r="E61">
        <f>lc_detailed!AE62</f>
        <v>54.762078186656993</v>
      </c>
      <c r="F61" t="e">
        <f>lc_detailed!AF62</f>
        <v>#REF!</v>
      </c>
      <c r="G61">
        <f>lc_detailed!AG62</f>
        <v>1.1219173819252375</v>
      </c>
      <c r="H61">
        <f>lc_detailed!AH62</f>
        <v>7.8355578478551591</v>
      </c>
      <c r="I61">
        <f>lc_detailed!AI62</f>
        <v>-8.1724348446793407</v>
      </c>
      <c r="J61" t="e">
        <f>lc_detailed!AK62</f>
        <v>#REF!</v>
      </c>
      <c r="K61" t="e">
        <f>lc_detailed!AL62</f>
        <v>#REF!</v>
      </c>
      <c r="L61" t="e">
        <f>lc_detailed!AA62</f>
        <v>#REF!</v>
      </c>
      <c r="M61" t="e">
        <f>lc_detailed!#REF!</f>
        <v>#REF!</v>
      </c>
      <c r="O61" t="str">
        <v>CA_Gasoline_Gasification_Non_CCS_Herb</v>
      </c>
      <c r="P61">
        <v>0</v>
      </c>
      <c r="Q61">
        <v>0.8442129170953</v>
      </c>
      <c r="R61">
        <v>54.762078186656993</v>
      </c>
      <c r="S61" t="e">
        <v>#REF!</v>
      </c>
      <c r="T61">
        <v>1.1219173819252375</v>
      </c>
      <c r="U61">
        <v>7.8355578478551591</v>
      </c>
      <c r="V61">
        <v>-8.1724348446793407</v>
      </c>
      <c r="W61" t="e">
        <v>#REF!</v>
      </c>
      <c r="X61" t="e">
        <v>#REF!</v>
      </c>
      <c r="Y61" t="e">
        <v>#REF!</v>
      </c>
      <c r="Z61" t="e">
        <v>#REF!</v>
      </c>
    </row>
    <row r="62" spans="2:26" x14ac:dyDescent="0.2">
      <c r="B62" t="str">
        <f>lc_detailed!B63</f>
        <v>CA_Gasoline_Gasification_Non_CCS_Herb</v>
      </c>
      <c r="C62">
        <f>lc_detailed!AC63</f>
        <v>0</v>
      </c>
      <c r="D62">
        <f>lc_detailed!AD63</f>
        <v>0.69621158107157877</v>
      </c>
      <c r="E62">
        <f>lc_detailed!AE63</f>
        <v>54.762078186656993</v>
      </c>
      <c r="F62" t="e">
        <f>lc_detailed!AF63</f>
        <v>#REF!</v>
      </c>
      <c r="G62">
        <f>lc_detailed!AG63</f>
        <v>1.1219173819252375</v>
      </c>
      <c r="H62">
        <f>lc_detailed!AH63</f>
        <v>7.8355578478551591</v>
      </c>
      <c r="I62">
        <f>lc_detailed!AI63</f>
        <v>-8.1724348446793407</v>
      </c>
      <c r="J62" t="e">
        <f>lc_detailed!AK63</f>
        <v>#REF!</v>
      </c>
      <c r="K62" t="e">
        <f>lc_detailed!AL63</f>
        <v>#REF!</v>
      </c>
      <c r="L62" t="e">
        <f>lc_detailed!AA63</f>
        <v>#REF!</v>
      </c>
      <c r="M62" t="e">
        <f>lc_detailed!#REF!</f>
        <v>#REF!</v>
      </c>
      <c r="O62" t="str">
        <v>CA_Gasoline_Gasification_Non_CCS_Herb</v>
      </c>
      <c r="P62">
        <v>0</v>
      </c>
      <c r="Q62">
        <v>0.69621158107157877</v>
      </c>
      <c r="R62">
        <v>54.762078186656993</v>
      </c>
      <c r="S62" t="e">
        <v>#REF!</v>
      </c>
      <c r="T62">
        <v>1.1219173819252375</v>
      </c>
      <c r="U62">
        <v>7.8355578478551591</v>
      </c>
      <c r="V62">
        <v>-8.1724348446793407</v>
      </c>
      <c r="W62" t="e">
        <v>#REF!</v>
      </c>
      <c r="X62" t="e">
        <v>#REF!</v>
      </c>
      <c r="Y62" t="e">
        <v>#REF!</v>
      </c>
      <c r="Z62" t="e">
        <v>#REF!</v>
      </c>
    </row>
    <row r="63" spans="2:26" x14ac:dyDescent="0.2">
      <c r="B63" t="str">
        <f>lc_detailed!B64</f>
        <v>CA_Gasoline_Gasification_Non_CCS_Herb</v>
      </c>
      <c r="C63">
        <f>lc_detailed!AC64</f>
        <v>0</v>
      </c>
      <c r="D63">
        <f>lc_detailed!AD64</f>
        <v>1.0506813864995876</v>
      </c>
      <c r="E63">
        <f>lc_detailed!AE64</f>
        <v>54.762078186656993</v>
      </c>
      <c r="F63" t="e">
        <f>lc_detailed!AF64</f>
        <v>#REF!</v>
      </c>
      <c r="G63">
        <f>lc_detailed!AG64</f>
        <v>1.1219173819252375</v>
      </c>
      <c r="H63">
        <f>lc_detailed!AH64</f>
        <v>7.8355578478551591</v>
      </c>
      <c r="I63">
        <f>lc_detailed!AI64</f>
        <v>-8.1724348446793407</v>
      </c>
      <c r="J63" t="e">
        <f>lc_detailed!AK64</f>
        <v>#REF!</v>
      </c>
      <c r="K63" t="e">
        <f>lc_detailed!AL64</f>
        <v>#REF!</v>
      </c>
      <c r="L63" t="e">
        <f>lc_detailed!AA64</f>
        <v>#REF!</v>
      </c>
      <c r="M63" t="e">
        <f>lc_detailed!#REF!</f>
        <v>#REF!</v>
      </c>
      <c r="O63" t="str">
        <v>CA_Gasoline_Gasification_Non_CCS_Herb</v>
      </c>
      <c r="P63">
        <v>0</v>
      </c>
      <c r="Q63">
        <v>1.0506813864995876</v>
      </c>
      <c r="R63">
        <v>54.762078186656993</v>
      </c>
      <c r="S63" t="e">
        <v>#REF!</v>
      </c>
      <c r="T63">
        <v>1.1219173819252375</v>
      </c>
      <c r="U63">
        <v>7.8355578478551591</v>
      </c>
      <c r="V63">
        <v>-8.1724348446793407</v>
      </c>
      <c r="W63" t="e">
        <v>#REF!</v>
      </c>
      <c r="X63" t="e">
        <v>#REF!</v>
      </c>
      <c r="Y63" t="e">
        <v>#REF!</v>
      </c>
      <c r="Z63" t="e">
        <v>#REF!</v>
      </c>
    </row>
    <row r="64" spans="2:26" x14ac:dyDescent="0.2">
      <c r="B64" t="str">
        <f>lc_detailed!B65</f>
        <v>CA_Gasoline_Gasification_Non_CCS_Herb</v>
      </c>
      <c r="C64">
        <f>lc_detailed!AC65</f>
        <v>0</v>
      </c>
      <c r="D64">
        <f>lc_detailed!AD65</f>
        <v>1.0820498722750709</v>
      </c>
      <c r="E64">
        <f>lc_detailed!AE65</f>
        <v>54.762078186656993</v>
      </c>
      <c r="F64" t="e">
        <f>lc_detailed!AF65</f>
        <v>#REF!</v>
      </c>
      <c r="G64">
        <f>lc_detailed!AG65</f>
        <v>1.1219173819252375</v>
      </c>
      <c r="H64">
        <f>lc_detailed!AH65</f>
        <v>7.8355578478551591</v>
      </c>
      <c r="I64">
        <f>lc_detailed!AI65</f>
        <v>-8.1724348446793407</v>
      </c>
      <c r="J64" t="e">
        <f>lc_detailed!AK65</f>
        <v>#REF!</v>
      </c>
      <c r="K64" t="e">
        <f>lc_detailed!AL65</f>
        <v>#REF!</v>
      </c>
      <c r="L64" t="e">
        <f>lc_detailed!AA65</f>
        <v>#REF!</v>
      </c>
      <c r="M64" t="e">
        <f>lc_detailed!#REF!</f>
        <v>#REF!</v>
      </c>
      <c r="O64" t="str">
        <v>CA_Gasoline_Gasification_Non_CCS_Herb</v>
      </c>
      <c r="P64">
        <v>0</v>
      </c>
      <c r="Q64">
        <v>1.0820498722750709</v>
      </c>
      <c r="R64">
        <v>54.762078186656993</v>
      </c>
      <c r="S64" t="e">
        <v>#REF!</v>
      </c>
      <c r="T64">
        <v>1.1219173819252375</v>
      </c>
      <c r="U64">
        <v>7.8355578478551591</v>
      </c>
      <c r="V64">
        <v>-8.1724348446793407</v>
      </c>
      <c r="W64" t="e">
        <v>#REF!</v>
      </c>
      <c r="X64" t="e">
        <v>#REF!</v>
      </c>
      <c r="Y64" t="e">
        <v>#REF!</v>
      </c>
      <c r="Z64" t="e">
        <v>#REF!</v>
      </c>
    </row>
    <row r="65" spans="2:26" x14ac:dyDescent="0.2">
      <c r="B65" t="str">
        <f>lc_detailed!B66</f>
        <v>CA_Gasoline_Gasification_Non_CCS_Herb</v>
      </c>
      <c r="C65">
        <f>lc_detailed!AC66</f>
        <v>0</v>
      </c>
      <c r="D65">
        <f>lc_detailed!AD66</f>
        <v>1.3043611278934286</v>
      </c>
      <c r="E65">
        <f>lc_detailed!AE66</f>
        <v>54.762078186656993</v>
      </c>
      <c r="F65" t="e">
        <f>lc_detailed!AF66</f>
        <v>#REF!</v>
      </c>
      <c r="G65">
        <f>lc_detailed!AG66</f>
        <v>1.1219173819252375</v>
      </c>
      <c r="H65">
        <f>lc_detailed!AH66</f>
        <v>7.8355578478551591</v>
      </c>
      <c r="I65">
        <f>lc_detailed!AI66</f>
        <v>-8.1724348446793407</v>
      </c>
      <c r="J65" t="e">
        <f>lc_detailed!AK66</f>
        <v>#REF!</v>
      </c>
      <c r="K65" t="e">
        <f>lc_detailed!AL66</f>
        <v>#REF!</v>
      </c>
      <c r="L65" t="e">
        <f>lc_detailed!AA66</f>
        <v>#REF!</v>
      </c>
      <c r="M65" t="e">
        <f>lc_detailed!#REF!</f>
        <v>#REF!</v>
      </c>
      <c r="O65" t="str">
        <v>CA_Gasoline_Gasification_Non_CCS_Herb</v>
      </c>
      <c r="P65">
        <v>0</v>
      </c>
      <c r="Q65">
        <v>1.3043611278934286</v>
      </c>
      <c r="R65">
        <v>54.762078186656993</v>
      </c>
      <c r="S65" t="e">
        <v>#REF!</v>
      </c>
      <c r="T65">
        <v>1.1219173819252375</v>
      </c>
      <c r="U65">
        <v>7.8355578478551591</v>
      </c>
      <c r="V65">
        <v>-8.1724348446793407</v>
      </c>
      <c r="W65" t="e">
        <v>#REF!</v>
      </c>
      <c r="X65" t="e">
        <v>#REF!</v>
      </c>
      <c r="Y65" t="e">
        <v>#REF!</v>
      </c>
      <c r="Z65" t="e">
        <v>#REF!</v>
      </c>
    </row>
    <row r="66" spans="2:26" x14ac:dyDescent="0.2">
      <c r="B66" t="str">
        <f>lc_detailed!B67</f>
        <v>CA_Gasoline_Gasification_Non_CCS_Herb</v>
      </c>
      <c r="C66">
        <f>lc_detailed!AC67</f>
        <v>0</v>
      </c>
      <c r="D66">
        <f>lc_detailed!AD67</f>
        <v>1.0048323719933401</v>
      </c>
      <c r="E66">
        <f>lc_detailed!AE67</f>
        <v>54.762078186656993</v>
      </c>
      <c r="F66" t="e">
        <f>lc_detailed!AF67</f>
        <v>#REF!</v>
      </c>
      <c r="G66">
        <f>lc_detailed!AG67</f>
        <v>1.8459716853700829</v>
      </c>
      <c r="H66">
        <f>lc_detailed!AH67</f>
        <v>8.2322589053372308</v>
      </c>
      <c r="I66">
        <f>lc_detailed!AI67</f>
        <v>-8.1434431562275815</v>
      </c>
      <c r="J66" t="e">
        <f>lc_detailed!AK67</f>
        <v>#REF!</v>
      </c>
      <c r="K66" t="e">
        <f>lc_detailed!AL67</f>
        <v>#REF!</v>
      </c>
      <c r="L66" t="e">
        <f>lc_detailed!AA67</f>
        <v>#REF!</v>
      </c>
      <c r="M66" t="e">
        <f>lc_detailed!#REF!</f>
        <v>#REF!</v>
      </c>
      <c r="O66" t="str">
        <v>CA_Gasoline_Gasification_Non_CCS_Herb</v>
      </c>
      <c r="P66">
        <v>0</v>
      </c>
      <c r="Q66">
        <v>1.0048323719933401</v>
      </c>
      <c r="R66">
        <v>54.762078186656993</v>
      </c>
      <c r="S66" t="e">
        <v>#REF!</v>
      </c>
      <c r="T66">
        <v>1.8459716853700829</v>
      </c>
      <c r="U66">
        <v>8.2322589053372308</v>
      </c>
      <c r="V66">
        <v>-8.1434431562275815</v>
      </c>
      <c r="W66" t="e">
        <v>#REF!</v>
      </c>
      <c r="X66" t="e">
        <v>#REF!</v>
      </c>
      <c r="Y66" t="e">
        <v>#REF!</v>
      </c>
      <c r="Z66" t="e">
        <v>#REF!</v>
      </c>
    </row>
    <row r="67" spans="2:26" x14ac:dyDescent="0.2">
      <c r="B67" t="str">
        <f>lc_detailed!B68</f>
        <v>CA_Gasoline_Gasification_Non_CCS_Herb</v>
      </c>
      <c r="C67">
        <f>lc_detailed!AC68</f>
        <v>0</v>
      </c>
      <c r="D67">
        <f>lc_detailed!AD68</f>
        <v>0.73605181175742107</v>
      </c>
      <c r="E67">
        <f>lc_detailed!AE68</f>
        <v>54.762078186656993</v>
      </c>
      <c r="F67" t="e">
        <f>lc_detailed!AF68</f>
        <v>#REF!</v>
      </c>
      <c r="G67">
        <f>lc_detailed!AG68</f>
        <v>1.8459716853700829</v>
      </c>
      <c r="H67">
        <f>lc_detailed!AH68</f>
        <v>8.2322589053372308</v>
      </c>
      <c r="I67">
        <f>lc_detailed!AI68</f>
        <v>-8.1434431562275815</v>
      </c>
      <c r="J67" t="e">
        <f>lc_detailed!AK68</f>
        <v>#REF!</v>
      </c>
      <c r="K67" t="e">
        <f>lc_detailed!AL68</f>
        <v>#REF!</v>
      </c>
      <c r="L67" t="e">
        <f>lc_detailed!AA68</f>
        <v>#REF!</v>
      </c>
      <c r="M67" t="e">
        <f>lc_detailed!#REF!</f>
        <v>#REF!</v>
      </c>
      <c r="O67" t="str">
        <v>CA_Gasoline_Gasification_Non_CCS_Herb</v>
      </c>
      <c r="P67">
        <v>0</v>
      </c>
      <c r="Q67">
        <v>0.73605181175742107</v>
      </c>
      <c r="R67">
        <v>54.762078186656993</v>
      </c>
      <c r="S67" t="e">
        <v>#REF!</v>
      </c>
      <c r="T67">
        <v>1.8459716853700829</v>
      </c>
      <c r="U67">
        <v>8.2322589053372308</v>
      </c>
      <c r="V67">
        <v>-8.1434431562275815</v>
      </c>
      <c r="W67" t="e">
        <v>#REF!</v>
      </c>
      <c r="X67" t="e">
        <v>#REF!</v>
      </c>
      <c r="Y67" t="e">
        <v>#REF!</v>
      </c>
      <c r="Z67" t="e">
        <v>#REF!</v>
      </c>
    </row>
    <row r="68" spans="2:26" x14ac:dyDescent="0.2">
      <c r="B68">
        <f>lc_detailed!B69</f>
        <v>0</v>
      </c>
      <c r="C68">
        <f>lc_detailed!AC69</f>
        <v>0</v>
      </c>
      <c r="D68">
        <f>lc_detailed!AD69</f>
        <v>0.76970088018920757</v>
      </c>
      <c r="E68">
        <f>lc_detailed!AE69</f>
        <v>54.762078186656993</v>
      </c>
      <c r="F68" t="e">
        <f>lc_detailed!AF69</f>
        <v>#REF!</v>
      </c>
      <c r="G68">
        <f>lc_detailed!AG69</f>
        <v>1.8459716853700829</v>
      </c>
      <c r="H68">
        <f>lc_detailed!AH69</f>
        <v>8.2322589053372308</v>
      </c>
      <c r="I68">
        <f>lc_detailed!AI69</f>
        <v>-8.1434431562275815</v>
      </c>
      <c r="J68" t="e">
        <f>lc_detailed!AK69</f>
        <v>#REF!</v>
      </c>
      <c r="K68" t="e">
        <f>lc_detailed!AL69</f>
        <v>#REF!</v>
      </c>
      <c r="L68" t="e">
        <f>lc_detailed!AA69</f>
        <v>#REF!</v>
      </c>
      <c r="M68" t="e">
        <f>lc_detailed!#REF!</f>
        <v>#REF!</v>
      </c>
      <c r="O68">
        <v>0</v>
      </c>
      <c r="P68">
        <v>0</v>
      </c>
      <c r="Q68">
        <v>0.76970088018920757</v>
      </c>
      <c r="R68">
        <v>54.762078186656993</v>
      </c>
      <c r="S68" t="e">
        <v>#REF!</v>
      </c>
      <c r="T68">
        <v>1.8459716853700829</v>
      </c>
      <c r="U68">
        <v>8.2322589053372308</v>
      </c>
      <c r="V68">
        <v>-8.1434431562275815</v>
      </c>
      <c r="W68" t="e">
        <v>#REF!</v>
      </c>
      <c r="X68" t="e">
        <v>#REF!</v>
      </c>
      <c r="Y68" t="e">
        <v>#REF!</v>
      </c>
      <c r="Z68" t="e">
        <v>#REF!</v>
      </c>
    </row>
    <row r="69" spans="2:26" x14ac:dyDescent="0.2">
      <c r="B69">
        <f>lc_detailed!B70</f>
        <v>0</v>
      </c>
      <c r="C69">
        <f>lc_detailed!AC70</f>
        <v>0</v>
      </c>
      <c r="D69">
        <f>lc_detailed!AD70</f>
        <v>0.55615943203436513</v>
      </c>
      <c r="E69">
        <f>lc_detailed!AE70</f>
        <v>54.762078186656993</v>
      </c>
      <c r="F69" t="e">
        <f>lc_detailed!AF70</f>
        <v>#REF!</v>
      </c>
      <c r="G69">
        <f>lc_detailed!AG70</f>
        <v>1.8459716853700829</v>
      </c>
      <c r="H69">
        <f>lc_detailed!AH70</f>
        <v>8.2322589053372308</v>
      </c>
      <c r="I69">
        <f>lc_detailed!AI70</f>
        <v>-8.1434431562275815</v>
      </c>
      <c r="J69" t="e">
        <f>lc_detailed!AK70</f>
        <v>#REF!</v>
      </c>
      <c r="K69" t="e">
        <f>lc_detailed!AL70</f>
        <v>#REF!</v>
      </c>
      <c r="L69" t="e">
        <f>lc_detailed!AA70</f>
        <v>#REF!</v>
      </c>
      <c r="M69" t="e">
        <f>lc_detailed!#REF!</f>
        <v>#REF!</v>
      </c>
      <c r="O69">
        <v>0</v>
      </c>
      <c r="P69">
        <v>0</v>
      </c>
      <c r="Q69">
        <v>0.55615943203436513</v>
      </c>
      <c r="R69">
        <v>54.762078186656993</v>
      </c>
      <c r="S69" t="e">
        <v>#REF!</v>
      </c>
      <c r="T69">
        <v>1.8459716853700829</v>
      </c>
      <c r="U69">
        <v>8.2322589053372308</v>
      </c>
      <c r="V69">
        <v>-8.1434431562275815</v>
      </c>
      <c r="W69" t="e">
        <v>#REF!</v>
      </c>
      <c r="X69" t="e">
        <v>#REF!</v>
      </c>
      <c r="Y69" t="e">
        <v>#REF!</v>
      </c>
      <c r="Z69" t="e">
        <v>#REF!</v>
      </c>
    </row>
    <row r="70" spans="2:26" x14ac:dyDescent="0.2">
      <c r="B70">
        <f>lc_detailed!B71</f>
        <v>0</v>
      </c>
      <c r="C70">
        <f>lc_detailed!AC71</f>
        <v>0</v>
      </c>
      <c r="D70">
        <f>lc_detailed!AD71</f>
        <v>0.8442129170953</v>
      </c>
      <c r="E70">
        <f>lc_detailed!AE71</f>
        <v>54.762078186656993</v>
      </c>
      <c r="F70" t="e">
        <f>lc_detailed!AF71</f>
        <v>#REF!</v>
      </c>
      <c r="G70">
        <f>lc_detailed!AG71</f>
        <v>1.8459716853700829</v>
      </c>
      <c r="H70">
        <f>lc_detailed!AH71</f>
        <v>8.2322589053372308</v>
      </c>
      <c r="I70">
        <f>lc_detailed!AI71</f>
        <v>-8.1434431562275815</v>
      </c>
      <c r="J70" t="e">
        <f>lc_detailed!AK71</f>
        <v>#REF!</v>
      </c>
      <c r="K70" t="e">
        <f>lc_detailed!AL71</f>
        <v>#REF!</v>
      </c>
      <c r="L70" t="e">
        <f>lc_detailed!AA71</f>
        <v>#REF!</v>
      </c>
      <c r="M70" t="e">
        <f>lc_detailed!#REF!</f>
        <v>#REF!</v>
      </c>
      <c r="O70">
        <v>0</v>
      </c>
      <c r="P70">
        <v>0</v>
      </c>
      <c r="Q70">
        <v>0.8442129170953</v>
      </c>
      <c r="R70">
        <v>54.762078186656993</v>
      </c>
      <c r="S70" t="e">
        <v>#REF!</v>
      </c>
      <c r="T70">
        <v>1.8459716853700829</v>
      </c>
      <c r="U70">
        <v>8.2322589053372308</v>
      </c>
      <c r="V70">
        <v>-8.1434431562275815</v>
      </c>
      <c r="W70" t="e">
        <v>#REF!</v>
      </c>
      <c r="X70" t="e">
        <v>#REF!</v>
      </c>
      <c r="Y70" t="e">
        <v>#REF!</v>
      </c>
      <c r="Z70" t="e">
        <v>#REF!</v>
      </c>
    </row>
    <row r="71" spans="2:26" x14ac:dyDescent="0.2">
      <c r="B71">
        <f>lc_detailed!B72</f>
        <v>0</v>
      </c>
      <c r="C71">
        <f>lc_detailed!AC72</f>
        <v>0</v>
      </c>
      <c r="D71">
        <f>lc_detailed!AD72</f>
        <v>0.69621158107157877</v>
      </c>
      <c r="E71">
        <f>lc_detailed!AE72</f>
        <v>54.762078186656993</v>
      </c>
      <c r="F71" t="e">
        <f>lc_detailed!AF72</f>
        <v>#REF!</v>
      </c>
      <c r="G71">
        <f>lc_detailed!AG72</f>
        <v>1.8459716853700829</v>
      </c>
      <c r="H71">
        <f>lc_detailed!AH72</f>
        <v>8.2322589053372308</v>
      </c>
      <c r="I71">
        <f>lc_detailed!AI72</f>
        <v>-8.1434431562275815</v>
      </c>
      <c r="J71" t="e">
        <f>lc_detailed!AK72</f>
        <v>#REF!</v>
      </c>
      <c r="K71" t="e">
        <f>lc_detailed!AL72</f>
        <v>#REF!</v>
      </c>
      <c r="L71" t="e">
        <f>lc_detailed!AA72</f>
        <v>#REF!</v>
      </c>
      <c r="M71" t="e">
        <f>lc_detailed!#REF!</f>
        <v>#REF!</v>
      </c>
      <c r="O71">
        <v>0</v>
      </c>
      <c r="P71">
        <v>0</v>
      </c>
      <c r="Q71">
        <v>0.69621158107157877</v>
      </c>
      <c r="R71">
        <v>54.762078186656993</v>
      </c>
      <c r="S71" t="e">
        <v>#REF!</v>
      </c>
      <c r="T71">
        <v>1.8459716853700829</v>
      </c>
      <c r="U71">
        <v>8.2322589053372308</v>
      </c>
      <c r="V71">
        <v>-8.1434431562275815</v>
      </c>
      <c r="W71" t="e">
        <v>#REF!</v>
      </c>
      <c r="X71" t="e">
        <v>#REF!</v>
      </c>
      <c r="Y71" t="e">
        <v>#REF!</v>
      </c>
      <c r="Z71" t="e">
        <v>#REF!</v>
      </c>
    </row>
    <row r="72" spans="2:26" x14ac:dyDescent="0.2">
      <c r="B72">
        <f>lc_detailed!B73</f>
        <v>0</v>
      </c>
      <c r="C72">
        <f>lc_detailed!AC73</f>
        <v>0</v>
      </c>
      <c r="D72">
        <f>lc_detailed!AD73</f>
        <v>1.0506813864995876</v>
      </c>
      <c r="E72">
        <f>lc_detailed!AE73</f>
        <v>54.762078186656993</v>
      </c>
      <c r="F72" t="e">
        <f>lc_detailed!AF73</f>
        <v>#REF!</v>
      </c>
      <c r="G72">
        <f>lc_detailed!AG73</f>
        <v>1.8459716853700829</v>
      </c>
      <c r="H72">
        <f>lc_detailed!AH73</f>
        <v>8.2322589053372308</v>
      </c>
      <c r="I72">
        <f>lc_detailed!AI73</f>
        <v>-8.1434431562275815</v>
      </c>
      <c r="J72" t="e">
        <f>lc_detailed!AK73</f>
        <v>#REF!</v>
      </c>
      <c r="K72" t="e">
        <f>lc_detailed!AL73</f>
        <v>#REF!</v>
      </c>
      <c r="L72" t="e">
        <f>lc_detailed!AA73</f>
        <v>#REF!</v>
      </c>
      <c r="M72" t="e">
        <f>lc_detailed!#REF!</f>
        <v>#REF!</v>
      </c>
      <c r="O72">
        <v>0</v>
      </c>
      <c r="P72">
        <v>0</v>
      </c>
      <c r="Q72">
        <v>1.0506813864995876</v>
      </c>
      <c r="R72">
        <v>54.762078186656993</v>
      </c>
      <c r="S72" t="e">
        <v>#REF!</v>
      </c>
      <c r="T72">
        <v>1.8459716853700829</v>
      </c>
      <c r="U72">
        <v>8.2322589053372308</v>
      </c>
      <c r="V72">
        <v>-8.1434431562275815</v>
      </c>
      <c r="W72" t="e">
        <v>#REF!</v>
      </c>
      <c r="X72" t="e">
        <v>#REF!</v>
      </c>
      <c r="Y72" t="e">
        <v>#REF!</v>
      </c>
      <c r="Z72" t="e">
        <v>#REF!</v>
      </c>
    </row>
    <row r="73" spans="2:26" x14ac:dyDescent="0.2">
      <c r="B73">
        <f>lc_detailed!B74</f>
        <v>0</v>
      </c>
      <c r="C73">
        <f>lc_detailed!AC74</f>
        <v>0</v>
      </c>
      <c r="D73">
        <f>lc_detailed!AD74</f>
        <v>1.0820498722750709</v>
      </c>
      <c r="E73">
        <f>lc_detailed!AE74</f>
        <v>54.762078186656993</v>
      </c>
      <c r="F73" t="e">
        <f>lc_detailed!AF74</f>
        <v>#REF!</v>
      </c>
      <c r="G73">
        <f>lc_detailed!AG74</f>
        <v>1.8459716853700829</v>
      </c>
      <c r="H73">
        <f>lc_detailed!AH74</f>
        <v>8.2322589053372308</v>
      </c>
      <c r="I73">
        <f>lc_detailed!AI74</f>
        <v>-8.1434431562275815</v>
      </c>
      <c r="J73" t="e">
        <f>lc_detailed!AK74</f>
        <v>#REF!</v>
      </c>
      <c r="K73" t="e">
        <f>lc_detailed!AL74</f>
        <v>#REF!</v>
      </c>
      <c r="L73" t="e">
        <f>lc_detailed!AA74</f>
        <v>#REF!</v>
      </c>
      <c r="M73" t="e">
        <f>lc_detailed!#REF!</f>
        <v>#REF!</v>
      </c>
      <c r="O73">
        <v>0</v>
      </c>
      <c r="P73">
        <v>0</v>
      </c>
      <c r="Q73">
        <v>1.0820498722750709</v>
      </c>
      <c r="R73">
        <v>54.762078186656993</v>
      </c>
      <c r="S73" t="e">
        <v>#REF!</v>
      </c>
      <c r="T73">
        <v>1.8459716853700829</v>
      </c>
      <c r="U73">
        <v>8.2322589053372308</v>
      </c>
      <c r="V73">
        <v>-8.1434431562275815</v>
      </c>
      <c r="W73" t="e">
        <v>#REF!</v>
      </c>
      <c r="X73" t="e">
        <v>#REF!</v>
      </c>
      <c r="Y73" t="e">
        <v>#REF!</v>
      </c>
      <c r="Z73" t="e">
        <v>#REF!</v>
      </c>
    </row>
    <row r="74" spans="2:26" x14ac:dyDescent="0.2">
      <c r="B74">
        <f>lc_detailed!B75</f>
        <v>0</v>
      </c>
      <c r="C74">
        <f>lc_detailed!AC75</f>
        <v>0</v>
      </c>
      <c r="D74">
        <f>lc_detailed!AD75</f>
        <v>1.3043611278934286</v>
      </c>
      <c r="E74">
        <f>lc_detailed!AE75</f>
        <v>54.762078186656993</v>
      </c>
      <c r="F74" t="e">
        <f>lc_detailed!AF75</f>
        <v>#REF!</v>
      </c>
      <c r="G74">
        <f>lc_detailed!AG75</f>
        <v>1.8459716853700829</v>
      </c>
      <c r="H74">
        <f>lc_detailed!AH75</f>
        <v>8.2322589053372308</v>
      </c>
      <c r="I74">
        <f>lc_detailed!AI75</f>
        <v>-8.1434431562275815</v>
      </c>
      <c r="J74" t="e">
        <f>lc_detailed!AK75</f>
        <v>#REF!</v>
      </c>
      <c r="K74" t="e">
        <f>lc_detailed!AL75</f>
        <v>#REF!</v>
      </c>
      <c r="L74" t="e">
        <f>lc_detailed!AA75</f>
        <v>#REF!</v>
      </c>
      <c r="M74" t="e">
        <f>lc_detailed!#REF!</f>
        <v>#REF!</v>
      </c>
      <c r="O74">
        <v>0</v>
      </c>
      <c r="P74">
        <v>0</v>
      </c>
      <c r="Q74">
        <v>1.3043611278934286</v>
      </c>
      <c r="R74">
        <v>54.762078186656993</v>
      </c>
      <c r="S74" t="e">
        <v>#REF!</v>
      </c>
      <c r="T74">
        <v>1.8459716853700829</v>
      </c>
      <c r="U74">
        <v>8.2322589053372308</v>
      </c>
      <c r="V74">
        <v>-8.1434431562275815</v>
      </c>
      <c r="W74" t="e">
        <v>#REF!</v>
      </c>
      <c r="X74" t="e">
        <v>#REF!</v>
      </c>
      <c r="Y74" t="e">
        <v>#REF!</v>
      </c>
      <c r="Z74" t="e">
        <v>#REF!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2026-06-24T03:51:59Z</dcterms:modified>
</cp:coreProperties>
</file>