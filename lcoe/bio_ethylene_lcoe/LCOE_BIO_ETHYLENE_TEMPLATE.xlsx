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ethylene_lcoe/"/>
    </mc:Choice>
  </mc:AlternateContent>
  <xr:revisionPtr revIDLastSave="0" documentId="13_ncr:1_{2574273A-AA7A-2241-A6BC-B65170D9B762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 a="1"/>
  <c r="S3" i="3" s="1"/>
  <c r="A4" i="3" l="1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BL4" i="1"/>
  <c r="BI4" i="1"/>
  <c r="BP8" i="1"/>
  <c r="BQ8" i="1"/>
  <c r="BR8" i="1"/>
  <c r="BS8" i="1" a="1"/>
  <c r="BS8" i="1" s="1"/>
  <c r="AZ8" i="1" s="1"/>
  <c r="BT8" i="1"/>
  <c r="BU8" i="1"/>
  <c r="BV8" i="1"/>
  <c r="BW8" i="1"/>
  <c r="BP9" i="1"/>
  <c r="BQ9" i="1"/>
  <c r="BR9" i="1"/>
  <c r="BS9" i="1" a="1"/>
  <c r="BS9" i="1" s="1"/>
  <c r="AZ9" i="1" s="1"/>
  <c r="BT9" i="1"/>
  <c r="BU9" i="1"/>
  <c r="BV9" i="1"/>
  <c r="BW9" i="1"/>
  <c r="BP10" i="1"/>
  <c r="BQ10" i="1"/>
  <c r="BR10" i="1"/>
  <c r="BS10" i="1" a="1"/>
  <c r="BS10" i="1" s="1"/>
  <c r="AZ10" i="1" s="1"/>
  <c r="BT10" i="1"/>
  <c r="BU10" i="1"/>
  <c r="BV10" i="1"/>
  <c r="BW10" i="1"/>
  <c r="BP11" i="1"/>
  <c r="BQ11" i="1"/>
  <c r="BR11" i="1"/>
  <c r="BS11" i="1" a="1"/>
  <c r="BS11" i="1" s="1"/>
  <c r="AZ11" i="1" s="1"/>
  <c r="BT11" i="1"/>
  <c r="BU11" i="1"/>
  <c r="BV11" i="1"/>
  <c r="BW11" i="1"/>
  <c r="BP12" i="1"/>
  <c r="BQ12" i="1"/>
  <c r="BR12" i="1"/>
  <c r="BS12" i="1" a="1"/>
  <c r="BS12" i="1" s="1"/>
  <c r="AZ12" i="1" s="1"/>
  <c r="BT12" i="1"/>
  <c r="BU12" i="1"/>
  <c r="BV12" i="1"/>
  <c r="BW12" i="1"/>
  <c r="BP13" i="1"/>
  <c r="BQ13" i="1"/>
  <c r="BR13" i="1"/>
  <c r="BS13" i="1" a="1"/>
  <c r="BS13" i="1" s="1"/>
  <c r="AZ13" i="1" s="1"/>
  <c r="BT13" i="1"/>
  <c r="BU13" i="1"/>
  <c r="BV13" i="1"/>
  <c r="BW13" i="1"/>
  <c r="BP14" i="1"/>
  <c r="BQ14" i="1"/>
  <c r="BR14" i="1"/>
  <c r="BS14" i="1" a="1"/>
  <c r="BS14" i="1" s="1"/>
  <c r="AZ14" i="1" s="1"/>
  <c r="BT14" i="1"/>
  <c r="BU14" i="1"/>
  <c r="BV14" i="1"/>
  <c r="BW14" i="1"/>
  <c r="BP15" i="1"/>
  <c r="BQ15" i="1"/>
  <c r="BR15" i="1"/>
  <c r="AX15" i="1" s="1"/>
  <c r="BS15" i="1" a="1"/>
  <c r="BS15" i="1"/>
  <c r="BT15" i="1"/>
  <c r="BU15" i="1"/>
  <c r="BV15" i="1"/>
  <c r="BW15" i="1"/>
  <c r="BP16" i="1"/>
  <c r="BQ16" i="1"/>
  <c r="AY16" i="1" s="1"/>
  <c r="BR16" i="1"/>
  <c r="BS16" i="1" a="1"/>
  <c r="BS16" i="1" s="1"/>
  <c r="AZ16" i="1" s="1"/>
  <c r="BT16" i="1"/>
  <c r="BU16" i="1"/>
  <c r="BV16" i="1"/>
  <c r="BW16" i="1"/>
  <c r="BP17" i="1"/>
  <c r="BQ17" i="1"/>
  <c r="BR17" i="1"/>
  <c r="BS17" i="1" a="1"/>
  <c r="BS17" i="1" s="1"/>
  <c r="AZ17" i="1" s="1"/>
  <c r="BT17" i="1"/>
  <c r="BU17" i="1"/>
  <c r="BV17" i="1"/>
  <c r="BW17" i="1"/>
  <c r="BH17" i="1" s="1"/>
  <c r="BP18" i="1"/>
  <c r="BQ18" i="1"/>
  <c r="BR18" i="1"/>
  <c r="BS18" i="1" a="1"/>
  <c r="BS18" i="1" s="1"/>
  <c r="AZ18" i="1" s="1"/>
  <c r="BT18" i="1"/>
  <c r="BU18" i="1"/>
  <c r="BV18" i="1"/>
  <c r="BF18" i="1" s="1"/>
  <c r="BW18" i="1"/>
  <c r="BP19" i="1"/>
  <c r="BQ19" i="1"/>
  <c r="BR19" i="1"/>
  <c r="BS19" i="1" a="1"/>
  <c r="BS19" i="1"/>
  <c r="BT19" i="1"/>
  <c r="BU19" i="1"/>
  <c r="BD19" i="1" s="1"/>
  <c r="BV19" i="1"/>
  <c r="BW19" i="1"/>
  <c r="BP20" i="1"/>
  <c r="BQ20" i="1"/>
  <c r="BR20" i="1"/>
  <c r="BS20" i="1" a="1"/>
  <c r="BS20" i="1" s="1"/>
  <c r="AZ20" i="1" s="1"/>
  <c r="BT20" i="1"/>
  <c r="BB20" i="1" s="1"/>
  <c r="BU20" i="1"/>
  <c r="BV20" i="1"/>
  <c r="BW20" i="1"/>
  <c r="BP21" i="1"/>
  <c r="BQ21" i="1"/>
  <c r="BR21" i="1"/>
  <c r="BS21" i="1" a="1"/>
  <c r="BS21" i="1"/>
  <c r="AZ21" i="1" s="1"/>
  <c r="BT21" i="1"/>
  <c r="BU21" i="1"/>
  <c r="BV21" i="1"/>
  <c r="BW21" i="1"/>
  <c r="BP22" i="1"/>
  <c r="BQ22" i="1"/>
  <c r="BR22" i="1"/>
  <c r="BS22" i="1" a="1"/>
  <c r="BS22" i="1" s="1"/>
  <c r="AZ22" i="1" s="1"/>
  <c r="BT22" i="1"/>
  <c r="BU22" i="1"/>
  <c r="BV22" i="1"/>
  <c r="BW22" i="1"/>
  <c r="BP23" i="1"/>
  <c r="BQ23" i="1"/>
  <c r="BR23" i="1"/>
  <c r="AX23" i="1" s="1"/>
  <c r="BS23" i="1" a="1"/>
  <c r="BS23" i="1"/>
  <c r="BT23" i="1"/>
  <c r="BU23" i="1"/>
  <c r="BV23" i="1"/>
  <c r="BW23" i="1"/>
  <c r="BP24" i="1"/>
  <c r="BQ24" i="1"/>
  <c r="AY24" i="1" s="1"/>
  <c r="BR24" i="1"/>
  <c r="BS24" i="1" a="1"/>
  <c r="BS24" i="1" s="1"/>
  <c r="AZ24" i="1" s="1"/>
  <c r="BT24" i="1"/>
  <c r="BU24" i="1"/>
  <c r="BV24" i="1"/>
  <c r="BW24" i="1"/>
  <c r="BP25" i="1"/>
  <c r="BQ25" i="1"/>
  <c r="BR25" i="1"/>
  <c r="BS25" i="1" a="1"/>
  <c r="BS25" i="1" s="1"/>
  <c r="AZ25" i="1" s="1"/>
  <c r="BT25" i="1"/>
  <c r="BU25" i="1"/>
  <c r="BV25" i="1"/>
  <c r="BW25" i="1"/>
  <c r="BH25" i="1" s="1"/>
  <c r="BP26" i="1"/>
  <c r="BQ26" i="1"/>
  <c r="BR26" i="1"/>
  <c r="BS26" i="1" a="1"/>
  <c r="BS26" i="1" s="1"/>
  <c r="AZ26" i="1" s="1"/>
  <c r="BT26" i="1"/>
  <c r="BU26" i="1"/>
  <c r="BV26" i="1"/>
  <c r="BF26" i="1" s="1"/>
  <c r="BW26" i="1"/>
  <c r="BP27" i="1"/>
  <c r="BQ27" i="1"/>
  <c r="BR27" i="1"/>
  <c r="BS27" i="1" a="1"/>
  <c r="BS27" i="1"/>
  <c r="BT27" i="1"/>
  <c r="BU27" i="1"/>
  <c r="BD27" i="1" s="1"/>
  <c r="BV27" i="1"/>
  <c r="BW27" i="1"/>
  <c r="BP28" i="1"/>
  <c r="BQ28" i="1"/>
  <c r="BR28" i="1"/>
  <c r="BS28" i="1" a="1"/>
  <c r="BS28" i="1" s="1"/>
  <c r="AZ28" i="1" s="1"/>
  <c r="BT28" i="1"/>
  <c r="BB28" i="1" s="1"/>
  <c r="BU28" i="1"/>
  <c r="BV28" i="1"/>
  <c r="BW28" i="1"/>
  <c r="BP29" i="1"/>
  <c r="BQ29" i="1"/>
  <c r="BR29" i="1"/>
  <c r="BS29" i="1" a="1"/>
  <c r="BS29" i="1"/>
  <c r="AZ29" i="1" s="1"/>
  <c r="BT29" i="1"/>
  <c r="BU29" i="1"/>
  <c r="BV29" i="1"/>
  <c r="BW29" i="1"/>
  <c r="BP30" i="1"/>
  <c r="BQ30" i="1"/>
  <c r="BR30" i="1"/>
  <c r="BS30" i="1" a="1"/>
  <c r="BS30" i="1" s="1"/>
  <c r="AZ30" i="1" s="1"/>
  <c r="BT30" i="1"/>
  <c r="BU30" i="1"/>
  <c r="BV30" i="1"/>
  <c r="BW30" i="1"/>
  <c r="BP31" i="1"/>
  <c r="BQ31" i="1"/>
  <c r="BR31" i="1"/>
  <c r="AX31" i="1" s="1"/>
  <c r="BS31" i="1" a="1"/>
  <c r="BS31" i="1"/>
  <c r="BT31" i="1"/>
  <c r="BU31" i="1"/>
  <c r="BV31" i="1"/>
  <c r="BW31" i="1"/>
  <c r="BP32" i="1"/>
  <c r="BQ32" i="1"/>
  <c r="AY32" i="1" s="1"/>
  <c r="BR32" i="1"/>
  <c r="BS32" i="1" a="1"/>
  <c r="BS32" i="1" s="1"/>
  <c r="AZ32" i="1" s="1"/>
  <c r="BT32" i="1"/>
  <c r="BU32" i="1"/>
  <c r="BV32" i="1"/>
  <c r="BW32" i="1"/>
  <c r="BP33" i="1"/>
  <c r="BQ33" i="1"/>
  <c r="BR33" i="1"/>
  <c r="BS33" i="1" a="1"/>
  <c r="BS33" i="1" s="1"/>
  <c r="AZ33" i="1" s="1"/>
  <c r="BT33" i="1"/>
  <c r="BU33" i="1"/>
  <c r="BV33" i="1"/>
  <c r="BW33" i="1"/>
  <c r="BH33" i="1" s="1"/>
  <c r="BP34" i="1"/>
  <c r="BQ34" i="1"/>
  <c r="BR34" i="1"/>
  <c r="BS34" i="1" a="1"/>
  <c r="BS34" i="1" s="1"/>
  <c r="AZ34" i="1" s="1"/>
  <c r="BT34" i="1"/>
  <c r="BU34" i="1"/>
  <c r="BV34" i="1"/>
  <c r="BF34" i="1" s="1"/>
  <c r="BW34" i="1"/>
  <c r="BP35" i="1"/>
  <c r="BQ35" i="1"/>
  <c r="BR35" i="1"/>
  <c r="BS35" i="1" a="1"/>
  <c r="BS35" i="1"/>
  <c r="BT35" i="1"/>
  <c r="BU35" i="1"/>
  <c r="BD35" i="1" s="1"/>
  <c r="BV35" i="1"/>
  <c r="BW35" i="1"/>
  <c r="BP36" i="1"/>
  <c r="BQ36" i="1"/>
  <c r="BR36" i="1"/>
  <c r="BS36" i="1" a="1"/>
  <c r="BS36" i="1" s="1"/>
  <c r="AZ36" i="1" s="1"/>
  <c r="BT36" i="1"/>
  <c r="BB36" i="1" s="1"/>
  <c r="BU36" i="1"/>
  <c r="BV36" i="1"/>
  <c r="BW36" i="1"/>
  <c r="BP37" i="1"/>
  <c r="BQ37" i="1"/>
  <c r="BR37" i="1"/>
  <c r="BS37" i="1" a="1"/>
  <c r="BS37" i="1"/>
  <c r="AZ37" i="1" s="1"/>
  <c r="BT37" i="1"/>
  <c r="BU37" i="1"/>
  <c r="BV37" i="1"/>
  <c r="BW37" i="1"/>
  <c r="BP38" i="1"/>
  <c r="BQ38" i="1"/>
  <c r="BR38" i="1"/>
  <c r="BS38" i="1" a="1"/>
  <c r="BS38" i="1" s="1"/>
  <c r="AZ38" i="1" s="1"/>
  <c r="BT38" i="1"/>
  <c r="BU38" i="1"/>
  <c r="BV38" i="1"/>
  <c r="BW38" i="1"/>
  <c r="BP39" i="1"/>
  <c r="BQ39" i="1"/>
  <c r="BR39" i="1"/>
  <c r="BS39" i="1" a="1"/>
  <c r="BS39" i="1"/>
  <c r="BT39" i="1"/>
  <c r="BB39" i="1" s="1"/>
  <c r="BU39" i="1"/>
  <c r="BV39" i="1"/>
  <c r="BW39" i="1"/>
  <c r="BP40" i="1"/>
  <c r="BQ40" i="1"/>
  <c r="AY40" i="1" s="1"/>
  <c r="BR40" i="1"/>
  <c r="BS40" i="1" a="1"/>
  <c r="BS40" i="1"/>
  <c r="AZ40" i="1" s="1"/>
  <c r="BT40" i="1"/>
  <c r="BU40" i="1"/>
  <c r="BV40" i="1"/>
  <c r="BW40" i="1"/>
  <c r="BP41" i="1"/>
  <c r="BQ41" i="1"/>
  <c r="BR41" i="1"/>
  <c r="BS41" i="1" a="1"/>
  <c r="BS41" i="1" s="1"/>
  <c r="AZ41" i="1" s="1"/>
  <c r="BT41" i="1"/>
  <c r="BU41" i="1"/>
  <c r="BV41" i="1"/>
  <c r="BW41" i="1"/>
  <c r="BH41" i="1" s="1"/>
  <c r="BP42" i="1"/>
  <c r="BQ42" i="1"/>
  <c r="BR42" i="1"/>
  <c r="AX42" i="1" s="1"/>
  <c r="BS42" i="1" a="1"/>
  <c r="BS42" i="1" s="1"/>
  <c r="AZ42" i="1" s="1"/>
  <c r="BT42" i="1"/>
  <c r="BU42" i="1"/>
  <c r="BV42" i="1"/>
  <c r="BF42" i="1" s="1"/>
  <c r="BW42" i="1"/>
  <c r="BP43" i="1"/>
  <c r="BQ43" i="1"/>
  <c r="AY43" i="1" s="1"/>
  <c r="BR43" i="1"/>
  <c r="BS43" i="1" a="1"/>
  <c r="BS43" i="1"/>
  <c r="BT43" i="1"/>
  <c r="BU43" i="1"/>
  <c r="BD43" i="1" s="1"/>
  <c r="BV43" i="1"/>
  <c r="BW43" i="1"/>
  <c r="BP44" i="1"/>
  <c r="BQ44" i="1"/>
  <c r="BR44" i="1"/>
  <c r="BS44" i="1" a="1"/>
  <c r="BS44" i="1" s="1"/>
  <c r="AZ44" i="1" s="1"/>
  <c r="BT44" i="1"/>
  <c r="BB44" i="1" s="1"/>
  <c r="BU44" i="1"/>
  <c r="BV44" i="1"/>
  <c r="BW44" i="1"/>
  <c r="BH44" i="1" s="1"/>
  <c r="BP45" i="1"/>
  <c r="BQ45" i="1"/>
  <c r="BR45" i="1"/>
  <c r="BS45" i="1" a="1"/>
  <c r="BS45" i="1"/>
  <c r="AZ45" i="1" s="1"/>
  <c r="BT45" i="1"/>
  <c r="BU45" i="1"/>
  <c r="BV45" i="1"/>
  <c r="BF45" i="1" s="1"/>
  <c r="BW45" i="1"/>
  <c r="BP46" i="1"/>
  <c r="BQ46" i="1"/>
  <c r="BR46" i="1"/>
  <c r="BS46" i="1" a="1"/>
  <c r="BS46" i="1" s="1"/>
  <c r="AZ46" i="1" s="1"/>
  <c r="BT46" i="1"/>
  <c r="BU46" i="1"/>
  <c r="BV46" i="1"/>
  <c r="BW46" i="1"/>
  <c r="BP47" i="1"/>
  <c r="BQ47" i="1"/>
  <c r="BR47" i="1"/>
  <c r="BS47" i="1" a="1"/>
  <c r="BS47" i="1"/>
  <c r="BT47" i="1"/>
  <c r="BB47" i="1" s="1"/>
  <c r="BU47" i="1"/>
  <c r="BV47" i="1"/>
  <c r="BW47" i="1"/>
  <c r="BP48" i="1"/>
  <c r="BQ48" i="1"/>
  <c r="AY48" i="1" s="1"/>
  <c r="BR48" i="1"/>
  <c r="BS48" i="1" a="1"/>
  <c r="BS48" i="1"/>
  <c r="AZ48" i="1" s="1"/>
  <c r="BT48" i="1"/>
  <c r="BU48" i="1"/>
  <c r="BV48" i="1"/>
  <c r="BW48" i="1"/>
  <c r="BP49" i="1"/>
  <c r="BQ49" i="1"/>
  <c r="BR49" i="1"/>
  <c r="BS49" i="1" a="1"/>
  <c r="BS49" i="1" s="1"/>
  <c r="AZ49" i="1" s="1"/>
  <c r="BT49" i="1"/>
  <c r="BU49" i="1"/>
  <c r="BV49" i="1"/>
  <c r="BW49" i="1"/>
  <c r="BH49" i="1" s="1"/>
  <c r="BP50" i="1"/>
  <c r="BQ50" i="1"/>
  <c r="BR50" i="1"/>
  <c r="BS50" i="1" a="1"/>
  <c r="BS50" i="1" s="1"/>
  <c r="AZ50" i="1" s="1"/>
  <c r="BT50" i="1"/>
  <c r="BU50" i="1"/>
  <c r="BV50" i="1"/>
  <c r="BF50" i="1" s="1"/>
  <c r="BW50" i="1"/>
  <c r="BP51" i="1"/>
  <c r="BQ51" i="1"/>
  <c r="AY51" i="1" s="1"/>
  <c r="BR51" i="1"/>
  <c r="BS51" i="1" a="1"/>
  <c r="BS51" i="1"/>
  <c r="BT51" i="1"/>
  <c r="BU51" i="1"/>
  <c r="BD51" i="1" s="1"/>
  <c r="BV51" i="1"/>
  <c r="BW51" i="1"/>
  <c r="BP52" i="1"/>
  <c r="BQ52" i="1"/>
  <c r="BR52" i="1"/>
  <c r="BS52" i="1" a="1"/>
  <c r="BS52" i="1" s="1"/>
  <c r="AZ52" i="1" s="1"/>
  <c r="BT52" i="1"/>
  <c r="BB52" i="1" s="1"/>
  <c r="BU52" i="1"/>
  <c r="BV52" i="1"/>
  <c r="BW52" i="1"/>
  <c r="BH52" i="1" s="1"/>
  <c r="BP53" i="1"/>
  <c r="BQ53" i="1"/>
  <c r="BR53" i="1"/>
  <c r="BS53" i="1" a="1"/>
  <c r="BS53" i="1"/>
  <c r="AZ53" i="1" s="1"/>
  <c r="BT53" i="1"/>
  <c r="BU53" i="1"/>
  <c r="BV53" i="1"/>
  <c r="BF53" i="1" s="1"/>
  <c r="BW53" i="1"/>
  <c r="BP54" i="1"/>
  <c r="BQ54" i="1"/>
  <c r="BR54" i="1"/>
  <c r="BS54" i="1" a="1"/>
  <c r="BS54" i="1" s="1"/>
  <c r="AZ54" i="1" s="1"/>
  <c r="BT54" i="1"/>
  <c r="BU54" i="1"/>
  <c r="BD54" i="1" s="1"/>
  <c r="BV54" i="1"/>
  <c r="BW54" i="1"/>
  <c r="BP55" i="1"/>
  <c r="BQ55" i="1"/>
  <c r="BR55" i="1"/>
  <c r="AX55" i="1" s="1"/>
  <c r="BS55" i="1" a="1"/>
  <c r="BS55" i="1"/>
  <c r="BT55" i="1"/>
  <c r="BB55" i="1" s="1"/>
  <c r="BU55" i="1"/>
  <c r="BV55" i="1"/>
  <c r="BW55" i="1"/>
  <c r="BP56" i="1"/>
  <c r="BQ56" i="1"/>
  <c r="AY56" i="1" s="1"/>
  <c r="BR56" i="1"/>
  <c r="BS56" i="1" a="1"/>
  <c r="BS56" i="1"/>
  <c r="BT56" i="1"/>
  <c r="BU56" i="1"/>
  <c r="BV56" i="1"/>
  <c r="BW56" i="1"/>
  <c r="BP57" i="1"/>
  <c r="BQ57" i="1"/>
  <c r="BR57" i="1"/>
  <c r="BS57" i="1" a="1"/>
  <c r="BS57" i="1" s="1"/>
  <c r="AZ57" i="1" s="1"/>
  <c r="BT57" i="1"/>
  <c r="BU57" i="1"/>
  <c r="BV57" i="1"/>
  <c r="BW57" i="1"/>
  <c r="BH57" i="1" s="1"/>
  <c r="BP58" i="1"/>
  <c r="BQ58" i="1"/>
  <c r="BR58" i="1"/>
  <c r="AX58" i="1" s="1"/>
  <c r="BS58" i="1" a="1"/>
  <c r="BS58" i="1" s="1"/>
  <c r="AZ58" i="1" s="1"/>
  <c r="BT58" i="1"/>
  <c r="BU58" i="1"/>
  <c r="BV58" i="1"/>
  <c r="BF58" i="1" s="1"/>
  <c r="BW58" i="1"/>
  <c r="BP59" i="1"/>
  <c r="BQ59" i="1"/>
  <c r="AY59" i="1" s="1"/>
  <c r="BR59" i="1"/>
  <c r="BS59" i="1" a="1"/>
  <c r="BS59" i="1"/>
  <c r="BT59" i="1"/>
  <c r="BU59" i="1"/>
  <c r="BD59" i="1" s="1"/>
  <c r="BV59" i="1"/>
  <c r="BW59" i="1"/>
  <c r="BP60" i="1"/>
  <c r="BQ60" i="1"/>
  <c r="BR60" i="1"/>
  <c r="BS60" i="1" a="1"/>
  <c r="BS60" i="1" s="1"/>
  <c r="AZ60" i="1" s="1"/>
  <c r="BT60" i="1"/>
  <c r="BB60" i="1" s="1"/>
  <c r="BU60" i="1"/>
  <c r="BV60" i="1"/>
  <c r="BW60" i="1"/>
  <c r="BH60" i="1" s="1"/>
  <c r="BP61" i="1"/>
  <c r="BQ61" i="1"/>
  <c r="BR61" i="1"/>
  <c r="BS61" i="1" a="1"/>
  <c r="BS61" i="1"/>
  <c r="AZ61" i="1" s="1"/>
  <c r="BT61" i="1"/>
  <c r="BU61" i="1"/>
  <c r="BV61" i="1"/>
  <c r="BW61" i="1"/>
  <c r="BP62" i="1"/>
  <c r="BQ62" i="1"/>
  <c r="BR62" i="1"/>
  <c r="BS62" i="1" a="1"/>
  <c r="BS62" i="1" s="1"/>
  <c r="AZ62" i="1" s="1"/>
  <c r="BT62" i="1"/>
  <c r="BU62" i="1"/>
  <c r="BD62" i="1" s="1"/>
  <c r="BV62" i="1"/>
  <c r="BW62" i="1"/>
  <c r="BP63" i="1"/>
  <c r="BQ63" i="1"/>
  <c r="BR63" i="1"/>
  <c r="AX63" i="1" s="1"/>
  <c r="BS63" i="1" a="1"/>
  <c r="BS63" i="1"/>
  <c r="BT63" i="1"/>
  <c r="BB63" i="1" s="1"/>
  <c r="BU63" i="1"/>
  <c r="BV63" i="1"/>
  <c r="BW63" i="1"/>
  <c r="BP64" i="1"/>
  <c r="BQ64" i="1"/>
  <c r="AY64" i="1" s="1"/>
  <c r="BR64" i="1"/>
  <c r="BS64" i="1" a="1"/>
  <c r="BS64" i="1"/>
  <c r="BT64" i="1"/>
  <c r="BB64" i="1" s="1"/>
  <c r="BU64" i="1"/>
  <c r="BV64" i="1"/>
  <c r="BW64" i="1"/>
  <c r="BP65" i="1"/>
  <c r="BQ65" i="1"/>
  <c r="BR65" i="1"/>
  <c r="AX65" i="1" s="1"/>
  <c r="BS65" i="1" a="1"/>
  <c r="BS65" i="1" s="1"/>
  <c r="AZ65" i="1" s="1"/>
  <c r="BT65" i="1"/>
  <c r="BU65" i="1"/>
  <c r="BV65" i="1"/>
  <c r="BW65" i="1"/>
  <c r="BH65" i="1" s="1"/>
  <c r="BP66" i="1"/>
  <c r="BQ66" i="1"/>
  <c r="AY66" i="1" s="1"/>
  <c r="BR66" i="1"/>
  <c r="BS66" i="1" a="1"/>
  <c r="BS66" i="1" s="1"/>
  <c r="AZ66" i="1" s="1"/>
  <c r="BT66" i="1"/>
  <c r="BU66" i="1"/>
  <c r="BV66" i="1"/>
  <c r="BW66" i="1"/>
  <c r="AR8" i="1"/>
  <c r="AV8" i="1"/>
  <c r="AW8" i="1"/>
  <c r="AX8" i="1"/>
  <c r="AY8" i="1"/>
  <c r="BA8" i="1"/>
  <c r="BB8" i="1"/>
  <c r="BC8" i="1"/>
  <c r="BD8" i="1"/>
  <c r="BE8" i="1"/>
  <c r="BF8" i="1"/>
  <c r="BG8" i="1"/>
  <c r="BH8" i="1"/>
  <c r="BI8" i="1"/>
  <c r="BJ8" i="1"/>
  <c r="AS8" i="1" s="1"/>
  <c r="BK8" i="1"/>
  <c r="BL8" i="1"/>
  <c r="BM8" i="1"/>
  <c r="AT8" i="1" s="1"/>
  <c r="BN8" i="1"/>
  <c r="AR9" i="1"/>
  <c r="AV9" i="1"/>
  <c r="AW9" i="1"/>
  <c r="AX9" i="1"/>
  <c r="AY9" i="1"/>
  <c r="BA9" i="1"/>
  <c r="BB9" i="1"/>
  <c r="BC9" i="1"/>
  <c r="BD9" i="1"/>
  <c r="BE9" i="1"/>
  <c r="BF9" i="1"/>
  <c r="BG9" i="1"/>
  <c r="BH9" i="1"/>
  <c r="BI9" i="1"/>
  <c r="BJ9" i="1"/>
  <c r="AS9" i="1" s="1"/>
  <c r="BK9" i="1"/>
  <c r="BL9" i="1"/>
  <c r="BM9" i="1"/>
  <c r="AT9" i="1" s="1"/>
  <c r="BN9" i="1"/>
  <c r="AR10" i="1"/>
  <c r="AV10" i="1"/>
  <c r="AW10" i="1"/>
  <c r="AX10" i="1"/>
  <c r="AY10" i="1"/>
  <c r="BA10" i="1"/>
  <c r="BB10" i="1"/>
  <c r="BC10" i="1"/>
  <c r="BD10" i="1"/>
  <c r="BE10" i="1"/>
  <c r="BF10" i="1"/>
  <c r="BG10" i="1"/>
  <c r="BH10" i="1"/>
  <c r="BI10" i="1"/>
  <c r="BK10" i="1" s="1"/>
  <c r="AS10" i="1" s="1"/>
  <c r="AU10" i="1" s="1"/>
  <c r="BJ10" i="1"/>
  <c r="BL10" i="1"/>
  <c r="BM10" i="1"/>
  <c r="AT10" i="1" s="1"/>
  <c r="BN10" i="1"/>
  <c r="AR11" i="1"/>
  <c r="AV11" i="1"/>
  <c r="AW11" i="1"/>
  <c r="AX11" i="1"/>
  <c r="AY11" i="1"/>
  <c r="BA11" i="1"/>
  <c r="BB11" i="1"/>
  <c r="BC11" i="1"/>
  <c r="BD11" i="1"/>
  <c r="BE11" i="1"/>
  <c r="BF11" i="1"/>
  <c r="BG11" i="1"/>
  <c r="BH11" i="1"/>
  <c r="BI11" i="1"/>
  <c r="BK11" i="1" s="1"/>
  <c r="AS11" i="1" s="1"/>
  <c r="BJ11" i="1"/>
  <c r="BL11" i="1"/>
  <c r="BM11" i="1"/>
  <c r="BN11" i="1"/>
  <c r="AT11" i="1" s="1"/>
  <c r="AR12" i="1"/>
  <c r="AV12" i="1"/>
  <c r="AW12" i="1"/>
  <c r="AX12" i="1"/>
  <c r="AY12" i="1"/>
  <c r="BA12" i="1"/>
  <c r="BB12" i="1"/>
  <c r="BC12" i="1"/>
  <c r="BD12" i="1"/>
  <c r="BE12" i="1"/>
  <c r="BF12" i="1"/>
  <c r="BG12" i="1"/>
  <c r="BH12" i="1"/>
  <c r="BI12" i="1"/>
  <c r="BK12" i="1" s="1"/>
  <c r="BJ12" i="1"/>
  <c r="AS12" i="1" s="1"/>
  <c r="BL12" i="1"/>
  <c r="BN12" i="1" s="1"/>
  <c r="AT12" i="1" s="1"/>
  <c r="BM12" i="1"/>
  <c r="AR13" i="1"/>
  <c r="AV13" i="1"/>
  <c r="AW13" i="1"/>
  <c r="AX13" i="1"/>
  <c r="AY13" i="1"/>
  <c r="BA13" i="1"/>
  <c r="BB13" i="1"/>
  <c r="BC13" i="1"/>
  <c r="BD13" i="1"/>
  <c r="BE13" i="1"/>
  <c r="BF13" i="1"/>
  <c r="BG13" i="1"/>
  <c r="BH13" i="1"/>
  <c r="BI13" i="1"/>
  <c r="BJ13" i="1"/>
  <c r="AS13" i="1" s="1"/>
  <c r="BK13" i="1"/>
  <c r="BL13" i="1"/>
  <c r="BN13" i="1" s="1"/>
  <c r="AT13" i="1" s="1"/>
  <c r="BM13" i="1"/>
  <c r="AR14" i="1"/>
  <c r="AV14" i="1"/>
  <c r="AW14" i="1"/>
  <c r="AX14" i="1"/>
  <c r="AY14" i="1"/>
  <c r="BA14" i="1"/>
  <c r="BB14" i="1"/>
  <c r="BC14" i="1"/>
  <c r="BD14" i="1"/>
  <c r="BE14" i="1"/>
  <c r="BF14" i="1"/>
  <c r="BG14" i="1"/>
  <c r="BH14" i="1"/>
  <c r="BI14" i="1"/>
  <c r="BJ14" i="1"/>
  <c r="AS14" i="1" s="1"/>
  <c r="BK14" i="1"/>
  <c r="BL14" i="1"/>
  <c r="BN14" i="1" s="1"/>
  <c r="AT14" i="1" s="1"/>
  <c r="BM14" i="1"/>
  <c r="AR15" i="1"/>
  <c r="AV15" i="1"/>
  <c r="AW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AS15" i="1" s="1"/>
  <c r="BK15" i="1"/>
  <c r="BL15" i="1"/>
  <c r="BN15" i="1" s="1"/>
  <c r="BM15" i="1"/>
  <c r="AR16" i="1"/>
  <c r="AV16" i="1"/>
  <c r="AW16" i="1"/>
  <c r="AX16" i="1"/>
  <c r="BA16" i="1"/>
  <c r="BB16" i="1"/>
  <c r="BC16" i="1"/>
  <c r="BD16" i="1"/>
  <c r="BE16" i="1"/>
  <c r="BF16" i="1"/>
  <c r="BG16" i="1"/>
  <c r="BH16" i="1"/>
  <c r="BI16" i="1"/>
  <c r="BJ16" i="1"/>
  <c r="BK16" i="1"/>
  <c r="AS16" i="1" s="1"/>
  <c r="BL16" i="1"/>
  <c r="BM16" i="1"/>
  <c r="AT16" i="1" s="1"/>
  <c r="BN16" i="1"/>
  <c r="AR17" i="1"/>
  <c r="AV17" i="1"/>
  <c r="AW17" i="1"/>
  <c r="AX17" i="1"/>
  <c r="AY17" i="1"/>
  <c r="BA17" i="1"/>
  <c r="BB17" i="1"/>
  <c r="BC17" i="1"/>
  <c r="BD17" i="1"/>
  <c r="BE17" i="1"/>
  <c r="BF17" i="1"/>
  <c r="BG17" i="1"/>
  <c r="BI17" i="1"/>
  <c r="BJ17" i="1"/>
  <c r="AS17" i="1" s="1"/>
  <c r="BK17" i="1"/>
  <c r="BL17" i="1"/>
  <c r="BM17" i="1"/>
  <c r="AT17" i="1" s="1"/>
  <c r="BN17" i="1"/>
  <c r="AR18" i="1"/>
  <c r="AV18" i="1"/>
  <c r="AW18" i="1"/>
  <c r="AX18" i="1"/>
  <c r="AY18" i="1"/>
  <c r="BA18" i="1"/>
  <c r="BB18" i="1"/>
  <c r="BC18" i="1"/>
  <c r="BD18" i="1"/>
  <c r="BE18" i="1"/>
  <c r="BG18" i="1"/>
  <c r="BH18" i="1"/>
  <c r="BI18" i="1"/>
  <c r="BK18" i="1" s="1"/>
  <c r="AS18" i="1" s="1"/>
  <c r="BJ18" i="1"/>
  <c r="BL18" i="1"/>
  <c r="BM18" i="1"/>
  <c r="AT18" i="1" s="1"/>
  <c r="BN18" i="1"/>
  <c r="AR19" i="1"/>
  <c r="AV19" i="1"/>
  <c r="AW19" i="1"/>
  <c r="AX19" i="1"/>
  <c r="AY19" i="1"/>
  <c r="AZ19" i="1"/>
  <c r="BA19" i="1"/>
  <c r="BB19" i="1"/>
  <c r="BC19" i="1"/>
  <c r="BE19" i="1"/>
  <c r="BF19" i="1"/>
  <c r="BG19" i="1"/>
  <c r="BH19" i="1"/>
  <c r="BI19" i="1"/>
  <c r="BK19" i="1" s="1"/>
  <c r="AS19" i="1" s="1"/>
  <c r="BJ19" i="1"/>
  <c r="BL19" i="1"/>
  <c r="BM19" i="1"/>
  <c r="BN19" i="1"/>
  <c r="AT19" i="1" s="1"/>
  <c r="AR20" i="1"/>
  <c r="AT20" i="1"/>
  <c r="AV20" i="1"/>
  <c r="AW20" i="1"/>
  <c r="AX20" i="1"/>
  <c r="AY20" i="1"/>
  <c r="BA20" i="1"/>
  <c r="BC20" i="1"/>
  <c r="BD20" i="1"/>
  <c r="BE20" i="1"/>
  <c r="BF20" i="1"/>
  <c r="BG20" i="1"/>
  <c r="BH20" i="1"/>
  <c r="BI20" i="1"/>
  <c r="BK20" i="1" s="1"/>
  <c r="BJ20" i="1"/>
  <c r="AS20" i="1" s="1"/>
  <c r="BL20" i="1"/>
  <c r="BM20" i="1"/>
  <c r="BN20" i="1"/>
  <c r="AR21" i="1"/>
  <c r="AV21" i="1"/>
  <c r="AW21" i="1"/>
  <c r="AX21" i="1"/>
  <c r="AY21" i="1"/>
  <c r="BA21" i="1"/>
  <c r="BB21" i="1"/>
  <c r="BC21" i="1"/>
  <c r="BD21" i="1"/>
  <c r="BE21" i="1"/>
  <c r="BF21" i="1"/>
  <c r="BG21" i="1"/>
  <c r="BH21" i="1"/>
  <c r="BI21" i="1"/>
  <c r="BJ21" i="1"/>
  <c r="AS21" i="1" s="1"/>
  <c r="BK21" i="1"/>
  <c r="BL21" i="1"/>
  <c r="BN21" i="1" s="1"/>
  <c r="AT21" i="1" s="1"/>
  <c r="BM21" i="1"/>
  <c r="AR22" i="1"/>
  <c r="AV22" i="1"/>
  <c r="AW22" i="1"/>
  <c r="AX22" i="1"/>
  <c r="AY22" i="1"/>
  <c r="BA22" i="1"/>
  <c r="BB22" i="1"/>
  <c r="BC22" i="1"/>
  <c r="BD22" i="1"/>
  <c r="BE22" i="1"/>
  <c r="BF22" i="1"/>
  <c r="BG22" i="1"/>
  <c r="BH22" i="1"/>
  <c r="BI22" i="1"/>
  <c r="BJ22" i="1"/>
  <c r="AS22" i="1" s="1"/>
  <c r="BK22" i="1"/>
  <c r="BL22" i="1"/>
  <c r="BN22" i="1" s="1"/>
  <c r="AT22" i="1" s="1"/>
  <c r="BM22" i="1"/>
  <c r="AR23" i="1"/>
  <c r="AV23" i="1"/>
  <c r="AW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AS23" i="1" s="1"/>
  <c r="BK23" i="1"/>
  <c r="BL23" i="1"/>
  <c r="BN23" i="1" s="1"/>
  <c r="BM23" i="1"/>
  <c r="AT23" i="1" s="1"/>
  <c r="AR24" i="1"/>
  <c r="AV24" i="1"/>
  <c r="AW24" i="1"/>
  <c r="AX24" i="1"/>
  <c r="BA24" i="1"/>
  <c r="BB24" i="1"/>
  <c r="BC24" i="1"/>
  <c r="BD24" i="1"/>
  <c r="BE24" i="1"/>
  <c r="BF24" i="1"/>
  <c r="BG24" i="1"/>
  <c r="BH24" i="1"/>
  <c r="BI24" i="1"/>
  <c r="BJ24" i="1"/>
  <c r="AS24" i="1" s="1"/>
  <c r="BK24" i="1"/>
  <c r="BL24" i="1"/>
  <c r="BM24" i="1"/>
  <c r="AT24" i="1" s="1"/>
  <c r="BN24" i="1"/>
  <c r="AR25" i="1"/>
  <c r="AV25" i="1"/>
  <c r="AW25" i="1"/>
  <c r="AX25" i="1"/>
  <c r="AY25" i="1"/>
  <c r="BA25" i="1"/>
  <c r="BB25" i="1"/>
  <c r="BC25" i="1"/>
  <c r="BD25" i="1"/>
  <c r="BE25" i="1"/>
  <c r="BF25" i="1"/>
  <c r="BG25" i="1"/>
  <c r="BI25" i="1"/>
  <c r="BJ25" i="1"/>
  <c r="AS25" i="1" s="1"/>
  <c r="BK25" i="1"/>
  <c r="BL25" i="1"/>
  <c r="BM25" i="1"/>
  <c r="AT25" i="1" s="1"/>
  <c r="BN25" i="1"/>
  <c r="AR26" i="1"/>
  <c r="AV26" i="1"/>
  <c r="AW26" i="1"/>
  <c r="AX26" i="1"/>
  <c r="AY26" i="1"/>
  <c r="BA26" i="1"/>
  <c r="BB26" i="1"/>
  <c r="BC26" i="1"/>
  <c r="BD26" i="1"/>
  <c r="BE26" i="1"/>
  <c r="BG26" i="1"/>
  <c r="BH26" i="1"/>
  <c r="BI26" i="1"/>
  <c r="BK26" i="1" s="1"/>
  <c r="AS26" i="1" s="1"/>
  <c r="BJ26" i="1"/>
  <c r="BL26" i="1"/>
  <c r="BM26" i="1"/>
  <c r="AT26" i="1" s="1"/>
  <c r="BN26" i="1"/>
  <c r="AR27" i="1"/>
  <c r="AV27" i="1"/>
  <c r="AW27" i="1"/>
  <c r="AX27" i="1"/>
  <c r="AY27" i="1"/>
  <c r="AZ27" i="1"/>
  <c r="BA27" i="1"/>
  <c r="BB27" i="1"/>
  <c r="BC27" i="1"/>
  <c r="BE27" i="1"/>
  <c r="BF27" i="1"/>
  <c r="BG27" i="1"/>
  <c r="BH27" i="1"/>
  <c r="BI27" i="1"/>
  <c r="BK27" i="1" s="1"/>
  <c r="AS27" i="1" s="1"/>
  <c r="BJ27" i="1"/>
  <c r="BL27" i="1"/>
  <c r="BM27" i="1"/>
  <c r="BN27" i="1"/>
  <c r="AT27" i="1" s="1"/>
  <c r="AR28" i="1"/>
  <c r="AT28" i="1"/>
  <c r="AV28" i="1"/>
  <c r="AW28" i="1"/>
  <c r="AX28" i="1"/>
  <c r="AY28" i="1"/>
  <c r="BA28" i="1"/>
  <c r="BC28" i="1"/>
  <c r="BD28" i="1"/>
  <c r="BE28" i="1"/>
  <c r="BF28" i="1"/>
  <c r="BG28" i="1"/>
  <c r="BH28" i="1"/>
  <c r="BI28" i="1"/>
  <c r="BK28" i="1" s="1"/>
  <c r="BJ28" i="1"/>
  <c r="AS28" i="1" s="1"/>
  <c r="AU28" i="1" s="1"/>
  <c r="BL28" i="1"/>
  <c r="BM28" i="1"/>
  <c r="BN28" i="1"/>
  <c r="AR29" i="1"/>
  <c r="AV29" i="1"/>
  <c r="AW29" i="1"/>
  <c r="AX29" i="1"/>
  <c r="AY29" i="1"/>
  <c r="BA29" i="1"/>
  <c r="BB29" i="1"/>
  <c r="BC29" i="1"/>
  <c r="BD29" i="1"/>
  <c r="BE29" i="1"/>
  <c r="BF29" i="1"/>
  <c r="BG29" i="1"/>
  <c r="BH29" i="1"/>
  <c r="BI29" i="1"/>
  <c r="BJ29" i="1"/>
  <c r="AS29" i="1" s="1"/>
  <c r="BK29" i="1"/>
  <c r="BL29" i="1"/>
  <c r="BN29" i="1" s="1"/>
  <c r="AT29" i="1" s="1"/>
  <c r="BM29" i="1"/>
  <c r="AR30" i="1"/>
  <c r="AV30" i="1"/>
  <c r="AW30" i="1"/>
  <c r="AX30" i="1"/>
  <c r="AY30" i="1"/>
  <c r="BA30" i="1"/>
  <c r="BB30" i="1"/>
  <c r="BC30" i="1"/>
  <c r="BD30" i="1"/>
  <c r="BE30" i="1"/>
  <c r="BF30" i="1"/>
  <c r="BG30" i="1"/>
  <c r="BH30" i="1"/>
  <c r="BI30" i="1"/>
  <c r="BJ30" i="1"/>
  <c r="AS30" i="1" s="1"/>
  <c r="BK30" i="1"/>
  <c r="BL30" i="1"/>
  <c r="BN30" i="1" s="1"/>
  <c r="AT30" i="1" s="1"/>
  <c r="BM30" i="1"/>
  <c r="AR31" i="1"/>
  <c r="AV31" i="1"/>
  <c r="AW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AS31" i="1" s="1"/>
  <c r="BK31" i="1"/>
  <c r="BL31" i="1"/>
  <c r="BN31" i="1" s="1"/>
  <c r="BM31" i="1"/>
  <c r="AR32" i="1"/>
  <c r="AV32" i="1"/>
  <c r="AW32" i="1"/>
  <c r="AX32" i="1"/>
  <c r="BA32" i="1"/>
  <c r="BB32" i="1"/>
  <c r="BC32" i="1"/>
  <c r="BD32" i="1"/>
  <c r="BE32" i="1"/>
  <c r="BF32" i="1"/>
  <c r="BG32" i="1"/>
  <c r="BH32" i="1"/>
  <c r="BI32" i="1"/>
  <c r="BJ32" i="1"/>
  <c r="AS32" i="1" s="1"/>
  <c r="AU32" i="1" s="1"/>
  <c r="BK32" i="1"/>
  <c r="BL32" i="1"/>
  <c r="BM32" i="1"/>
  <c r="AT32" i="1" s="1"/>
  <c r="BN32" i="1"/>
  <c r="AR33" i="1"/>
  <c r="AV33" i="1"/>
  <c r="AW33" i="1"/>
  <c r="AX33" i="1"/>
  <c r="AY33" i="1"/>
  <c r="BA33" i="1"/>
  <c r="BB33" i="1"/>
  <c r="BC33" i="1"/>
  <c r="BD33" i="1"/>
  <c r="BE33" i="1"/>
  <c r="BF33" i="1"/>
  <c r="BG33" i="1"/>
  <c r="BI33" i="1"/>
  <c r="BK33" i="1" s="1"/>
  <c r="BJ33" i="1"/>
  <c r="AS33" i="1" s="1"/>
  <c r="BL33" i="1"/>
  <c r="BN33" i="1" s="1"/>
  <c r="BM33" i="1"/>
  <c r="AR34" i="1"/>
  <c r="AV34" i="1"/>
  <c r="AW34" i="1"/>
  <c r="AX34" i="1"/>
  <c r="AY34" i="1"/>
  <c r="BA34" i="1"/>
  <c r="BB34" i="1"/>
  <c r="BC34" i="1"/>
  <c r="BD34" i="1"/>
  <c r="BE34" i="1"/>
  <c r="BG34" i="1"/>
  <c r="BH34" i="1"/>
  <c r="BI34" i="1"/>
  <c r="BK34" i="1" s="1"/>
  <c r="AS34" i="1" s="1"/>
  <c r="BJ34" i="1"/>
  <c r="BL34" i="1"/>
  <c r="BM34" i="1"/>
  <c r="AT34" i="1" s="1"/>
  <c r="BN34" i="1"/>
  <c r="AR35" i="1"/>
  <c r="AV35" i="1"/>
  <c r="AW35" i="1"/>
  <c r="AX35" i="1"/>
  <c r="AY35" i="1"/>
  <c r="AZ35" i="1"/>
  <c r="BA35" i="1"/>
  <c r="BB35" i="1"/>
  <c r="BC35" i="1"/>
  <c r="BE35" i="1"/>
  <c r="BF35" i="1"/>
  <c r="BG35" i="1"/>
  <c r="BH35" i="1"/>
  <c r="BI35" i="1"/>
  <c r="BK35" i="1" s="1"/>
  <c r="AS35" i="1" s="1"/>
  <c r="AU35" i="1" s="1"/>
  <c r="BJ35" i="1"/>
  <c r="BL35" i="1"/>
  <c r="BM35" i="1"/>
  <c r="BN35" i="1"/>
  <c r="AT35" i="1" s="1"/>
  <c r="AR36" i="1"/>
  <c r="AV36" i="1"/>
  <c r="AW36" i="1"/>
  <c r="AX36" i="1"/>
  <c r="AY36" i="1"/>
  <c r="BA36" i="1"/>
  <c r="BC36" i="1"/>
  <c r="BD36" i="1"/>
  <c r="BE36" i="1"/>
  <c r="BF36" i="1"/>
  <c r="BG36" i="1"/>
  <c r="BH36" i="1"/>
  <c r="BI36" i="1"/>
  <c r="BK36" i="1" s="1"/>
  <c r="BJ36" i="1"/>
  <c r="AS36" i="1" s="1"/>
  <c r="BL36" i="1"/>
  <c r="BN36" i="1" s="1"/>
  <c r="AT36" i="1" s="1"/>
  <c r="BM36" i="1"/>
  <c r="AR37" i="1"/>
  <c r="AV37" i="1"/>
  <c r="AW37" i="1"/>
  <c r="AX37" i="1"/>
  <c r="AY37" i="1"/>
  <c r="BA37" i="1"/>
  <c r="BB37" i="1"/>
  <c r="BC37" i="1"/>
  <c r="BD37" i="1"/>
  <c r="BE37" i="1"/>
  <c r="BF37" i="1"/>
  <c r="BG37" i="1"/>
  <c r="BH37" i="1"/>
  <c r="BI37" i="1"/>
  <c r="BJ37" i="1"/>
  <c r="AS37" i="1" s="1"/>
  <c r="BK37" i="1"/>
  <c r="BL37" i="1"/>
  <c r="BN37" i="1" s="1"/>
  <c r="AT37" i="1" s="1"/>
  <c r="BM37" i="1"/>
  <c r="AR38" i="1"/>
  <c r="AV38" i="1"/>
  <c r="AW38" i="1"/>
  <c r="AX38" i="1"/>
  <c r="AY38" i="1"/>
  <c r="BA38" i="1"/>
  <c r="BB38" i="1"/>
  <c r="BC38" i="1"/>
  <c r="BD38" i="1"/>
  <c r="BE38" i="1"/>
  <c r="BF38" i="1"/>
  <c r="BG38" i="1"/>
  <c r="BH38" i="1"/>
  <c r="BI38" i="1"/>
  <c r="BJ38" i="1"/>
  <c r="AS38" i="1" s="1"/>
  <c r="BK38" i="1"/>
  <c r="BL38" i="1"/>
  <c r="BN38" i="1" s="1"/>
  <c r="AT38" i="1" s="1"/>
  <c r="BM38" i="1"/>
  <c r="AR39" i="1"/>
  <c r="AV39" i="1"/>
  <c r="AW39" i="1"/>
  <c r="AX39" i="1"/>
  <c r="AY39" i="1"/>
  <c r="AZ39" i="1"/>
  <c r="BA39" i="1"/>
  <c r="BC39" i="1"/>
  <c r="BD39" i="1"/>
  <c r="BE39" i="1"/>
  <c r="BF39" i="1"/>
  <c r="BG39" i="1"/>
  <c r="BH39" i="1"/>
  <c r="BI39" i="1"/>
  <c r="BJ39" i="1"/>
  <c r="AS39" i="1" s="1"/>
  <c r="BK39" i="1"/>
  <c r="BL39" i="1"/>
  <c r="BN39" i="1" s="1"/>
  <c r="BM39" i="1"/>
  <c r="AT39" i="1" s="1"/>
  <c r="AR40" i="1"/>
  <c r="AV40" i="1"/>
  <c r="AW40" i="1"/>
  <c r="AX40" i="1"/>
  <c r="BA40" i="1"/>
  <c r="BB40" i="1"/>
  <c r="BC40" i="1"/>
  <c r="BD40" i="1"/>
  <c r="BE40" i="1"/>
  <c r="BF40" i="1"/>
  <c r="BG40" i="1"/>
  <c r="BH40" i="1"/>
  <c r="BI40" i="1"/>
  <c r="BJ40" i="1"/>
  <c r="AS40" i="1" s="1"/>
  <c r="BK40" i="1"/>
  <c r="BL40" i="1"/>
  <c r="BM40" i="1"/>
  <c r="AT40" i="1" s="1"/>
  <c r="BN40" i="1"/>
  <c r="AR41" i="1"/>
  <c r="AV41" i="1"/>
  <c r="AW41" i="1"/>
  <c r="AX41" i="1"/>
  <c r="AY41" i="1"/>
  <c r="BA41" i="1"/>
  <c r="BB41" i="1"/>
  <c r="BC41" i="1"/>
  <c r="BD41" i="1"/>
  <c r="BE41" i="1"/>
  <c r="BF41" i="1"/>
  <c r="BG41" i="1"/>
  <c r="BI41" i="1"/>
  <c r="BK41" i="1" s="1"/>
  <c r="BJ41" i="1"/>
  <c r="AS41" i="1" s="1"/>
  <c r="BL41" i="1"/>
  <c r="BM41" i="1"/>
  <c r="AT41" i="1" s="1"/>
  <c r="BN41" i="1"/>
  <c r="AR42" i="1"/>
  <c r="AV42" i="1"/>
  <c r="AW42" i="1"/>
  <c r="AY42" i="1"/>
  <c r="BA42" i="1"/>
  <c r="BB42" i="1"/>
  <c r="BC42" i="1"/>
  <c r="BD42" i="1"/>
  <c r="BE42" i="1"/>
  <c r="BG42" i="1"/>
  <c r="BH42" i="1"/>
  <c r="BI42" i="1"/>
  <c r="BK42" i="1" s="1"/>
  <c r="AS42" i="1" s="1"/>
  <c r="BJ42" i="1"/>
  <c r="BL42" i="1"/>
  <c r="BM42" i="1"/>
  <c r="AT42" i="1" s="1"/>
  <c r="BN42" i="1"/>
  <c r="AR43" i="1"/>
  <c r="AV43" i="1"/>
  <c r="AW43" i="1"/>
  <c r="AX43" i="1"/>
  <c r="AZ43" i="1"/>
  <c r="BA43" i="1"/>
  <c r="BB43" i="1"/>
  <c r="BC43" i="1"/>
  <c r="BE43" i="1"/>
  <c r="BF43" i="1"/>
  <c r="BG43" i="1"/>
  <c r="BH43" i="1"/>
  <c r="BI43" i="1"/>
  <c r="BK43" i="1" s="1"/>
  <c r="AS43" i="1" s="1"/>
  <c r="AU43" i="1" s="1"/>
  <c r="BJ43" i="1"/>
  <c r="BL43" i="1"/>
  <c r="BM43" i="1"/>
  <c r="BN43" i="1"/>
  <c r="AT43" i="1" s="1"/>
  <c r="AR44" i="1"/>
  <c r="AV44" i="1"/>
  <c r="AW44" i="1"/>
  <c r="AX44" i="1"/>
  <c r="AY44" i="1"/>
  <c r="BA44" i="1"/>
  <c r="BC44" i="1"/>
  <c r="BD44" i="1"/>
  <c r="BE44" i="1"/>
  <c r="BF44" i="1"/>
  <c r="BG44" i="1"/>
  <c r="BI44" i="1"/>
  <c r="BK44" i="1" s="1"/>
  <c r="BJ44" i="1"/>
  <c r="AS44" i="1" s="1"/>
  <c r="BL44" i="1"/>
  <c r="BN44" i="1" s="1"/>
  <c r="AT44" i="1" s="1"/>
  <c r="BM44" i="1"/>
  <c r="AR45" i="1"/>
  <c r="AV45" i="1"/>
  <c r="AW45" i="1"/>
  <c r="AX45" i="1"/>
  <c r="AY45" i="1"/>
  <c r="BA45" i="1"/>
  <c r="BB45" i="1"/>
  <c r="BC45" i="1"/>
  <c r="BD45" i="1"/>
  <c r="BE45" i="1"/>
  <c r="BG45" i="1"/>
  <c r="BH45" i="1"/>
  <c r="BI45" i="1"/>
  <c r="BJ45" i="1"/>
  <c r="AS45" i="1" s="1"/>
  <c r="BK45" i="1"/>
  <c r="BL45" i="1"/>
  <c r="BN45" i="1" s="1"/>
  <c r="AT45" i="1" s="1"/>
  <c r="BM45" i="1"/>
  <c r="AR46" i="1"/>
  <c r="AV46" i="1"/>
  <c r="AW46" i="1"/>
  <c r="AX46" i="1"/>
  <c r="AY46" i="1"/>
  <c r="BA46" i="1"/>
  <c r="BB46" i="1"/>
  <c r="BC46" i="1"/>
  <c r="BD46" i="1"/>
  <c r="BE46" i="1"/>
  <c r="BF46" i="1"/>
  <c r="BG46" i="1"/>
  <c r="BH46" i="1"/>
  <c r="BI46" i="1"/>
  <c r="BJ46" i="1"/>
  <c r="AS46" i="1" s="1"/>
  <c r="BK46" i="1"/>
  <c r="BL46" i="1"/>
  <c r="BN46" i="1" s="1"/>
  <c r="AT46" i="1" s="1"/>
  <c r="BM46" i="1"/>
  <c r="AR47" i="1"/>
  <c r="AV47" i="1"/>
  <c r="AW47" i="1"/>
  <c r="AX47" i="1"/>
  <c r="AY47" i="1"/>
  <c r="AZ47" i="1"/>
  <c r="BA47" i="1"/>
  <c r="BC47" i="1"/>
  <c r="BD47" i="1"/>
  <c r="BE47" i="1"/>
  <c r="BF47" i="1"/>
  <c r="BG47" i="1"/>
  <c r="BH47" i="1"/>
  <c r="BI47" i="1"/>
  <c r="BJ47" i="1"/>
  <c r="AS47" i="1" s="1"/>
  <c r="BK47" i="1"/>
  <c r="BL47" i="1"/>
  <c r="BN47" i="1" s="1"/>
  <c r="BM47" i="1"/>
  <c r="AT47" i="1" s="1"/>
  <c r="AR48" i="1"/>
  <c r="AV48" i="1"/>
  <c r="AW48" i="1"/>
  <c r="AX48" i="1"/>
  <c r="BA48" i="1"/>
  <c r="BB48" i="1"/>
  <c r="BC48" i="1"/>
  <c r="BD48" i="1"/>
  <c r="BE48" i="1"/>
  <c r="BF48" i="1"/>
  <c r="BG48" i="1"/>
  <c r="BH48" i="1"/>
  <c r="BI48" i="1"/>
  <c r="BJ48" i="1"/>
  <c r="AS48" i="1" s="1"/>
  <c r="BK48" i="1"/>
  <c r="BL48" i="1"/>
  <c r="BM48" i="1"/>
  <c r="AT48" i="1" s="1"/>
  <c r="BN48" i="1"/>
  <c r="AR49" i="1"/>
  <c r="AV49" i="1"/>
  <c r="AW49" i="1"/>
  <c r="AX49" i="1"/>
  <c r="AY49" i="1"/>
  <c r="BA49" i="1"/>
  <c r="BB49" i="1"/>
  <c r="BC49" i="1"/>
  <c r="BD49" i="1"/>
  <c r="BE49" i="1"/>
  <c r="BF49" i="1"/>
  <c r="BG49" i="1"/>
  <c r="BI49" i="1"/>
  <c r="BJ49" i="1"/>
  <c r="AS49" i="1" s="1"/>
  <c r="BK49" i="1"/>
  <c r="BL49" i="1"/>
  <c r="BM49" i="1"/>
  <c r="AT49" i="1" s="1"/>
  <c r="BN49" i="1"/>
  <c r="AR50" i="1"/>
  <c r="AV50" i="1"/>
  <c r="AW50" i="1"/>
  <c r="AX50" i="1"/>
  <c r="AY50" i="1"/>
  <c r="BA50" i="1"/>
  <c r="BB50" i="1"/>
  <c r="BC50" i="1"/>
  <c r="BD50" i="1"/>
  <c r="BE50" i="1"/>
  <c r="BG50" i="1"/>
  <c r="BH50" i="1"/>
  <c r="BI50" i="1"/>
  <c r="BK50" i="1" s="1"/>
  <c r="AS50" i="1" s="1"/>
  <c r="BJ50" i="1"/>
  <c r="BL50" i="1"/>
  <c r="BM50" i="1"/>
  <c r="AT50" i="1" s="1"/>
  <c r="BN50" i="1"/>
  <c r="AR51" i="1"/>
  <c r="AV51" i="1"/>
  <c r="AW51" i="1"/>
  <c r="AX51" i="1"/>
  <c r="AZ51" i="1"/>
  <c r="BA51" i="1"/>
  <c r="BB51" i="1"/>
  <c r="BC51" i="1"/>
  <c r="BE51" i="1"/>
  <c r="BF51" i="1"/>
  <c r="BG51" i="1"/>
  <c r="BH51" i="1"/>
  <c r="BI51" i="1"/>
  <c r="BK51" i="1" s="1"/>
  <c r="AS51" i="1" s="1"/>
  <c r="AU51" i="1" s="1"/>
  <c r="BJ51" i="1"/>
  <c r="BL51" i="1"/>
  <c r="BM51" i="1"/>
  <c r="BN51" i="1"/>
  <c r="AT51" i="1" s="1"/>
  <c r="AR52" i="1"/>
  <c r="AT52" i="1"/>
  <c r="AV52" i="1"/>
  <c r="AW52" i="1"/>
  <c r="AX52" i="1"/>
  <c r="AY52" i="1"/>
  <c r="BA52" i="1"/>
  <c r="BC52" i="1"/>
  <c r="BD52" i="1"/>
  <c r="BE52" i="1"/>
  <c r="BF52" i="1"/>
  <c r="BG52" i="1"/>
  <c r="BI52" i="1"/>
  <c r="BK52" i="1" s="1"/>
  <c r="BJ52" i="1"/>
  <c r="BL52" i="1"/>
  <c r="BM52" i="1"/>
  <c r="BN52" i="1"/>
  <c r="AR53" i="1"/>
  <c r="AV53" i="1"/>
  <c r="AW53" i="1"/>
  <c r="AX53" i="1"/>
  <c r="AY53" i="1"/>
  <c r="BA53" i="1"/>
  <c r="BB53" i="1"/>
  <c r="BC53" i="1"/>
  <c r="BD53" i="1"/>
  <c r="BE53" i="1"/>
  <c r="BG53" i="1"/>
  <c r="BH53" i="1"/>
  <c r="BI53" i="1"/>
  <c r="BJ53" i="1"/>
  <c r="AS53" i="1" s="1"/>
  <c r="BK53" i="1"/>
  <c r="BL53" i="1"/>
  <c r="BN53" i="1" s="1"/>
  <c r="AT53" i="1" s="1"/>
  <c r="BM53" i="1"/>
  <c r="AR54" i="1"/>
  <c r="AV54" i="1"/>
  <c r="AW54" i="1"/>
  <c r="AX54" i="1"/>
  <c r="AY54" i="1"/>
  <c r="BA54" i="1"/>
  <c r="BB54" i="1"/>
  <c r="BC54" i="1"/>
  <c r="BE54" i="1"/>
  <c r="BF54" i="1"/>
  <c r="BG54" i="1"/>
  <c r="BH54" i="1"/>
  <c r="BI54" i="1"/>
  <c r="BJ54" i="1"/>
  <c r="AS54" i="1" s="1"/>
  <c r="BK54" i="1"/>
  <c r="BL54" i="1"/>
  <c r="BN54" i="1" s="1"/>
  <c r="AT54" i="1" s="1"/>
  <c r="BM54" i="1"/>
  <c r="AR55" i="1"/>
  <c r="AV55" i="1"/>
  <c r="AW55" i="1"/>
  <c r="AY55" i="1"/>
  <c r="AZ55" i="1"/>
  <c r="BA55" i="1"/>
  <c r="BC55" i="1"/>
  <c r="BD55" i="1"/>
  <c r="BE55" i="1"/>
  <c r="BF55" i="1"/>
  <c r="BG55" i="1"/>
  <c r="BH55" i="1"/>
  <c r="BI55" i="1"/>
  <c r="BJ55" i="1"/>
  <c r="AS55" i="1" s="1"/>
  <c r="BK55" i="1"/>
  <c r="BL55" i="1"/>
  <c r="BN55" i="1" s="1"/>
  <c r="BM55" i="1"/>
  <c r="AR56" i="1"/>
  <c r="AV56" i="1"/>
  <c r="AW56" i="1"/>
  <c r="AX56" i="1"/>
  <c r="AZ56" i="1"/>
  <c r="BA56" i="1"/>
  <c r="BB56" i="1"/>
  <c r="BC56" i="1"/>
  <c r="BD56" i="1"/>
  <c r="BE56" i="1"/>
  <c r="BF56" i="1"/>
  <c r="BG56" i="1"/>
  <c r="BH56" i="1"/>
  <c r="BI56" i="1"/>
  <c r="BJ56" i="1"/>
  <c r="AS56" i="1" s="1"/>
  <c r="BK56" i="1"/>
  <c r="BL56" i="1"/>
  <c r="BM56" i="1"/>
  <c r="AT56" i="1" s="1"/>
  <c r="BN56" i="1"/>
  <c r="AR57" i="1"/>
  <c r="AV57" i="1"/>
  <c r="AW57" i="1"/>
  <c r="AX57" i="1"/>
  <c r="AY57" i="1"/>
  <c r="BA57" i="1"/>
  <c r="BB57" i="1"/>
  <c r="BC57" i="1"/>
  <c r="BD57" i="1"/>
  <c r="BE57" i="1"/>
  <c r="BF57" i="1"/>
  <c r="BG57" i="1"/>
  <c r="BI57" i="1"/>
  <c r="BJ57" i="1"/>
  <c r="AS57" i="1" s="1"/>
  <c r="BK57" i="1"/>
  <c r="BL57" i="1"/>
  <c r="BM57" i="1"/>
  <c r="AT57" i="1" s="1"/>
  <c r="BN57" i="1"/>
  <c r="AR58" i="1"/>
  <c r="AV58" i="1"/>
  <c r="AW58" i="1"/>
  <c r="AY58" i="1"/>
  <c r="BA58" i="1"/>
  <c r="BB58" i="1"/>
  <c r="BC58" i="1"/>
  <c r="BD58" i="1"/>
  <c r="BE58" i="1"/>
  <c r="BG58" i="1"/>
  <c r="BH58" i="1"/>
  <c r="BI58" i="1"/>
  <c r="BK58" i="1" s="1"/>
  <c r="AS58" i="1" s="1"/>
  <c r="BJ58" i="1"/>
  <c r="BL58" i="1"/>
  <c r="BM58" i="1"/>
  <c r="AT58" i="1" s="1"/>
  <c r="BN58" i="1"/>
  <c r="AR59" i="1"/>
  <c r="AV59" i="1"/>
  <c r="AW59" i="1"/>
  <c r="AX59" i="1"/>
  <c r="AZ59" i="1"/>
  <c r="BA59" i="1"/>
  <c r="BB59" i="1"/>
  <c r="BC59" i="1"/>
  <c r="BE59" i="1"/>
  <c r="BF59" i="1"/>
  <c r="BG59" i="1"/>
  <c r="BH59" i="1"/>
  <c r="BI59" i="1"/>
  <c r="BK59" i="1" s="1"/>
  <c r="AS59" i="1" s="1"/>
  <c r="BJ59" i="1"/>
  <c r="BL59" i="1"/>
  <c r="BM59" i="1"/>
  <c r="BN59" i="1"/>
  <c r="AT59" i="1" s="1"/>
  <c r="AR60" i="1"/>
  <c r="AT60" i="1"/>
  <c r="AV60" i="1"/>
  <c r="AW60" i="1"/>
  <c r="AX60" i="1"/>
  <c r="AY60" i="1"/>
  <c r="BA60" i="1"/>
  <c r="BC60" i="1"/>
  <c r="BD60" i="1"/>
  <c r="BE60" i="1"/>
  <c r="BF60" i="1"/>
  <c r="BG60" i="1"/>
  <c r="BI60" i="1"/>
  <c r="BK60" i="1" s="1"/>
  <c r="BJ60" i="1"/>
  <c r="AS60" i="1" s="1"/>
  <c r="BL60" i="1"/>
  <c r="BM60" i="1"/>
  <c r="BN60" i="1"/>
  <c r="AR61" i="1"/>
  <c r="AV61" i="1"/>
  <c r="AW61" i="1"/>
  <c r="AX61" i="1"/>
  <c r="AY61" i="1"/>
  <c r="BA61" i="1"/>
  <c r="BB61" i="1"/>
  <c r="BC61" i="1"/>
  <c r="BD61" i="1"/>
  <c r="BE61" i="1"/>
  <c r="BF61" i="1"/>
  <c r="BG61" i="1"/>
  <c r="BH61" i="1"/>
  <c r="BI61" i="1"/>
  <c r="BJ61" i="1"/>
  <c r="AS61" i="1" s="1"/>
  <c r="BK61" i="1"/>
  <c r="BL61" i="1"/>
  <c r="BN61" i="1" s="1"/>
  <c r="AT61" i="1" s="1"/>
  <c r="BM61" i="1"/>
  <c r="AR62" i="1"/>
  <c r="AV62" i="1"/>
  <c r="AW62" i="1"/>
  <c r="AX62" i="1"/>
  <c r="AY62" i="1"/>
  <c r="BA62" i="1"/>
  <c r="BB62" i="1"/>
  <c r="BC62" i="1"/>
  <c r="BE62" i="1"/>
  <c r="BF62" i="1"/>
  <c r="BG62" i="1"/>
  <c r="BH62" i="1"/>
  <c r="BI62" i="1"/>
  <c r="BJ62" i="1"/>
  <c r="AS62" i="1" s="1"/>
  <c r="BK62" i="1"/>
  <c r="BL62" i="1"/>
  <c r="BN62" i="1" s="1"/>
  <c r="AT62" i="1" s="1"/>
  <c r="BM62" i="1"/>
  <c r="AR63" i="1"/>
  <c r="AV63" i="1"/>
  <c r="AW63" i="1"/>
  <c r="AY63" i="1"/>
  <c r="AZ63" i="1"/>
  <c r="BA63" i="1"/>
  <c r="BC63" i="1"/>
  <c r="BD63" i="1"/>
  <c r="BE63" i="1"/>
  <c r="BF63" i="1"/>
  <c r="BG63" i="1"/>
  <c r="BH63" i="1"/>
  <c r="BI63" i="1"/>
  <c r="BJ63" i="1"/>
  <c r="AS63" i="1" s="1"/>
  <c r="BK63" i="1"/>
  <c r="BL63" i="1"/>
  <c r="BN63" i="1" s="1"/>
  <c r="BM63" i="1"/>
  <c r="AT63" i="1" s="1"/>
  <c r="AR64" i="1"/>
  <c r="AV64" i="1"/>
  <c r="AW64" i="1"/>
  <c r="AX64" i="1"/>
  <c r="AZ64" i="1"/>
  <c r="BA64" i="1"/>
  <c r="BC64" i="1"/>
  <c r="BD64" i="1"/>
  <c r="BE64" i="1"/>
  <c r="BF64" i="1"/>
  <c r="BG64" i="1"/>
  <c r="BH64" i="1"/>
  <c r="BI64" i="1"/>
  <c r="BJ64" i="1"/>
  <c r="AS64" i="1" s="1"/>
  <c r="BK64" i="1"/>
  <c r="BL64" i="1"/>
  <c r="BM64" i="1"/>
  <c r="AT64" i="1" s="1"/>
  <c r="BN64" i="1"/>
  <c r="AR65" i="1"/>
  <c r="AV65" i="1"/>
  <c r="AW65" i="1"/>
  <c r="AY65" i="1"/>
  <c r="BA65" i="1"/>
  <c r="BB65" i="1"/>
  <c r="BC65" i="1"/>
  <c r="BD65" i="1"/>
  <c r="BE65" i="1"/>
  <c r="BF65" i="1"/>
  <c r="BG65" i="1"/>
  <c r="BI65" i="1"/>
  <c r="BK65" i="1" s="1"/>
  <c r="BJ65" i="1"/>
  <c r="AS65" i="1" s="1"/>
  <c r="BL65" i="1"/>
  <c r="BM65" i="1"/>
  <c r="AT65" i="1" s="1"/>
  <c r="BN65" i="1"/>
  <c r="AR66" i="1"/>
  <c r="AV66" i="1"/>
  <c r="AW66" i="1"/>
  <c r="AX66" i="1"/>
  <c r="BA66" i="1"/>
  <c r="BB66" i="1"/>
  <c r="BC66" i="1"/>
  <c r="BD66" i="1"/>
  <c r="BE66" i="1"/>
  <c r="BF66" i="1"/>
  <c r="BG66" i="1"/>
  <c r="BH66" i="1"/>
  <c r="BI66" i="1"/>
  <c r="BK66" i="1" s="1"/>
  <c r="AS66" i="1" s="1"/>
  <c r="BJ66" i="1"/>
  <c r="BL66" i="1"/>
  <c r="BM66" i="1"/>
  <c r="AT66" i="1" s="1"/>
  <c r="BN66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CJ7" i="1"/>
  <c r="CN7" i="1" s="1"/>
  <c r="CN36" i="1"/>
  <c r="CN44" i="1"/>
  <c r="CN60" i="1"/>
  <c r="CN62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4" i="1"/>
  <c r="CK5" i="1"/>
  <c r="CJ6" i="1"/>
  <c r="CK6" i="1"/>
  <c r="CK7" i="1"/>
  <c r="CJ8" i="1"/>
  <c r="CN8" i="1" s="1"/>
  <c r="CK8" i="1"/>
  <c r="CJ9" i="1"/>
  <c r="CN9" i="1" s="1"/>
  <c r="CK9" i="1"/>
  <c r="CJ10" i="1"/>
  <c r="CN10" i="1" s="1"/>
  <c r="CJ15" i="1"/>
  <c r="CN15" i="1" s="1"/>
  <c r="CK15" i="1"/>
  <c r="CJ16" i="1"/>
  <c r="CN16" i="1" s="1"/>
  <c r="CK16" i="1"/>
  <c r="CJ17" i="1"/>
  <c r="CN17" i="1" s="1"/>
  <c r="CK17" i="1"/>
  <c r="CJ23" i="1"/>
  <c r="CN23" i="1" s="1"/>
  <c r="CK23" i="1"/>
  <c r="CJ24" i="1"/>
  <c r="CN24" i="1" s="1"/>
  <c r="CK24" i="1"/>
  <c r="CJ25" i="1"/>
  <c r="CN25" i="1" s="1"/>
  <c r="CJ29" i="1"/>
  <c r="CN29" i="1" s="1"/>
  <c r="CK29" i="1"/>
  <c r="CJ30" i="1"/>
  <c r="CN30" i="1" s="1"/>
  <c r="CK30" i="1"/>
  <c r="CJ36" i="1"/>
  <c r="CK36" i="1"/>
  <c r="CJ37" i="1"/>
  <c r="CN37" i="1" s="1"/>
  <c r="CK37" i="1"/>
  <c r="CJ38" i="1"/>
  <c r="CN38" i="1" s="1"/>
  <c r="CK38" i="1"/>
  <c r="CK41" i="1"/>
  <c r="CJ44" i="1"/>
  <c r="CK44" i="1"/>
  <c r="CJ45" i="1"/>
  <c r="CN45" i="1" s="1"/>
  <c r="CK45" i="1"/>
  <c r="CJ46" i="1"/>
  <c r="CN46" i="1" s="1"/>
  <c r="CK46" i="1"/>
  <c r="CJ47" i="1"/>
  <c r="CN47" i="1" s="1"/>
  <c r="CK47" i="1"/>
  <c r="CK48" i="1"/>
  <c r="CJ49" i="1"/>
  <c r="CN49" i="1" s="1"/>
  <c r="CJ52" i="1"/>
  <c r="CN52" i="1" s="1"/>
  <c r="CK52" i="1"/>
  <c r="CJ53" i="1"/>
  <c r="CN53" i="1" s="1"/>
  <c r="CK53" i="1"/>
  <c r="CJ54" i="1"/>
  <c r="CN54" i="1" s="1"/>
  <c r="CK54" i="1"/>
  <c r="CJ55" i="1"/>
  <c r="CN55" i="1" s="1"/>
  <c r="CJ60" i="1"/>
  <c r="CK60" i="1"/>
  <c r="CJ61" i="1"/>
  <c r="CN61" i="1" s="1"/>
  <c r="CK61" i="1"/>
  <c r="CJ62" i="1"/>
  <c r="CK62" i="1"/>
  <c r="CK63" i="1"/>
  <c r="CK64" i="1"/>
  <c r="CJ65" i="1"/>
  <c r="CN65" i="1" s="1"/>
  <c r="CK65" i="1"/>
  <c r="CF5" i="1"/>
  <c r="CG5" i="1"/>
  <c r="CE6" i="1"/>
  <c r="CF6" i="1"/>
  <c r="CG6" i="1"/>
  <c r="CE7" i="1"/>
  <c r="CF7" i="1"/>
  <c r="CG7" i="1"/>
  <c r="CE8" i="1"/>
  <c r="CF8" i="1"/>
  <c r="CG8" i="1"/>
  <c r="CE9" i="1"/>
  <c r="CF9" i="1"/>
  <c r="CG9" i="1"/>
  <c r="CF10" i="1"/>
  <c r="CG10" i="1"/>
  <c r="CF11" i="1"/>
  <c r="CG11" i="1"/>
  <c r="CF12" i="1"/>
  <c r="CG12" i="1"/>
  <c r="CF13" i="1"/>
  <c r="CG13" i="1"/>
  <c r="CF14" i="1"/>
  <c r="CG14" i="1"/>
  <c r="CE15" i="1"/>
  <c r="CF15" i="1"/>
  <c r="CG15" i="1"/>
  <c r="CE16" i="1"/>
  <c r="CF16" i="1"/>
  <c r="CG16" i="1"/>
  <c r="CF17" i="1"/>
  <c r="CG17" i="1"/>
  <c r="CE18" i="1"/>
  <c r="CF18" i="1"/>
  <c r="CG18" i="1"/>
  <c r="CF19" i="1"/>
  <c r="CG19" i="1"/>
  <c r="CF20" i="1"/>
  <c r="CG20" i="1"/>
  <c r="CF21" i="1"/>
  <c r="CG21" i="1"/>
  <c r="CF22" i="1"/>
  <c r="CG22" i="1"/>
  <c r="CF23" i="1"/>
  <c r="CG23" i="1"/>
  <c r="CE24" i="1"/>
  <c r="CF24" i="1"/>
  <c r="CG24" i="1"/>
  <c r="CF25" i="1"/>
  <c r="CG25" i="1"/>
  <c r="CE26" i="1"/>
  <c r="CF26" i="1"/>
  <c r="CG26" i="1"/>
  <c r="CF27" i="1"/>
  <c r="CG27" i="1"/>
  <c r="CF28" i="1"/>
  <c r="CG28" i="1"/>
  <c r="CE29" i="1"/>
  <c r="CF29" i="1"/>
  <c r="CG29" i="1"/>
  <c r="CE30" i="1"/>
  <c r="CF30" i="1"/>
  <c r="CG30" i="1"/>
  <c r="CF31" i="1"/>
  <c r="CG31" i="1"/>
  <c r="CE32" i="1"/>
  <c r="CF32" i="1"/>
  <c r="CG32" i="1"/>
  <c r="CF33" i="1"/>
  <c r="CG33" i="1"/>
  <c r="CF34" i="1"/>
  <c r="CG34" i="1"/>
  <c r="CF35" i="1"/>
  <c r="CG35" i="1"/>
  <c r="CE36" i="1"/>
  <c r="CF36" i="1"/>
  <c r="CG36" i="1"/>
  <c r="CE37" i="1"/>
  <c r="CF37" i="1"/>
  <c r="CG37" i="1"/>
  <c r="CE38" i="1"/>
  <c r="CF38" i="1"/>
  <c r="CG38" i="1"/>
  <c r="CE39" i="1"/>
  <c r="CF39" i="1"/>
  <c r="CG39" i="1"/>
  <c r="CF40" i="1"/>
  <c r="CG40" i="1"/>
  <c r="CF41" i="1"/>
  <c r="CG41" i="1"/>
  <c r="CF42" i="1"/>
  <c r="CG42" i="1"/>
  <c r="CF43" i="1"/>
  <c r="CG43" i="1"/>
  <c r="CE44" i="1"/>
  <c r="CF44" i="1"/>
  <c r="CG44" i="1"/>
  <c r="CE45" i="1"/>
  <c r="CF45" i="1"/>
  <c r="CG45" i="1"/>
  <c r="CE46" i="1"/>
  <c r="CF46" i="1"/>
  <c r="CG46" i="1"/>
  <c r="CF47" i="1"/>
  <c r="CG47" i="1"/>
  <c r="CF48" i="1"/>
  <c r="CG48" i="1"/>
  <c r="CF49" i="1"/>
  <c r="CG49" i="1"/>
  <c r="CF50" i="1"/>
  <c r="CG50" i="1"/>
  <c r="CF51" i="1"/>
  <c r="CG51" i="1"/>
  <c r="CE52" i="1"/>
  <c r="CF52" i="1"/>
  <c r="CG52" i="1"/>
  <c r="CH52" i="1"/>
  <c r="CE53" i="1"/>
  <c r="CF53" i="1"/>
  <c r="CG53" i="1"/>
  <c r="CE54" i="1"/>
  <c r="CF54" i="1"/>
  <c r="CG54" i="1"/>
  <c r="CE55" i="1"/>
  <c r="CF55" i="1"/>
  <c r="CG55" i="1"/>
  <c r="CF56" i="1"/>
  <c r="CG56" i="1"/>
  <c r="CF57" i="1"/>
  <c r="CG57" i="1"/>
  <c r="CF58" i="1"/>
  <c r="CG58" i="1"/>
  <c r="CF59" i="1"/>
  <c r="CG59" i="1"/>
  <c r="CE60" i="1"/>
  <c r="CF60" i="1"/>
  <c r="CG60" i="1"/>
  <c r="CE61" i="1"/>
  <c r="CF61" i="1"/>
  <c r="CG61" i="1"/>
  <c r="CE62" i="1"/>
  <c r="CF62" i="1"/>
  <c r="CG62" i="1"/>
  <c r="CE63" i="1"/>
  <c r="CF63" i="1"/>
  <c r="CG63" i="1"/>
  <c r="CE64" i="1"/>
  <c r="CF64" i="1"/>
  <c r="CG64" i="1"/>
  <c r="CF65" i="1"/>
  <c r="CG65" i="1"/>
  <c r="CF66" i="1"/>
  <c r="CG66" i="1"/>
  <c r="CG4" i="1"/>
  <c r="CF4" i="1"/>
  <c r="CD5" i="1"/>
  <c r="CD36" i="1"/>
  <c r="CH36" i="1" s="1"/>
  <c r="CP36" i="1" s="1"/>
  <c r="CD52" i="1"/>
  <c r="CD53" i="1"/>
  <c r="CH53" i="1" s="1"/>
  <c r="BZ5" i="1"/>
  <c r="BZ6" i="1"/>
  <c r="CD6" i="1" s="1"/>
  <c r="BZ7" i="1"/>
  <c r="CD7" i="1" s="1"/>
  <c r="BZ8" i="1"/>
  <c r="CD8" i="1" s="1"/>
  <c r="CH8" i="1" s="1"/>
  <c r="CP8" i="1" s="1"/>
  <c r="BZ15" i="1"/>
  <c r="CD15" i="1" s="1"/>
  <c r="CH15" i="1" s="1"/>
  <c r="BZ16" i="1"/>
  <c r="CD16" i="1" s="1"/>
  <c r="CH16" i="1" s="1"/>
  <c r="CP16" i="1" s="1"/>
  <c r="BZ17" i="1"/>
  <c r="CD17" i="1" s="1"/>
  <c r="BZ23" i="1"/>
  <c r="CD23" i="1" s="1"/>
  <c r="BZ24" i="1"/>
  <c r="CD24" i="1" s="1"/>
  <c r="CH24" i="1" s="1"/>
  <c r="CP24" i="1" s="1"/>
  <c r="BZ25" i="1"/>
  <c r="CD25" i="1" s="1"/>
  <c r="BZ26" i="1"/>
  <c r="CD26" i="1" s="1"/>
  <c r="CH26" i="1" s="1"/>
  <c r="BZ27" i="1"/>
  <c r="CD27" i="1" s="1"/>
  <c r="BZ30" i="1"/>
  <c r="CD30" i="1" s="1"/>
  <c r="CH30" i="1" s="1"/>
  <c r="BZ36" i="1"/>
  <c r="BZ37" i="1"/>
  <c r="CD37" i="1" s="1"/>
  <c r="CH37" i="1" s="1"/>
  <c r="CP37" i="1" s="1"/>
  <c r="BZ38" i="1"/>
  <c r="CD38" i="1" s="1"/>
  <c r="CH38" i="1" s="1"/>
  <c r="BZ39" i="1"/>
  <c r="CD39" i="1" s="1"/>
  <c r="CH39" i="1" s="1"/>
  <c r="BZ44" i="1"/>
  <c r="CD44" i="1" s="1"/>
  <c r="CH44" i="1" s="1"/>
  <c r="CP44" i="1" s="1"/>
  <c r="BZ45" i="1"/>
  <c r="CD45" i="1" s="1"/>
  <c r="CH45" i="1" s="1"/>
  <c r="CP45" i="1" s="1"/>
  <c r="BZ46" i="1"/>
  <c r="CD46" i="1" s="1"/>
  <c r="BZ52" i="1"/>
  <c r="BZ53" i="1"/>
  <c r="BZ54" i="1"/>
  <c r="CD54" i="1" s="1"/>
  <c r="CH54" i="1" s="1"/>
  <c r="BZ55" i="1"/>
  <c r="CD55" i="1" s="1"/>
  <c r="BZ60" i="1"/>
  <c r="CD60" i="1" s="1"/>
  <c r="CH60" i="1" s="1"/>
  <c r="CP60" i="1" s="1"/>
  <c r="BZ61" i="1"/>
  <c r="CD61" i="1" s="1"/>
  <c r="CH61" i="1" s="1"/>
  <c r="BZ62" i="1"/>
  <c r="CD62" i="1" s="1"/>
  <c r="CH62" i="1" s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4" i="1"/>
  <c r="R4" i="1" a="1"/>
  <c r="R4" i="1" s="1"/>
  <c r="BG7" i="1"/>
  <c r="BE7" i="1"/>
  <c r="BC7" i="1"/>
  <c r="BA7" i="1"/>
  <c r="AW7" i="1"/>
  <c r="AV7" i="1"/>
  <c r="AR7" i="1"/>
  <c r="AQ7" i="1"/>
  <c r="BG6" i="1"/>
  <c r="BE6" i="1"/>
  <c r="BC6" i="1"/>
  <c r="BA6" i="1"/>
  <c r="AW6" i="1"/>
  <c r="AV6" i="1"/>
  <c r="AR6" i="1"/>
  <c r="AQ6" i="1"/>
  <c r="BG5" i="1"/>
  <c r="BE5" i="1"/>
  <c r="BC5" i="1"/>
  <c r="BA5" i="1"/>
  <c r="AW5" i="1"/>
  <c r="AV5" i="1"/>
  <c r="AR5" i="1"/>
  <c r="AQ5" i="1"/>
  <c r="BG4" i="1"/>
  <c r="BE4" i="1"/>
  <c r="BC4" i="1"/>
  <c r="BA4" i="1"/>
  <c r="AW4" i="1"/>
  <c r="AV4" i="1"/>
  <c r="AR4" i="1"/>
  <c r="AQ4" i="1"/>
  <c r="AU34" i="1" l="1"/>
  <c r="AU24" i="1"/>
  <c r="AU9" i="1"/>
  <c r="AU65" i="1"/>
  <c r="AU60" i="1"/>
  <c r="AU58" i="1"/>
  <c r="AU53" i="1"/>
  <c r="AU46" i="1"/>
  <c r="AU38" i="1"/>
  <c r="AU25" i="1"/>
  <c r="AU20" i="1"/>
  <c r="AU18" i="1"/>
  <c r="AU13" i="1"/>
  <c r="AU8" i="1"/>
  <c r="AU48" i="1"/>
  <c r="AU40" i="1"/>
  <c r="AU27" i="1"/>
  <c r="AT31" i="1"/>
  <c r="AU29" i="1"/>
  <c r="AU22" i="1"/>
  <c r="AU12" i="1"/>
  <c r="AU62" i="1"/>
  <c r="AU57" i="1"/>
  <c r="AS52" i="1"/>
  <c r="AU52" i="1" s="1"/>
  <c r="AU50" i="1"/>
  <c r="AU45" i="1"/>
  <c r="AU37" i="1"/>
  <c r="AT33" i="1"/>
  <c r="AU33" i="1" s="1"/>
  <c r="AU17" i="1"/>
  <c r="AU61" i="1"/>
  <c r="AU59" i="1"/>
  <c r="AU54" i="1"/>
  <c r="AU47" i="1"/>
  <c r="AU44" i="1"/>
  <c r="AU39" i="1"/>
  <c r="AU36" i="1"/>
  <c r="AU26" i="1"/>
  <c r="AU21" i="1"/>
  <c r="AU19" i="1"/>
  <c r="AU14" i="1"/>
  <c r="AU66" i="1"/>
  <c r="AU49" i="1"/>
  <c r="AU41" i="1"/>
  <c r="AU16" i="1"/>
  <c r="AU11" i="1"/>
  <c r="AU64" i="1"/>
  <c r="AU42" i="1"/>
  <c r="AU31" i="1"/>
  <c r="AU63" i="1"/>
  <c r="AU56" i="1"/>
  <c r="AT55" i="1"/>
  <c r="AU55" i="1" s="1"/>
  <c r="AU30" i="1"/>
  <c r="AU23" i="1"/>
  <c r="AT15" i="1"/>
  <c r="AU15" i="1" s="1"/>
  <c r="CP52" i="1"/>
  <c r="CJ5" i="1"/>
  <c r="CN5" i="1" s="1"/>
  <c r="BZ10" i="1"/>
  <c r="CD10" i="1" s="1"/>
  <c r="CK57" i="1"/>
  <c r="CK40" i="1"/>
  <c r="CJ27" i="1"/>
  <c r="CN27" i="1" s="1"/>
  <c r="CP62" i="1"/>
  <c r="CH46" i="1"/>
  <c r="CP46" i="1" s="1"/>
  <c r="BZ31" i="1"/>
  <c r="CD31" i="1" s="1"/>
  <c r="BZ18" i="1"/>
  <c r="CD18" i="1" s="1"/>
  <c r="CH18" i="1" s="1"/>
  <c r="CH7" i="1"/>
  <c r="CE47" i="1"/>
  <c r="CE5" i="1"/>
  <c r="CK55" i="1"/>
  <c r="CK49" i="1"/>
  <c r="CJ31" i="1"/>
  <c r="CN31" i="1" s="1"/>
  <c r="CK25" i="1"/>
  <c r="CJ18" i="1"/>
  <c r="CN18" i="1" s="1"/>
  <c r="CK10" i="1"/>
  <c r="CP38" i="1"/>
  <c r="BZ9" i="1"/>
  <c r="CD9" i="1" s="1"/>
  <c r="CH9" i="1" s="1"/>
  <c r="CP9" i="1" s="1"/>
  <c r="CJ63" i="1"/>
  <c r="CN63" i="1" s="1"/>
  <c r="CJ57" i="1"/>
  <c r="CN57" i="1" s="1"/>
  <c r="CK39" i="1"/>
  <c r="CK33" i="1"/>
  <c r="CK26" i="1"/>
  <c r="CJ19" i="1"/>
  <c r="CN19" i="1" s="1"/>
  <c r="CH5" i="1"/>
  <c r="CP5" i="1" s="1"/>
  <c r="CH55" i="1"/>
  <c r="CP55" i="1" s="1"/>
  <c r="CP54" i="1"/>
  <c r="BZ11" i="1"/>
  <c r="CD11" i="1" s="1"/>
  <c r="CJ64" i="1"/>
  <c r="CN64" i="1" s="1"/>
  <c r="CJ41" i="1"/>
  <c r="CN41" i="1" s="1"/>
  <c r="CE48" i="1"/>
  <c r="BZ63" i="1"/>
  <c r="CD63" i="1" s="1"/>
  <c r="CH63" i="1" s="1"/>
  <c r="CP63" i="1" s="1"/>
  <c r="BZ47" i="1"/>
  <c r="CD47" i="1" s="1"/>
  <c r="CH47" i="1" s="1"/>
  <c r="CP47" i="1" s="1"/>
  <c r="BZ32" i="1"/>
  <c r="CD32" i="1" s="1"/>
  <c r="CH32" i="1" s="1"/>
  <c r="BZ19" i="1"/>
  <c r="CD19" i="1" s="1"/>
  <c r="CE56" i="1"/>
  <c r="CE20" i="1"/>
  <c r="CE17" i="1"/>
  <c r="CH17" i="1" s="1"/>
  <c r="CP17" i="1" s="1"/>
  <c r="CE11" i="1"/>
  <c r="CK56" i="1"/>
  <c r="CJ39" i="1"/>
  <c r="CN39" i="1" s="1"/>
  <c r="CP39" i="1" s="1"/>
  <c r="CJ33" i="1"/>
  <c r="CN33" i="1" s="1"/>
  <c r="CJ26" i="1"/>
  <c r="CN26" i="1" s="1"/>
  <c r="CK18" i="1"/>
  <c r="CJ11" i="1"/>
  <c r="CN11" i="1" s="1"/>
  <c r="CJ4" i="1"/>
  <c r="CE4" i="1"/>
  <c r="CK4" i="1"/>
  <c r="BZ4" i="1"/>
  <c r="CD4" i="1" s="1"/>
  <c r="CH4" i="1" s="1"/>
  <c r="CP61" i="1"/>
  <c r="CP53" i="1"/>
  <c r="BZ35" i="1"/>
  <c r="CD35" i="1" s="1"/>
  <c r="CE66" i="1"/>
  <c r="CE58" i="1"/>
  <c r="CE34" i="1"/>
  <c r="CJ56" i="1"/>
  <c r="CN56" i="1" s="1"/>
  <c r="CJ48" i="1"/>
  <c r="CN48" i="1" s="1"/>
  <c r="CJ40" i="1"/>
  <c r="CN40" i="1" s="1"/>
  <c r="CE65" i="1"/>
  <c r="CE59" i="1"/>
  <c r="CE57" i="1"/>
  <c r="CE51" i="1"/>
  <c r="CE49" i="1"/>
  <c r="CE43" i="1"/>
  <c r="CE41" i="1"/>
  <c r="CE35" i="1"/>
  <c r="CE33" i="1"/>
  <c r="CJ66" i="1"/>
  <c r="CN66" i="1" s="1"/>
  <c r="CJ58" i="1"/>
  <c r="CN58" i="1" s="1"/>
  <c r="CJ50" i="1"/>
  <c r="CN50" i="1" s="1"/>
  <c r="CJ42" i="1"/>
  <c r="CN42" i="1" s="1"/>
  <c r="CJ34" i="1"/>
  <c r="CN34" i="1" s="1"/>
  <c r="BZ59" i="1"/>
  <c r="CD59" i="1" s="1"/>
  <c r="CH59" i="1" s="1"/>
  <c r="CP59" i="1" s="1"/>
  <c r="CE42" i="1"/>
  <c r="BZ66" i="1"/>
  <c r="CD66" i="1" s="1"/>
  <c r="BZ58" i="1"/>
  <c r="CD58" i="1" s="1"/>
  <c r="BZ50" i="1"/>
  <c r="CD50" i="1" s="1"/>
  <c r="BZ42" i="1"/>
  <c r="CD42" i="1" s="1"/>
  <c r="BZ34" i="1"/>
  <c r="CD34" i="1" s="1"/>
  <c r="CH34" i="1" s="1"/>
  <c r="CK59" i="1"/>
  <c r="CK51" i="1"/>
  <c r="CK43" i="1"/>
  <c r="CK35" i="1"/>
  <c r="BZ51" i="1"/>
  <c r="CD51" i="1" s="1"/>
  <c r="CE50" i="1"/>
  <c r="CE40" i="1"/>
  <c r="BZ65" i="1"/>
  <c r="CD65" i="1" s="1"/>
  <c r="CH65" i="1" s="1"/>
  <c r="CP65" i="1" s="1"/>
  <c r="BZ57" i="1"/>
  <c r="CD57" i="1" s="1"/>
  <c r="CH57" i="1" s="1"/>
  <c r="CP57" i="1" s="1"/>
  <c r="BZ49" i="1"/>
  <c r="CD49" i="1" s="1"/>
  <c r="CH49" i="1" s="1"/>
  <c r="CP49" i="1" s="1"/>
  <c r="BZ41" i="1"/>
  <c r="CD41" i="1" s="1"/>
  <c r="BZ33" i="1"/>
  <c r="CD33" i="1" s="1"/>
  <c r="CH33" i="1" s="1"/>
  <c r="CJ59" i="1"/>
  <c r="CN59" i="1" s="1"/>
  <c r="CJ51" i="1"/>
  <c r="CN51" i="1" s="1"/>
  <c r="CJ43" i="1"/>
  <c r="CN43" i="1" s="1"/>
  <c r="CJ35" i="1"/>
  <c r="CN35" i="1" s="1"/>
  <c r="BZ43" i="1"/>
  <c r="CD43" i="1" s="1"/>
  <c r="CH43" i="1" s="1"/>
  <c r="CP43" i="1" s="1"/>
  <c r="BZ64" i="1"/>
  <c r="CD64" i="1" s="1"/>
  <c r="CH64" i="1" s="1"/>
  <c r="CP64" i="1" s="1"/>
  <c r="BZ56" i="1"/>
  <c r="CD56" i="1" s="1"/>
  <c r="CH56" i="1" s="1"/>
  <c r="BZ48" i="1"/>
  <c r="CD48" i="1" s="1"/>
  <c r="CH48" i="1" s="1"/>
  <c r="BZ40" i="1"/>
  <c r="CD40" i="1" s="1"/>
  <c r="CK66" i="1"/>
  <c r="CK58" i="1"/>
  <c r="CK50" i="1"/>
  <c r="CK42" i="1"/>
  <c r="CK34" i="1"/>
  <c r="CP26" i="1"/>
  <c r="CE13" i="1"/>
  <c r="CP30" i="1"/>
  <c r="CE22" i="1"/>
  <c r="CK22" i="1"/>
  <c r="CK14" i="1"/>
  <c r="CK21" i="1"/>
  <c r="BZ14" i="1"/>
  <c r="CD14" i="1" s="1"/>
  <c r="CH14" i="1" s="1"/>
  <c r="CP14" i="1" s="1"/>
  <c r="CE21" i="1"/>
  <c r="CE10" i="1"/>
  <c r="CK32" i="1"/>
  <c r="BZ29" i="1"/>
  <c r="CD29" i="1" s="1"/>
  <c r="CH29" i="1" s="1"/>
  <c r="CP29" i="1" s="1"/>
  <c r="BZ21" i="1"/>
  <c r="CD21" i="1" s="1"/>
  <c r="BZ13" i="1"/>
  <c r="CD13" i="1" s="1"/>
  <c r="CH13" i="1" s="1"/>
  <c r="CP13" i="1" s="1"/>
  <c r="CE25" i="1"/>
  <c r="CH25" i="1" s="1"/>
  <c r="CP25" i="1" s="1"/>
  <c r="CE23" i="1"/>
  <c r="CH23" i="1" s="1"/>
  <c r="CP23" i="1" s="1"/>
  <c r="CE14" i="1"/>
  <c r="CE12" i="1"/>
  <c r="CJ32" i="1"/>
  <c r="CN32" i="1" s="1"/>
  <c r="CJ28" i="1"/>
  <c r="CN28" i="1" s="1"/>
  <c r="CJ20" i="1"/>
  <c r="CN20" i="1" s="1"/>
  <c r="CJ12" i="1"/>
  <c r="CN12" i="1" s="1"/>
  <c r="CP18" i="1"/>
  <c r="CP15" i="1"/>
  <c r="CJ22" i="1"/>
  <c r="CN22" i="1" s="1"/>
  <c r="CJ14" i="1"/>
  <c r="CN14" i="1" s="1"/>
  <c r="CE28" i="1"/>
  <c r="CK13" i="1"/>
  <c r="CJ21" i="1"/>
  <c r="CN21" i="1" s="1"/>
  <c r="CJ13" i="1"/>
  <c r="CN13" i="1" s="1"/>
  <c r="BZ22" i="1"/>
  <c r="CD22" i="1" s="1"/>
  <c r="CH22" i="1" s="1"/>
  <c r="CP22" i="1" s="1"/>
  <c r="CE19" i="1"/>
  <c r="CH19" i="1" s="1"/>
  <c r="CP19" i="1" s="1"/>
  <c r="CK28" i="1"/>
  <c r="CK20" i="1"/>
  <c r="CK12" i="1"/>
  <c r="BZ28" i="1"/>
  <c r="CD28" i="1" s="1"/>
  <c r="CH28" i="1" s="1"/>
  <c r="CP28" i="1" s="1"/>
  <c r="BZ20" i="1"/>
  <c r="CD20" i="1" s="1"/>
  <c r="CH20" i="1" s="1"/>
  <c r="CP20" i="1" s="1"/>
  <c r="BZ12" i="1"/>
  <c r="CD12" i="1" s="1"/>
  <c r="CH12" i="1" s="1"/>
  <c r="CP12" i="1" s="1"/>
  <c r="CE31" i="1"/>
  <c r="CH31" i="1" s="1"/>
  <c r="CP31" i="1" s="1"/>
  <c r="CE27" i="1"/>
  <c r="CH27" i="1" s="1"/>
  <c r="CP27" i="1" s="1"/>
  <c r="CK31" i="1"/>
  <c r="CK27" i="1"/>
  <c r="CK19" i="1"/>
  <c r="CK11" i="1"/>
  <c r="CN6" i="1"/>
  <c r="CH6" i="1"/>
  <c r="CP6" i="1" s="1"/>
  <c r="CP7" i="1"/>
  <c r="BQ7" i="1"/>
  <c r="AY7" i="1" s="1"/>
  <c r="BV5" i="1"/>
  <c r="BF5" i="1" s="1"/>
  <c r="A3" i="3"/>
  <c r="CP33" i="1" l="1"/>
  <c r="CH21" i="1"/>
  <c r="CP21" i="1" s="1"/>
  <c r="CH42" i="1"/>
  <c r="CP42" i="1" s="1"/>
  <c r="CP32" i="1"/>
  <c r="CP34" i="1"/>
  <c r="CH10" i="1"/>
  <c r="CP10" i="1" s="1"/>
  <c r="CH11" i="1"/>
  <c r="CP11" i="1" s="1"/>
  <c r="CN4" i="1"/>
  <c r="CP4" i="1" s="1"/>
  <c r="CH50" i="1"/>
  <c r="CP50" i="1" s="1"/>
  <c r="CH40" i="1"/>
  <c r="CP40" i="1" s="1"/>
  <c r="CH51" i="1"/>
  <c r="CP51" i="1" s="1"/>
  <c r="CH58" i="1"/>
  <c r="CP58" i="1" s="1"/>
  <c r="CH35" i="1"/>
  <c r="CP35" i="1" s="1"/>
  <c r="CP48" i="1"/>
  <c r="CH66" i="1"/>
  <c r="CP66" i="1" s="1"/>
  <c r="CP56" i="1"/>
  <c r="CH41" i="1"/>
  <c r="CP41" i="1" s="1"/>
  <c r="BU7" i="1"/>
  <c r="BD7" i="1" s="1"/>
  <c r="BR5" i="1"/>
  <c r="AX5" i="1" s="1"/>
  <c r="BU5" i="1"/>
  <c r="BD5" i="1" s="1"/>
  <c r="BS5" i="1" a="1"/>
  <c r="BS5" i="1" s="1"/>
  <c r="AZ5" i="1" s="1"/>
  <c r="BR7" i="1"/>
  <c r="AX7" i="1" s="1"/>
  <c r="BW7" i="1"/>
  <c r="BH7" i="1" s="1"/>
  <c r="BW5" i="1"/>
  <c r="BH5" i="1" s="1"/>
  <c r="BQ4" i="1"/>
  <c r="AY4" i="1" s="1"/>
  <c r="BQ5" i="1"/>
  <c r="AY5" i="1" s="1"/>
  <c r="BT5" i="1"/>
  <c r="BB5" i="1" s="1"/>
  <c r="BS7" i="1" a="1"/>
  <c r="BS7" i="1" s="1"/>
  <c r="AZ7" i="1" s="1"/>
  <c r="BR4" i="1"/>
  <c r="AX4" i="1" s="1"/>
  <c r="BW4" i="1"/>
  <c r="BH4" i="1" s="1"/>
  <c r="BP7" i="1"/>
  <c r="E7" i="1"/>
  <c r="E6" i="1"/>
  <c r="BP6" i="1"/>
  <c r="BT7" i="1"/>
  <c r="BB7" i="1" s="1"/>
  <c r="BP4" i="1"/>
  <c r="E4" i="1"/>
  <c r="BU4" i="1"/>
  <c r="BD4" i="1" s="1"/>
  <c r="E5" i="1"/>
  <c r="BP5" i="1"/>
  <c r="BT4" i="1"/>
  <c r="BB4" i="1" s="1"/>
  <c r="BV7" i="1"/>
  <c r="BF7" i="1" s="1"/>
  <c r="BV4" i="1"/>
  <c r="BF4" i="1" s="1"/>
  <c r="BS4" i="1" a="1"/>
  <c r="BS4" i="1" s="1"/>
  <c r="AZ4" i="1" s="1"/>
  <c r="BR6" i="1"/>
  <c r="AX6" i="1" s="1"/>
  <c r="BQ6" i="1"/>
  <c r="AY6" i="1" s="1"/>
  <c r="BS6" i="1" a="1"/>
  <c r="BS6" i="1" s="1"/>
  <c r="AZ6" i="1" s="1"/>
  <c r="BT6" i="1"/>
  <c r="BB6" i="1" s="1"/>
  <c r="BU6" i="1"/>
  <c r="BD6" i="1" s="1"/>
  <c r="BV6" i="1"/>
  <c r="BF6" i="1" s="1"/>
  <c r="BW6" i="1"/>
  <c r="BH6" i="1" s="1"/>
  <c r="BM5" i="1" l="1"/>
  <c r="BJ5" i="1"/>
  <c r="BM7" i="1"/>
  <c r="BJ7" i="1"/>
  <c r="BJ4" i="1"/>
  <c r="BM4" i="1"/>
  <c r="BM6" i="1"/>
  <c r="BJ6" i="1"/>
  <c r="BL6" i="1"/>
  <c r="BN6" i="1" s="1"/>
  <c r="BI5" i="1" l="1"/>
  <c r="BL5" i="1"/>
  <c r="BN5" i="1" s="1"/>
  <c r="AT5" i="1" s="1"/>
  <c r="BN4" i="1"/>
  <c r="AT4" i="1" s="1"/>
  <c r="BI7" i="1"/>
  <c r="BL7" i="1"/>
  <c r="BN7" i="1" s="1"/>
  <c r="AT7" i="1" s="1"/>
  <c r="BI6" i="1"/>
  <c r="AT6" i="1"/>
  <c r="BK5" i="1" l="1"/>
  <c r="BK4" i="1"/>
  <c r="BK7" i="1"/>
  <c r="BK6" i="1"/>
  <c r="AS5" i="1"/>
  <c r="AS7" i="1" l="1"/>
  <c r="AS4" i="1"/>
  <c r="AS6" i="1"/>
  <c r="AU5" i="1"/>
  <c r="AU7" i="1" l="1"/>
  <c r="Q3" i="3"/>
  <c r="AU4" i="1"/>
  <c r="AU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<sst xmlns="http://schemas.openxmlformats.org/spreadsheetml/2006/main" count="172" uniqueCount="103">
  <si>
    <t>Ethanol Upgrade Asset Parameters (normalized by MWh ethanol)</t>
  </si>
  <si>
    <t>Ethanol feedstock asset</t>
  </si>
  <si>
    <t>Duals</t>
  </si>
  <si>
    <t>LCOE for assets with ethane capacity ($/t-ethylene)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</si>
  <si>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</si>
  <si>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</si>
  <si>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</si>
  <si>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</si>
  <si>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</si>
  <si>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</si>
  <si>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</si>
  <si>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</si>
  <si>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</si>
  <si>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</si>
  <si>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</si>
  <si>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</si>
  <si>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</si>
  <si>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</si>
  <si>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</si>
  <si>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</si>
  <si>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</si>
  <si>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</si>
  <si>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investment_cost ($/yr per MW ethanol)</t>
  </si>
  <si>
    <t>fixed_om_cost ($/yr per MW ethanol)</t>
  </si>
  <si>
    <t>variable_om_cost ($/MWh-ethanol)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</si>
  <si>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</si>
  <si>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</si>
  <si>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</si>
  <si>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</si>
  <si>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</si>
  <si>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</si>
  <si>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</si>
  <si>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</si>
  <si>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</si>
  <si>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</si>
  <si>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</si>
  <si>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</si>
  <si>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</si>
  <si>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</si>
  <si>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</si>
  <si>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</si>
  <si>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</si>
  <si>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</si>
  <si>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</si>
  <si>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</si>
  <si>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</si>
  <si>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</si>
  <si>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</si>
  <si>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</si>
  <si>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</si>
  <si>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</si>
  <si>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</si>
  <si>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</si>
  <si>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</si>
  <si>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</si>
  <si>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</si>
  <si>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</si>
  <si>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</si>
  <si>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</si>
  <si>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</si>
  <si>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</si>
  <si>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</si>
  <si>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</si>
  <si>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</si>
  <si>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</si>
  <si>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</si>
  <si>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</si>
  <si>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</si>
  <si>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</si>
  <si>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</si>
  <si>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</si>
  <si>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</si>
  <si>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</si>
  <si>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</si>
  <si>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</si>
  <si>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</si>
  <si>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</si>
  <si>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</si>
  <si>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id_ethanol_prod_ref</t>
  </si>
  <si>
    <t>commodity_ethanol_prod_ref</t>
  </si>
  <si>
    <t>NCEN_Ethanol_Dehydration_NGfuel</t>
  </si>
  <si>
    <t>Ethanol</t>
  </si>
  <si>
    <t>Biomass_Corn</t>
  </si>
  <si>
    <t>NCEN_Ethanol_Dehydration_H2fuel</t>
  </si>
  <si>
    <t>Biomass_Agri</t>
  </si>
  <si>
    <t>CEN_Ethanol_Dehydration_NGfuel</t>
  </si>
  <si>
    <t>CEN_Ethanol_Dehydration_H2fuel</t>
  </si>
  <si>
    <t>Levelized cost for Bioethylene Production - $/GJ-ethylene - chemicals CO2 sequestration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</si>
  <si>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</si>
  <si>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</si>
  <si>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</si>
  <si>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</si>
  <si>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process_capture_rate (t-CO2/t-bio)</t>
  </si>
  <si>
    <t>process_emission_rate (t-CO2/t-bio)</t>
  </si>
  <si>
    <t>fuel_capture_rate (t-CO2/t-bio)</t>
  </si>
  <si>
    <t>fuel_emission_rate (t-CO2/t-bio)</t>
  </si>
  <si>
    <t>CREDIT</t>
  </si>
  <si>
    <t>Drymill CCS Fermentation</t>
  </si>
  <si>
    <t>Drymill CCS Fermentation Exhaust</t>
  </si>
  <si>
    <t>DryMill_Existing_Non_CCS</t>
  </si>
  <si>
    <t>Biochemical_Non_CCS</t>
  </si>
  <si>
    <t>Biochemical_CCS_20</t>
  </si>
  <si>
    <t>Biochemical_CCS_86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</si>
</sst>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7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3D5"/>
      <color rgb="FF9E1E13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F108"/>
  <sheetViews>
    <sheetView topLeftCell="AZ1" zoomScale="90" zoomScaleNormal="157" workbookViewId="0">
      <selection activeCell="BI2" sqref="BI2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23.83203125" style="1" bestFit="1" customWidth="1"/>
    <col min="87" max="87" width="3.33203125" style="1" customWidth="1"/>
    <col min="88" max="88" width="23.5" style="1" bestFit="1" customWidth="1"/>
    <col min="89" max="89" width="22.5" style="1" bestFit="1" customWidth="1"/>
    <col min="90" max="90" width="22" style="1" bestFit="1" customWidth="1"/>
    <col min="91" max="91" width="22.83203125" style="1" bestFit="1" customWidth="1"/>
    <col min="92" max="92" width="25.1640625" style="1" bestFit="1" customWidth="1"/>
    <col min="93" max="93" width="3.5" style="1" customWidth="1"/>
    <col min="94" max="94" width="22.83203125" style="1" customWidth="1"/>
    <col min="95" max="95" width="3.5" style="1" customWidth="1"/>
    <col min="96" max="96" width="23" style="1" customWidth="1"/>
    <col min="97" max="97" width="29.5" style="1" bestFit="1" customWidth="1"/>
    <col min="98" max="98" width="13" style="1" bestFit="1" customWidth="1"/>
    <col min="99" max="99" width="23.83203125" style="1" bestFit="1" customWidth="1"/>
    <col min="100" max="100" width="25.5" style="1" bestFit="1" customWidth="1"/>
    <col min="101" max="101" width="33.33203125" style="1" bestFit="1" customWidth="1"/>
    <col min="102" max="102" width="27.6640625" style="1" bestFit="1" customWidth="1"/>
    <col min="103" max="103" width="28.6640625" style="1" bestFit="1" customWidth="1"/>
    <col min="104" max="105" width="28.6640625" style="1" customWidth="1"/>
    <col min="106" max="106" width="21" style="1" bestFit="1" customWidth="1"/>
    <col min="107" max="107" width="22.1640625" style="1" bestFit="1" customWidth="1"/>
    <col min="108" max="108" width="27.83203125" style="1" bestFit="1" customWidth="1"/>
    <col min="109" max="109" width="26.33203125" style="1" bestFit="1" customWidth="1"/>
    <col min="110" max="110" width="21.5" style="1" bestFit="1" customWidth="1"/>
    <col min="111" max="127" width="10.83203125" style="1" customWidth="1"/>
    <col min="128" max="16384" width="10.83203125" style="1"/>
  </cols>
  <sheetData>
    <row r="2" spans="2:110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59</v>
      </c>
      <c r="AT2" s="1" t="s">
        <v>96</v>
      </c>
      <c r="BI2" s="1" t="s">
        <v>4</v>
      </c>
      <c r="BL2" s="1" t="s">
        <v>5</v>
      </c>
      <c r="BP2" s="1" t="s">
        <v>6</v>
      </c>
      <c r="BY2" s="1" t="s">
        <v>7</v>
      </c>
      <c r="CD2" s="1" t="s">
        <v>8</v>
      </c>
      <c r="CF2" s="1" t="s">
        <v>9</v>
      </c>
      <c r="CJ2" s="1" t="s">
        <v>10</v>
      </c>
      <c r="CL2" s="1" t="s">
        <v>11</v>
      </c>
      <c r="CP2" s="1" t="s">
        <v>12</v>
      </c>
      <c r="CR2" s="1" t="s">
        <v>13</v>
      </c>
    </row>
    <row r="3" spans="2:110" x14ac:dyDescent="0.2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88</v>
      </c>
      <c r="K3" s="2" t="s">
        <v>89</v>
      </c>
      <c r="L3" s="2" t="s">
        <v>90</v>
      </c>
      <c r="M3" s="2" t="s">
        <v>91</v>
      </c>
      <c r="N3" s="2" t="s">
        <v>22</v>
      </c>
      <c r="O3" s="2" t="s">
        <v>23</v>
      </c>
      <c r="P3" s="2" t="s">
        <v>24</v>
      </c>
      <c r="Q3" s="17"/>
      <c r="R3" s="2" t="s">
        <v>78</v>
      </c>
      <c r="S3" s="2" t="s">
        <v>79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30</v>
      </c>
      <c r="AD3" s="2" t="s">
        <v>31</v>
      </c>
      <c r="AE3" s="2" t="s">
        <v>32</v>
      </c>
      <c r="AF3" s="17"/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28" t="s">
        <v>38</v>
      </c>
      <c r="AM3" s="14" t="s">
        <v>39</v>
      </c>
      <c r="AN3" s="14" t="s">
        <v>40</v>
      </c>
      <c r="AO3" s="14" t="s">
        <v>41</v>
      </c>
      <c r="AQ3" s="4" t="s">
        <v>42</v>
      </c>
      <c r="AR3" s="4" t="s">
        <v>43</v>
      </c>
      <c r="AS3" s="3" t="s">
        <v>44</v>
      </c>
      <c r="AT3" s="6" t="s">
        <v>44</v>
      </c>
      <c r="AU3" s="7" t="s">
        <v>45</v>
      </c>
      <c r="AV3" s="4" t="s">
        <v>46</v>
      </c>
      <c r="AW3" s="4" t="s">
        <v>47</v>
      </c>
      <c r="AX3" s="4" t="s">
        <v>48</v>
      </c>
      <c r="AY3" s="4" t="s">
        <v>49</v>
      </c>
      <c r="AZ3" s="4" t="s">
        <v>50</v>
      </c>
      <c r="BA3" s="4" t="s">
        <v>51</v>
      </c>
      <c r="BB3" s="4" t="s">
        <v>52</v>
      </c>
      <c r="BC3" s="4" t="s">
        <v>53</v>
      </c>
      <c r="BD3" s="4" t="s">
        <v>54</v>
      </c>
      <c r="BE3" s="4" t="s">
        <v>55</v>
      </c>
      <c r="BF3" s="4" t="s">
        <v>56</v>
      </c>
      <c r="BG3" s="4" t="s">
        <v>57</v>
      </c>
      <c r="BH3" s="4" t="s">
        <v>58</v>
      </c>
      <c r="BI3" s="3" t="s">
        <v>59</v>
      </c>
      <c r="BJ3" s="3" t="s">
        <v>60</v>
      </c>
      <c r="BK3" s="3" t="s">
        <v>61</v>
      </c>
      <c r="BL3" s="6" t="s">
        <v>59</v>
      </c>
      <c r="BM3" s="6" t="s">
        <v>60</v>
      </c>
      <c r="BN3" s="6" t="s">
        <v>61</v>
      </c>
      <c r="BO3" s="17"/>
      <c r="BP3" s="4" t="s">
        <v>62</v>
      </c>
      <c r="BQ3" s="4" t="s">
        <v>63</v>
      </c>
      <c r="BR3" s="4" t="s">
        <v>47</v>
      </c>
      <c r="BS3" s="4" t="s">
        <v>64</v>
      </c>
      <c r="BT3" s="4" t="s">
        <v>51</v>
      </c>
      <c r="BU3" s="4" t="s">
        <v>53</v>
      </c>
      <c r="BV3" s="4" t="s">
        <v>55</v>
      </c>
      <c r="BW3" s="4" t="s">
        <v>57</v>
      </c>
      <c r="BY3" s="7" t="s">
        <v>65</v>
      </c>
      <c r="BZ3" s="7" t="s">
        <v>66</v>
      </c>
      <c r="CA3" s="7" t="s">
        <v>67</v>
      </c>
      <c r="CB3" s="7" t="s">
        <v>68</v>
      </c>
      <c r="CD3" s="7" t="s">
        <v>69</v>
      </c>
      <c r="CE3" s="7" t="s">
        <v>70</v>
      </c>
      <c r="CF3" s="7" t="s">
        <v>71</v>
      </c>
      <c r="CG3" s="7" t="s">
        <v>70</v>
      </c>
      <c r="CH3" s="7" t="s">
        <v>72</v>
      </c>
      <c r="CJ3" s="7" t="s">
        <v>73</v>
      </c>
      <c r="CK3" s="7" t="s">
        <v>74</v>
      </c>
      <c r="CL3" s="7" t="s">
        <v>65</v>
      </c>
      <c r="CM3" s="7" t="s">
        <v>73</v>
      </c>
      <c r="CN3" s="7" t="s">
        <v>75</v>
      </c>
      <c r="CP3" s="7" t="s">
        <v>76</v>
      </c>
      <c r="CR3" s="2" t="s">
        <v>77</v>
      </c>
      <c r="CS3" s="2" t="s">
        <v>78</v>
      </c>
      <c r="CT3" s="2" t="s">
        <v>79</v>
      </c>
      <c r="CU3" s="2" t="s">
        <v>25</v>
      </c>
      <c r="CV3" s="2" t="s">
        <v>26</v>
      </c>
      <c r="CW3" s="2" t="s">
        <v>27</v>
      </c>
      <c r="CX3" s="2" t="s">
        <v>28</v>
      </c>
      <c r="CY3" s="2" t="s">
        <v>29</v>
      </c>
      <c r="CZ3" s="2" t="s">
        <v>92</v>
      </c>
      <c r="DA3" s="2" t="s">
        <v>93</v>
      </c>
      <c r="DB3" s="2" t="s">
        <v>94</v>
      </c>
      <c r="DC3" s="2" t="s">
        <v>95</v>
      </c>
      <c r="DD3" s="2" t="s">
        <v>30</v>
      </c>
      <c r="DE3" s="2" t="s">
        <v>31</v>
      </c>
      <c r="DF3" s="2" t="s">
        <v>32</v>
      </c>
    </row>
    <row r="4" spans="2:110" x14ac:dyDescent="0.2">
      <c r="B4" s="23" t="s">
        <v>80</v>
      </c>
      <c r="C4" s="24" t="s">
        <v>81</v>
      </c>
      <c r="D4" s="24">
        <v>6</v>
      </c>
      <c r="E4" s="24" t="str">
        <f t="shared" ref="E4:E7" si="0">R4</f>
        <v>Drymill CCS Fermentation Exhaust</v>
      </c>
      <c r="F4" s="23">
        <v>0</v>
      </c>
      <c r="G4" s="23">
        <v>1.6231455339999999E-2</v>
      </c>
      <c r="H4" s="23">
        <v>7.0449024900000004E-2</v>
      </c>
      <c r="I4" s="23">
        <v>0.11456844939999999</v>
      </c>
      <c r="J4" s="23">
        <v>0</v>
      </c>
      <c r="K4" s="23"/>
      <c r="L4" s="23"/>
      <c r="M4" s="23">
        <v>1.6218958130000001</v>
      </c>
      <c r="N4" s="23">
        <v>6577.9712840000002</v>
      </c>
      <c r="O4" s="23">
        <v>6324.1328800000001</v>
      </c>
      <c r="P4" s="23">
        <v>0.1113094593</v>
      </c>
      <c r="R4" s="18" t="str" cm="1">
        <f t="array" ref="R4:AE4">_xlfn.XLOOKUP(D4, CR:CR, CS:DF)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73.71884</v>
      </c>
      <c r="AH4" s="15">
        <v>-6.0973139999999999</v>
      </c>
      <c r="AI4" s="15">
        <v>61.343403000000002</v>
      </c>
      <c r="AJ4" s="15">
        <v>33.004970999999998</v>
      </c>
      <c r="AK4" s="15">
        <v>42.195610000000002</v>
      </c>
      <c r="AL4" s="15">
        <v>155</v>
      </c>
      <c r="AM4" s="15">
        <v>22.906690000000001</v>
      </c>
      <c r="AN4" s="15">
        <v>13.197062000000001</v>
      </c>
      <c r="AO4" s="15">
        <v>14.953878</v>
      </c>
      <c r="AQ4" s="1" t="str">
        <f t="shared" ref="AQ4:AR19" si="1">B4</f>
        <v>NCEN_Ethanol_Dehydration_NGfuel</v>
      </c>
      <c r="AR4" s="1" t="str">
        <f t="shared" si="1"/>
        <v>Ethanol</v>
      </c>
      <c r="AS4" s="11">
        <f t="shared" ref="AS4:AS7" si="2">SUM(AV4:BH4)+BJ4+BK4</f>
        <v>317.22457287767941</v>
      </c>
      <c r="AT4" s="11">
        <f t="shared" ref="AT4:AT7" si="3">SUM(AV4:BH4)+BM4+BN4</f>
        <v>317.22457287767935</v>
      </c>
      <c r="AU4" s="5">
        <f t="shared" ref="AU4:AU7" si="4">AS4-AT4</f>
        <v>0</v>
      </c>
      <c r="AV4" s="5">
        <f>F4/H4*AN4</f>
        <v>0</v>
      </c>
      <c r="AW4" s="1">
        <f>G4/H4*AM4</f>
        <v>5.277701376988464</v>
      </c>
      <c r="AX4" s="1">
        <f t="shared" ref="AX4:AX7" si="5">BR4</f>
        <v>8.9389265026015838</v>
      </c>
      <c r="AY4" s="1">
        <f t="shared" ref="AY4:AY7" si="6">BQ4</f>
        <v>0</v>
      </c>
      <c r="AZ4" s="1">
        <f t="shared" ref="AZ4:AZ7" si="7">BS4</f>
        <v>708.74125202212304</v>
      </c>
      <c r="BA4" s="1">
        <f>I4/H4*AO4</f>
        <v>24.31889749231679</v>
      </c>
      <c r="BB4" s="1">
        <f t="shared" ref="BB4:BB7" si="8">BT4</f>
        <v>69.293050880640109</v>
      </c>
      <c r="BC4" s="1">
        <f>N4/H4/(0.9*8760)</f>
        <v>11.843235666463674</v>
      </c>
      <c r="BD4" s="1">
        <f t="shared" ref="BD4:BD7" si="9">BU4</f>
        <v>8.8681928020199641E-5</v>
      </c>
      <c r="BE4" s="1">
        <f>O4/H4/(0.9*8760)</f>
        <v>11.38621511864168</v>
      </c>
      <c r="BF4" s="1">
        <f t="shared" ref="BF4:BF7" si="10">BV4</f>
        <v>1.8811318187915865E-5</v>
      </c>
      <c r="BG4" s="1">
        <f>P4/H4</f>
        <v>1.5799999994038241</v>
      </c>
      <c r="BH4" s="1">
        <f t="shared" ref="BH4:BH7" si="11">BW4</f>
        <v>-115.59341194270499</v>
      </c>
      <c r="BI4" s="1">
        <f>CH4-CN4-CL4</f>
        <v>-3.4005576324786309</v>
      </c>
      <c r="BJ4" s="1">
        <f>(AG4+AH4)*-1*CK4</f>
        <v>-157.87623771256997</v>
      </c>
      <c r="BK4" s="1">
        <f>BI4*AG4</f>
        <v>-250.68516401947099</v>
      </c>
      <c r="BL4" s="1">
        <f>CH4-CN4-CK4-CL4</f>
        <v>-5.7352614916102631</v>
      </c>
      <c r="BM4" s="1">
        <f>CK4*AH4*-1</f>
        <v>14.235422526137326</v>
      </c>
      <c r="BN4" s="1">
        <f>BL4*AG4</f>
        <v>-422.79682425817833</v>
      </c>
      <c r="BP4" s="1" t="str">
        <f>R4</f>
        <v>Drymill CCS Fermentation Exhaust</v>
      </c>
      <c r="BQ4" s="1">
        <f>T4/V4/H4*AM4*-1</f>
        <v>0</v>
      </c>
      <c r="BR4" s="1">
        <f>U4/V4/H4*AM4</f>
        <v>8.9389265026015838</v>
      </c>
      <c r="BS4" s="1">
        <f t="array" ref="BS4">_xlfn.IFS(S4="Biomass_Corn", 1/V4/H4*AL4, S4="Biomass_Agri", 1/V4/H4*AK4, S4="Biomass_Wood", 1/V4/H4*AJ4, S4="Biomass_Herb", 1/V4/H4*AI4)</f>
        <v>708.74125202212304</v>
      </c>
      <c r="BT4" s="1">
        <f>W4/V4/H4*AO4</f>
        <v>69.293050880640109</v>
      </c>
      <c r="BU4" s="1">
        <f>AA4/V4/H4/(0.9*8760)</f>
        <v>8.8681928020199641E-5</v>
      </c>
      <c r="BV4" s="1">
        <f>AB4/V4/H4/(0.9*8760)</f>
        <v>1.8811318187915865E-5</v>
      </c>
      <c r="BW4" s="1">
        <f>AE4/V4/H4</f>
        <v>-115.59341194270499</v>
      </c>
      <c r="BY4" s="9">
        <f>22/7</f>
        <v>3.1428571428571428</v>
      </c>
      <c r="BZ4" s="18">
        <f>X4</f>
        <v>1.7588666580000001</v>
      </c>
      <c r="CA4" s="10">
        <v>0.1828908353</v>
      </c>
      <c r="CB4" s="9">
        <v>0.23037490999999999</v>
      </c>
      <c r="CD4" s="10">
        <f>BZ4/V4/H4</f>
        <v>8.042460369876693</v>
      </c>
      <c r="CE4" s="10">
        <f>IF(W4=0, 0, CA4/W4/V4/H4)</f>
        <v>0.82521691231169192</v>
      </c>
      <c r="CF4" s="10">
        <f>CB4/H4</f>
        <v>3.2700936645611396</v>
      </c>
      <c r="CG4" s="10">
        <f>IF(I4=0, 0, CA4/I4/H4)</f>
        <v>22.659583441823209</v>
      </c>
      <c r="CH4" s="10">
        <f>CD4+CE4+CG4</f>
        <v>31.527260724011594</v>
      </c>
      <c r="CJ4" s="18">
        <f>(Z4+AB4)/V4/H4</f>
        <v>3.2851395728032973</v>
      </c>
      <c r="CK4" s="18">
        <f>(Y4+AA4)/V4/H4</f>
        <v>2.3347038591316318</v>
      </c>
      <c r="CL4" s="10">
        <f>BY4</f>
        <v>3.1428571428571428</v>
      </c>
      <c r="CM4" s="10">
        <f>(L4+M4)/H4</f>
        <v>23.022260638841008</v>
      </c>
      <c r="CN4" s="10">
        <f>SUM(CJ4:CM4)</f>
        <v>31.784961213633082</v>
      </c>
      <c r="CP4" s="1">
        <f>CH4-CN4</f>
        <v>-0.25770048962148806</v>
      </c>
      <c r="CR4" s="13">
        <v>1</v>
      </c>
      <c r="CS4" s="13" t="s">
        <v>99</v>
      </c>
      <c r="CT4" s="12" t="s">
        <v>82</v>
      </c>
      <c r="CU4" s="26">
        <v>0</v>
      </c>
      <c r="CV4" s="26">
        <v>8.5342824999999997E-2</v>
      </c>
      <c r="CW4" s="26">
        <v>3.1043379949999999</v>
      </c>
      <c r="CX4" s="26">
        <v>1.013397519</v>
      </c>
      <c r="CY4" s="26">
        <v>1.7588666580000001</v>
      </c>
      <c r="CZ4" s="26">
        <v>0</v>
      </c>
      <c r="DA4" s="26">
        <v>1.043705066</v>
      </c>
      <c r="DB4" s="26">
        <v>0</v>
      </c>
      <c r="DC4" s="26">
        <v>0.185341119</v>
      </c>
      <c r="DD4" s="26">
        <v>322562.05</v>
      </c>
      <c r="DE4" s="26">
        <v>176727.97</v>
      </c>
      <c r="DF4" s="26">
        <v>-25.41</v>
      </c>
    </row>
    <row r="5" spans="2:110" x14ac:dyDescent="0.2">
      <c r="B5" s="23" t="s">
        <v>83</v>
      </c>
      <c r="C5" s="24" t="s">
        <v>81</v>
      </c>
      <c r="D5" s="24">
        <v>6</v>
      </c>
      <c r="E5" s="24" t="str">
        <f t="shared" si="0"/>
        <v>Drymill CCS Fermentation Exhaust</v>
      </c>
      <c r="F5" s="23">
        <v>0.1123387839</v>
      </c>
      <c r="G5" s="23">
        <v>1.6231455339999999E-2</v>
      </c>
      <c r="H5" s="23">
        <v>7.0449024900000004E-2</v>
      </c>
      <c r="I5" s="23">
        <v>0</v>
      </c>
      <c r="J5" s="23">
        <v>0</v>
      </c>
      <c r="K5" s="23"/>
      <c r="L5" s="23"/>
      <c r="M5" s="23">
        <v>4.1633218E-2</v>
      </c>
      <c r="N5" s="23">
        <v>6577.9712840000002</v>
      </c>
      <c r="O5" s="23">
        <v>6324.1328800000001</v>
      </c>
      <c r="P5" s="23">
        <v>0.1113094593</v>
      </c>
      <c r="R5" s="18" t="str" cm="1">
        <f t="array" ref="R5:AE5">_xlfn.XLOOKUP(D5, CR:CR, CS:DF)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73.71884</v>
      </c>
      <c r="AH5" s="15">
        <v>-6.0973139999999999</v>
      </c>
      <c r="AI5" s="15">
        <v>61.343403000000002</v>
      </c>
      <c r="AJ5" s="15">
        <v>33.004970999999998</v>
      </c>
      <c r="AK5" s="15">
        <v>42.195610000000002</v>
      </c>
      <c r="AL5" s="15">
        <v>155</v>
      </c>
      <c r="AM5" s="15">
        <v>22.906690000000001</v>
      </c>
      <c r="AN5" s="15">
        <v>13.197062000000001</v>
      </c>
      <c r="AO5" s="15">
        <v>14.953878</v>
      </c>
      <c r="AQ5" s="1" t="str">
        <f t="shared" si="1"/>
        <v>NCEN_Ethanol_Dehydration_H2fuel</v>
      </c>
      <c r="AR5" s="1" t="str">
        <f t="shared" si="1"/>
        <v>Ethanol</v>
      </c>
      <c r="AS5" s="11">
        <f t="shared" si="2"/>
        <v>297.12041805686982</v>
      </c>
      <c r="AT5" s="11">
        <f t="shared" si="3"/>
        <v>297.12041805686977</v>
      </c>
      <c r="AU5" s="5">
        <f t="shared" si="4"/>
        <v>0</v>
      </c>
      <c r="AV5" s="5">
        <f>F5/H5*AN5</f>
        <v>21.04417908178743</v>
      </c>
      <c r="AW5" s="1">
        <f>G5/H5*AM5</f>
        <v>5.277701376988464</v>
      </c>
      <c r="AX5" s="1">
        <f t="shared" si="5"/>
        <v>8.9389265026015838</v>
      </c>
      <c r="AY5" s="1">
        <f t="shared" si="6"/>
        <v>0</v>
      </c>
      <c r="AZ5" s="1">
        <f t="shared" si="7"/>
        <v>708.74125202212304</v>
      </c>
      <c r="BA5" s="1">
        <f>I5/H5*AO5</f>
        <v>0</v>
      </c>
      <c r="BB5" s="1">
        <f t="shared" si="8"/>
        <v>69.293050880640109</v>
      </c>
      <c r="BC5" s="1">
        <f>N5/H5/(0.9*8760)</f>
        <v>11.843235666463674</v>
      </c>
      <c r="BD5" s="1">
        <f t="shared" si="9"/>
        <v>8.8681928020199641E-5</v>
      </c>
      <c r="BE5" s="1">
        <f>O5/H5/(0.9*8760)</f>
        <v>11.38621511864168</v>
      </c>
      <c r="BF5" s="1">
        <f t="shared" si="10"/>
        <v>1.8811318187915865E-5</v>
      </c>
      <c r="BG5" s="1">
        <f>P5/H5</f>
        <v>1.5799999994038241</v>
      </c>
      <c r="BH5" s="1">
        <f t="shared" si="11"/>
        <v>-115.59341194270499</v>
      </c>
      <c r="BI5" s="1">
        <f t="shared" ref="BI5:BI7" si="12">CH5-CN5-CL5</f>
        <v>-3.6288498358052199</v>
      </c>
      <c r="BJ5" s="1">
        <f>(AG5+AH5)*-1*CK5</f>
        <v>-157.87623771256997</v>
      </c>
      <c r="BK5" s="1">
        <f>BI5*AG5</f>
        <v>-267.51460042975128</v>
      </c>
      <c r="BL5" s="1">
        <f t="shared" ref="BL5:BL7" si="13">CH5-CN5-CK5-CL5</f>
        <v>-5.9635536949368522</v>
      </c>
      <c r="BM5" s="1">
        <f>CK5*AH5*-1</f>
        <v>14.235422526137326</v>
      </c>
      <c r="BN5" s="1">
        <f>BL5*AG5</f>
        <v>-439.6262606684586</v>
      </c>
      <c r="BP5" s="1" t="str">
        <f>R5</f>
        <v>Drymill CCS Fermentation Exhaust</v>
      </c>
      <c r="BQ5" s="1">
        <f>T5/V5/H5*AM5*-1</f>
        <v>0</v>
      </c>
      <c r="BR5" s="1">
        <f>U5/V5/H5*AM5</f>
        <v>8.9389265026015838</v>
      </c>
      <c r="BS5" s="1">
        <f t="array" ref="BS5">_xlfn.IFS(S5="Biomass_Corn", 1/V5/H5*AL5, S5="Biomass_Agri", 1/V5/H5*AK5, S5="Biomass_Wood", 1/V5/H5*AJ5, S5="Biomass_Herb", 1/V5/H5*AI5)</f>
        <v>708.74125202212304</v>
      </c>
      <c r="BT5" s="1">
        <f>W5/V5/H5*AO5</f>
        <v>69.293050880640109</v>
      </c>
      <c r="BU5" s="1">
        <f>AA5/V5/H5/(0.9*8760)</f>
        <v>8.8681928020199641E-5</v>
      </c>
      <c r="BV5" s="1">
        <f>AB5/V5/H5/(0.9*8760)</f>
        <v>1.8811318187915865E-5</v>
      </c>
      <c r="BW5" s="1">
        <f>AE5/V5/H5</f>
        <v>-115.59341194270499</v>
      </c>
      <c r="BY5" s="9">
        <f t="shared" ref="BY5:BY66" si="14">22/7</f>
        <v>3.1428571428571428</v>
      </c>
      <c r="BZ5" s="18">
        <f t="shared" ref="BZ5:BZ66" si="15">X5</f>
        <v>1.7588666580000001</v>
      </c>
      <c r="CA5" s="10">
        <v>0.1828908353</v>
      </c>
      <c r="CB5" s="9">
        <v>0.23037490999999999</v>
      </c>
      <c r="CD5" s="10">
        <f t="shared" ref="CD5:CD66" si="16">BZ5/V5/H5</f>
        <v>8.042460369876693</v>
      </c>
      <c r="CE5" s="10">
        <f t="shared" ref="CE5:CE66" si="17">IF(W5=0, 0, CA5/W5/V5/H5)</f>
        <v>0.82521691231169192</v>
      </c>
      <c r="CF5" s="10">
        <f t="shared" ref="CF5:CF66" si="18">CB5/H5</f>
        <v>3.2700936645611396</v>
      </c>
      <c r="CG5" s="10">
        <f t="shared" ref="CG5:CG66" si="19">IF(I5=0, 0, CA5/I5/H5)</f>
        <v>0</v>
      </c>
      <c r="CH5" s="10">
        <f t="shared" ref="CH5:CH66" si="20">CD5+CE5+CG5</f>
        <v>8.8676772821883851</v>
      </c>
      <c r="CJ5" s="18">
        <f t="shared" ref="CJ5:CJ66" si="21">(Z5+AB5)/V5/H5</f>
        <v>3.2851395728032973</v>
      </c>
      <c r="CK5" s="18">
        <f t="shared" ref="CK5:CK66" si="22">(Y5+AA5)/V5/H5</f>
        <v>2.3347038591316318</v>
      </c>
      <c r="CL5" s="10">
        <f t="shared" ref="CL5:CL66" si="23">BY5</f>
        <v>3.1428571428571428</v>
      </c>
      <c r="CM5" s="10">
        <f t="shared" ref="CM5:CM66" si="24">(L5+M5)/H5</f>
        <v>0.59096940034438994</v>
      </c>
      <c r="CN5" s="10">
        <f t="shared" ref="CN5:CN66" si="25">SUM(CJ5:CM5)</f>
        <v>9.3536699751364623</v>
      </c>
      <c r="CP5" s="1">
        <f t="shared" ref="CP5:CP66" si="26">CH5-CN5</f>
        <v>-0.48599269294807712</v>
      </c>
      <c r="CR5" s="13">
        <v>2</v>
      </c>
      <c r="CS5" s="13" t="s">
        <v>100</v>
      </c>
      <c r="CT5" s="12" t="s">
        <v>84</v>
      </c>
      <c r="CU5" s="26">
        <v>0.2142</v>
      </c>
      <c r="CV5" s="26">
        <v>0</v>
      </c>
      <c r="CW5" s="26">
        <v>1.9847999999999999</v>
      </c>
      <c r="CX5" s="26">
        <v>0</v>
      </c>
      <c r="CY5" s="26">
        <v>1.7230000000000001</v>
      </c>
      <c r="CZ5" s="26">
        <v>0</v>
      </c>
      <c r="DA5" s="26">
        <v>1.26576020051355</v>
      </c>
      <c r="DB5" s="26">
        <v>0</v>
      </c>
      <c r="DC5" s="26">
        <v>0</v>
      </c>
      <c r="DD5" s="26">
        <v>273134.21999999997</v>
      </c>
      <c r="DE5" s="26">
        <v>144062.46</v>
      </c>
      <c r="DF5" s="26">
        <v>0.45</v>
      </c>
    </row>
    <row r="6" spans="2:110" x14ac:dyDescent="0.2">
      <c r="B6" s="23" t="s">
        <v>85</v>
      </c>
      <c r="C6" s="24" t="s">
        <v>81</v>
      </c>
      <c r="D6" s="24">
        <v>6</v>
      </c>
      <c r="E6" s="24" t="str">
        <f t="shared" si="0"/>
        <v>Drymill CCS Fermentation Exhaust</v>
      </c>
      <c r="F6" s="23">
        <v>0</v>
      </c>
      <c r="G6" s="23">
        <v>1.6231455339999999E-2</v>
      </c>
      <c r="H6" s="23">
        <v>7.0449024900000004E-2</v>
      </c>
      <c r="I6" s="23">
        <v>0.11456844939999999</v>
      </c>
      <c r="J6" s="23">
        <v>0</v>
      </c>
      <c r="K6" s="23"/>
      <c r="L6" s="23"/>
      <c r="M6" s="23">
        <v>1.6218958130000001</v>
      </c>
      <c r="N6" s="23">
        <v>6577.9712840000002</v>
      </c>
      <c r="O6" s="23">
        <v>6324.1328800000001</v>
      </c>
      <c r="P6" s="23">
        <v>0.1113094593</v>
      </c>
      <c r="R6" s="18" t="str" cm="1">
        <f t="array" ref="R6:AE6">_xlfn.XLOOKUP(D6, CR:CR, CS:DF)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73.71884</v>
      </c>
      <c r="AH6" s="15">
        <v>-6.1992539999999998</v>
      </c>
      <c r="AI6" s="15">
        <v>65.59151</v>
      </c>
      <c r="AJ6" s="15">
        <v>31.821489</v>
      </c>
      <c r="AK6" s="15">
        <v>37.986238999999998</v>
      </c>
      <c r="AL6" s="15">
        <v>155</v>
      </c>
      <c r="AM6" s="15">
        <v>22.465142</v>
      </c>
      <c r="AN6" s="15">
        <v>13.285634</v>
      </c>
      <c r="AO6" s="15">
        <v>15.046749</v>
      </c>
      <c r="AQ6" s="1" t="str">
        <f t="shared" si="1"/>
        <v>CEN_Ethanol_Dehydration_NGfuel</v>
      </c>
      <c r="AR6" s="1" t="str">
        <f t="shared" si="1"/>
        <v>Ethanol</v>
      </c>
      <c r="AS6" s="11">
        <f t="shared" si="2"/>
        <v>317.76991034595324</v>
      </c>
      <c r="AT6" s="11">
        <f t="shared" si="3"/>
        <v>317.76991034595318</v>
      </c>
      <c r="AU6" s="5">
        <f t="shared" si="4"/>
        <v>0</v>
      </c>
      <c r="AV6" s="5">
        <f>F6/H6*AN6</f>
        <v>0</v>
      </c>
      <c r="AW6" s="1">
        <f>G6/H6*AM6</f>
        <v>5.1759687177694103</v>
      </c>
      <c r="AX6" s="1">
        <f t="shared" si="5"/>
        <v>8.7666202846639099</v>
      </c>
      <c r="AY6" s="1">
        <f t="shared" si="6"/>
        <v>0</v>
      </c>
      <c r="AZ6" s="1">
        <f t="shared" si="7"/>
        <v>708.74125202212304</v>
      </c>
      <c r="BA6" s="1">
        <f>I6/H6*AO6</f>
        <v>24.469929908724691</v>
      </c>
      <c r="BB6" s="1">
        <f t="shared" si="8"/>
        <v>69.723395098262856</v>
      </c>
      <c r="BC6" s="1">
        <f>N6/H6/(0.9*8760)</f>
        <v>11.843235666463674</v>
      </c>
      <c r="BD6" s="1">
        <f t="shared" si="9"/>
        <v>8.8681928020199641E-5</v>
      </c>
      <c r="BE6" s="1">
        <f>O6/H6/(0.9*8760)</f>
        <v>11.38621511864168</v>
      </c>
      <c r="BF6" s="1">
        <f t="shared" si="10"/>
        <v>1.8811318187915865E-5</v>
      </c>
      <c r="BG6" s="1">
        <f>P6/H6</f>
        <v>1.5799999994038241</v>
      </c>
      <c r="BH6" s="1">
        <f t="shared" si="11"/>
        <v>-115.59341194270499</v>
      </c>
      <c r="BI6" s="1">
        <f t="shared" si="12"/>
        <v>-3.4005576324786309</v>
      </c>
      <c r="BJ6" s="1">
        <f>(AG6+AH6)*-1*CK6</f>
        <v>-157.63823800117009</v>
      </c>
      <c r="BK6" s="1">
        <f>BI6*AG6</f>
        <v>-250.68516401947099</v>
      </c>
      <c r="BL6" s="1">
        <f t="shared" si="13"/>
        <v>-5.7352614916102631</v>
      </c>
      <c r="BM6" s="1">
        <f>CK6*AH6*-1</f>
        <v>14.473422237537205</v>
      </c>
      <c r="BN6" s="1">
        <f>BL6*AG6</f>
        <v>-422.79682425817833</v>
      </c>
      <c r="BP6" s="1" t="str">
        <f>R6</f>
        <v>Drymill CCS Fermentation Exhaust</v>
      </c>
      <c r="BQ6" s="1">
        <f>T6/V6/H6*AM6*-1</f>
        <v>0</v>
      </c>
      <c r="BR6" s="1">
        <f>U6/V6/H6*AM6</f>
        <v>8.7666202846639099</v>
      </c>
      <c r="BS6" s="1">
        <f t="array" ref="BS6">_xlfn.IFS(S6="Biomass_Corn", 1/V6/H6*AL6, S6="Biomass_Agri", 1/V6/H6*AK6, S6="Biomass_Wood", 1/V6/H6*AJ6, S6="Biomass_Herb", 1/V6/H6*AI6)</f>
        <v>708.74125202212304</v>
      </c>
      <c r="BT6" s="1">
        <f>W6/V6/H6*AO6</f>
        <v>69.723395098262856</v>
      </c>
      <c r="BU6" s="1">
        <f>AA6/V6/H6/(0.9*8760)</f>
        <v>8.8681928020199641E-5</v>
      </c>
      <c r="BV6" s="1">
        <f>AB6/V6/H6/(0.9*8760)</f>
        <v>1.8811318187915865E-5</v>
      </c>
      <c r="BW6" s="1">
        <f>AE6/V6/H6</f>
        <v>-115.59341194270499</v>
      </c>
      <c r="BY6" s="9">
        <f t="shared" si="14"/>
        <v>3.1428571428571428</v>
      </c>
      <c r="BZ6" s="18">
        <f t="shared" si="15"/>
        <v>1.7588666580000001</v>
      </c>
      <c r="CA6" s="10">
        <v>0.1828908353</v>
      </c>
      <c r="CB6" s="9">
        <v>0.23037490999999999</v>
      </c>
      <c r="CD6" s="10">
        <f t="shared" si="16"/>
        <v>8.042460369876693</v>
      </c>
      <c r="CE6" s="10">
        <f t="shared" si="17"/>
        <v>0.82521691231169192</v>
      </c>
      <c r="CF6" s="10">
        <f t="shared" si="18"/>
        <v>3.2700936645611396</v>
      </c>
      <c r="CG6" s="10">
        <f t="shared" si="19"/>
        <v>22.659583441823209</v>
      </c>
      <c r="CH6" s="10">
        <f t="shared" si="20"/>
        <v>31.527260724011594</v>
      </c>
      <c r="CJ6" s="18">
        <f t="shared" si="21"/>
        <v>3.2851395728032973</v>
      </c>
      <c r="CK6" s="18">
        <f t="shared" si="22"/>
        <v>2.3347038591316318</v>
      </c>
      <c r="CL6" s="10">
        <f t="shared" si="23"/>
        <v>3.1428571428571428</v>
      </c>
      <c r="CM6" s="10">
        <f t="shared" si="24"/>
        <v>23.022260638841008</v>
      </c>
      <c r="CN6" s="10">
        <f t="shared" si="25"/>
        <v>31.784961213633082</v>
      </c>
      <c r="CP6" s="1">
        <f t="shared" si="26"/>
        <v>-0.25770048962148806</v>
      </c>
      <c r="CR6" s="13">
        <v>3</v>
      </c>
      <c r="CS6" s="13" t="s">
        <v>101</v>
      </c>
      <c r="CT6" s="12" t="s">
        <v>84</v>
      </c>
      <c r="CU6" s="26">
        <v>0</v>
      </c>
      <c r="CV6" s="26">
        <v>0</v>
      </c>
      <c r="CW6" s="26">
        <v>1.9847999999999999</v>
      </c>
      <c r="CX6" s="26">
        <v>0</v>
      </c>
      <c r="CY6" s="26">
        <v>1.7230000000000001</v>
      </c>
      <c r="CZ6" s="26">
        <v>0.25912642818944298</v>
      </c>
      <c r="DA6" s="26">
        <v>1.00663377203253</v>
      </c>
      <c r="DB6" s="26">
        <v>0</v>
      </c>
      <c r="DC6" s="26">
        <v>0</v>
      </c>
      <c r="DD6" s="26">
        <v>293026.95</v>
      </c>
      <c r="DE6" s="26">
        <v>154950.42000000001</v>
      </c>
      <c r="DF6" s="26">
        <v>0.48</v>
      </c>
    </row>
    <row r="7" spans="2:110" x14ac:dyDescent="0.2">
      <c r="B7" s="23" t="s">
        <v>86</v>
      </c>
      <c r="C7" s="24" t="s">
        <v>81</v>
      </c>
      <c r="D7" s="24">
        <v>6</v>
      </c>
      <c r="E7" s="24" t="str">
        <f t="shared" si="0"/>
        <v>Drymill CCS Fermentation Exhaust</v>
      </c>
      <c r="F7" s="23">
        <v>0.1123387839</v>
      </c>
      <c r="G7" s="23">
        <v>1.6231455339999999E-2</v>
      </c>
      <c r="H7" s="23">
        <v>7.0449024900000004E-2</v>
      </c>
      <c r="I7" s="23">
        <v>0</v>
      </c>
      <c r="J7" s="23">
        <v>0</v>
      </c>
      <c r="K7" s="23"/>
      <c r="L7" s="23"/>
      <c r="M7" s="23">
        <v>4.1633218E-2</v>
      </c>
      <c r="N7" s="23">
        <v>6577.9712840000002</v>
      </c>
      <c r="O7" s="23">
        <v>6324.1328800000001</v>
      </c>
      <c r="P7" s="23">
        <v>0.1113094593</v>
      </c>
      <c r="R7" s="18" t="str" cm="1">
        <f t="array" ref="R7:AE7">_xlfn.XLOOKUP(D7, CR:CR, CS:DF)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73.71884</v>
      </c>
      <c r="AH7" s="15">
        <v>-6.1992539999999998</v>
      </c>
      <c r="AI7" s="15">
        <v>65.59151</v>
      </c>
      <c r="AJ7" s="15">
        <v>31.821489</v>
      </c>
      <c r="AK7" s="15">
        <v>37.986238999999998</v>
      </c>
      <c r="AL7" s="15">
        <v>155</v>
      </c>
      <c r="AM7" s="15">
        <v>22.465142</v>
      </c>
      <c r="AN7" s="15">
        <v>13.285634</v>
      </c>
      <c r="AO7" s="15">
        <v>15.046749</v>
      </c>
      <c r="AQ7" s="1" t="str">
        <f t="shared" si="1"/>
        <v>CEN_Ethanol_Dehydration_H2fuel</v>
      </c>
      <c r="AR7" s="1" t="str">
        <f t="shared" si="1"/>
        <v>Ethanol</v>
      </c>
      <c r="AS7" s="11">
        <f t="shared" si="2"/>
        <v>297.65596098650207</v>
      </c>
      <c r="AT7" s="11">
        <f t="shared" si="3"/>
        <v>297.65596098650201</v>
      </c>
      <c r="AU7" s="5">
        <f t="shared" si="4"/>
        <v>0</v>
      </c>
      <c r="AV7" s="5">
        <f>F7/H7*AN7</f>
        <v>21.185416959553866</v>
      </c>
      <c r="AW7" s="1">
        <f>G7/H7*AM7</f>
        <v>5.1759687177694103</v>
      </c>
      <c r="AX7" s="1">
        <f t="shared" si="5"/>
        <v>8.7666202846639099</v>
      </c>
      <c r="AY7" s="1">
        <f t="shared" si="6"/>
        <v>0</v>
      </c>
      <c r="AZ7" s="1">
        <f t="shared" si="7"/>
        <v>708.74125202212304</v>
      </c>
      <c r="BA7" s="1">
        <f>I7/H7*AO7</f>
        <v>0</v>
      </c>
      <c r="BB7" s="1">
        <f t="shared" si="8"/>
        <v>69.723395098262856</v>
      </c>
      <c r="BC7" s="1">
        <f>N7/H7/(0.9*8760)</f>
        <v>11.843235666463674</v>
      </c>
      <c r="BD7" s="1">
        <f t="shared" si="9"/>
        <v>8.8681928020199641E-5</v>
      </c>
      <c r="BE7" s="1">
        <f>O7/H7/(0.9*8760)</f>
        <v>11.38621511864168</v>
      </c>
      <c r="BF7" s="1">
        <f t="shared" si="10"/>
        <v>1.8811318187915865E-5</v>
      </c>
      <c r="BG7" s="1">
        <f>P7/H7</f>
        <v>1.5799999994038241</v>
      </c>
      <c r="BH7" s="1">
        <f t="shared" si="11"/>
        <v>-115.59341194270499</v>
      </c>
      <c r="BI7" s="1">
        <f t="shared" si="12"/>
        <v>-3.6288498358052199</v>
      </c>
      <c r="BJ7" s="1">
        <f>(AG7+AH7)*-1*CK7</f>
        <v>-157.63823800117009</v>
      </c>
      <c r="BK7" s="1">
        <f>BI7*AG7</f>
        <v>-267.51460042975128</v>
      </c>
      <c r="BL7" s="1">
        <f t="shared" si="13"/>
        <v>-5.9635536949368522</v>
      </c>
      <c r="BM7" s="1">
        <f>CK7*AH7*-1</f>
        <v>14.473422237537205</v>
      </c>
      <c r="BN7" s="1">
        <f>BL7*AG7</f>
        <v>-439.6262606684586</v>
      </c>
      <c r="BP7" s="1" t="str">
        <f>R7</f>
        <v>Drymill CCS Fermentation Exhaust</v>
      </c>
      <c r="BQ7" s="1">
        <f>T7/V7/H7*AM7*-1</f>
        <v>0</v>
      </c>
      <c r="BR7" s="1">
        <f>U7/V7/H7*AM7</f>
        <v>8.7666202846639099</v>
      </c>
      <c r="BS7" s="1">
        <f t="array" ref="BS7">_xlfn.IFS(S7="Biomass_Corn", 1/V7/H7*AL7, S7="Biomass_Agri", 1/V7/H7*AK7, S7="Biomass_Wood", 1/V7/H7*AJ7, S7="Biomass_Herb", 1/V7/H7*AI7)</f>
        <v>708.74125202212304</v>
      </c>
      <c r="BT7" s="1">
        <f>W7/V7/H7*AO7</f>
        <v>69.723395098262856</v>
      </c>
      <c r="BU7" s="1">
        <f>AA7/V7/H7/(0.9*8760)</f>
        <v>8.8681928020199641E-5</v>
      </c>
      <c r="BV7" s="1">
        <f>AB7/V7/H7/(0.9*8760)</f>
        <v>1.8811318187915865E-5</v>
      </c>
      <c r="BW7" s="1">
        <f>AE7/V7/H7</f>
        <v>-115.59341194270499</v>
      </c>
      <c r="BY7" s="9">
        <f t="shared" si="14"/>
        <v>3.1428571428571428</v>
      </c>
      <c r="BZ7" s="18">
        <f t="shared" si="15"/>
        <v>1.7588666580000001</v>
      </c>
      <c r="CA7" s="10">
        <v>0.1828908353</v>
      </c>
      <c r="CB7" s="9">
        <v>0.23037490999999999</v>
      </c>
      <c r="CD7" s="10">
        <f t="shared" si="16"/>
        <v>8.042460369876693</v>
      </c>
      <c r="CE7" s="10">
        <f t="shared" si="17"/>
        <v>0.82521691231169192</v>
      </c>
      <c r="CF7" s="10">
        <f t="shared" si="18"/>
        <v>3.2700936645611396</v>
      </c>
      <c r="CG7" s="10">
        <f t="shared" si="19"/>
        <v>0</v>
      </c>
      <c r="CH7" s="10">
        <f t="shared" si="20"/>
        <v>8.8676772821883851</v>
      </c>
      <c r="CJ7" s="18">
        <f>(Z7+AB7)/V7/H7</f>
        <v>3.2851395728032973</v>
      </c>
      <c r="CK7" s="18">
        <f t="shared" si="22"/>
        <v>2.3347038591316318</v>
      </c>
      <c r="CL7" s="10">
        <f t="shared" si="23"/>
        <v>3.1428571428571428</v>
      </c>
      <c r="CM7" s="10">
        <f t="shared" si="24"/>
        <v>0.59096940034438994</v>
      </c>
      <c r="CN7" s="10">
        <f t="shared" si="25"/>
        <v>9.3536699751364623</v>
      </c>
      <c r="CP7" s="1">
        <f t="shared" si="26"/>
        <v>-0.48599269294807712</v>
      </c>
      <c r="CR7" s="13">
        <v>4</v>
      </c>
      <c r="CS7" s="13" t="s">
        <v>102</v>
      </c>
      <c r="CT7" s="12" t="s">
        <v>84</v>
      </c>
      <c r="CU7" s="26">
        <v>0</v>
      </c>
      <c r="CV7" s="26">
        <v>0.26319999999999999</v>
      </c>
      <c r="CW7" s="26">
        <v>1.9847999999999999</v>
      </c>
      <c r="CX7" s="26">
        <v>0</v>
      </c>
      <c r="CY7" s="26">
        <v>1.7230000000000001</v>
      </c>
      <c r="CZ7" s="26">
        <v>1.0913384446313901</v>
      </c>
      <c r="DA7" s="26">
        <v>0.17442175559058801</v>
      </c>
      <c r="DB7" s="26">
        <v>0</v>
      </c>
      <c r="DC7" s="26">
        <v>0</v>
      </c>
      <c r="DD7" s="26">
        <v>520155.64</v>
      </c>
      <c r="DE7" s="26">
        <v>279265.62</v>
      </c>
      <c r="DF7" s="26">
        <v>1.67</v>
      </c>
    </row>
    <row r="8" spans="2:110" x14ac:dyDescent="0.2">
      <c r="B8" s="23"/>
      <c r="C8" s="24"/>
      <c r="D8" s="24">
        <v>6</v>
      </c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R8" s="18" t="str" cm="1">
        <f t="array" ref="R8:AE8">_xlfn.XLOOKUP(D8, CR:CR, CS:DF)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/>
      <c r="AH8" s="15"/>
      <c r="AI8" s="15"/>
      <c r="AJ8" s="15"/>
      <c r="AK8" s="15"/>
      <c r="AL8" s="15"/>
      <c r="AM8" s="15"/>
      <c r="AN8" s="15"/>
      <c r="AO8" s="15"/>
      <c r="AQ8" s="1">
        <f t="shared" si="1"/>
        <v>0</v>
      </c>
      <c r="AR8" s="1">
        <f t="shared" ref="AR8:AR66" si="27">C8</f>
        <v>0</v>
      </c>
      <c r="AS8" s="11" t="e">
        <f t="shared" ref="AS8:AS66" si="28">SUM(AV8:BH8)+BJ8+BK8</f>
        <v>#DIV/0!</v>
      </c>
      <c r="AT8" s="11" t="e">
        <f t="shared" ref="AT8:AT66" si="29">SUM(AV8:BH8)+BM8+BN8</f>
        <v>#DIV/0!</v>
      </c>
      <c r="AU8" s="5" t="e">
        <f t="shared" ref="AU8:AU66" si="30">AS8-AT8</f>
        <v>#DIV/0!</v>
      </c>
      <c r="AV8" s="5" t="e">
        <f t="shared" ref="AV8:AV66" si="31">F8/H8*AN8</f>
        <v>#DIV/0!</v>
      </c>
      <c r="AW8" s="1" t="e">
        <f t="shared" ref="AW8:AW66" si="32">G8/H8*AM8</f>
        <v>#DIV/0!</v>
      </c>
      <c r="AX8" s="1" t="e">
        <f t="shared" ref="AX8:AX66" si="33">BR8</f>
        <v>#DIV/0!</v>
      </c>
      <c r="AY8" s="1" t="e">
        <f t="shared" ref="AY8:AY66" si="34">BQ8</f>
        <v>#DIV/0!</v>
      </c>
      <c r="AZ8" s="1" t="e">
        <f t="shared" ref="AZ8:AZ66" si="35">BS8</f>
        <v>#DIV/0!</v>
      </c>
      <c r="BA8" s="1" t="e">
        <f t="shared" ref="BA8:BA66" si="36">I8/H8*AO8</f>
        <v>#DIV/0!</v>
      </c>
      <c r="BB8" s="1" t="e">
        <f t="shared" ref="BB8:BB66" si="37">BT8</f>
        <v>#DIV/0!</v>
      </c>
      <c r="BC8" s="1" t="e">
        <f t="shared" ref="BC8:BC66" si="38">N8/H8/(0.9*8760)</f>
        <v>#DIV/0!</v>
      </c>
      <c r="BD8" s="1" t="e">
        <f t="shared" ref="BD8:BD66" si="39">BU8</f>
        <v>#DIV/0!</v>
      </c>
      <c r="BE8" s="1" t="e">
        <f t="shared" ref="BE8:BE66" si="40">O8/H8/(0.9*8760)</f>
        <v>#DIV/0!</v>
      </c>
      <c r="BF8" s="1" t="e">
        <f t="shared" ref="BF8:BF66" si="41">BV8</f>
        <v>#DIV/0!</v>
      </c>
      <c r="BG8" s="1" t="e">
        <f t="shared" ref="BG8:BG66" si="42">P8/H8</f>
        <v>#DIV/0!</v>
      </c>
      <c r="BH8" s="1" t="e">
        <f t="shared" ref="BH8:BH66" si="43">BW8</f>
        <v>#DIV/0!</v>
      </c>
      <c r="BI8" s="1" t="e">
        <f t="shared" ref="BI8:BI66" si="44">CH8-CN8-CL8</f>
        <v>#DIV/0!</v>
      </c>
      <c r="BJ8" s="1" t="e">
        <f t="shared" ref="BJ8:BJ66" si="45">(AG8+AH8)*-1*CK8</f>
        <v>#DIV/0!</v>
      </c>
      <c r="BK8" s="1" t="e">
        <f t="shared" ref="BK8:BK66" si="46">BI8*AG8</f>
        <v>#DIV/0!</v>
      </c>
      <c r="BL8" s="1" t="e">
        <f t="shared" ref="BL8:BL66" si="47">CH8-CN8-CK8-CL8</f>
        <v>#DIV/0!</v>
      </c>
      <c r="BM8" s="1" t="e">
        <f t="shared" ref="BM8:BM66" si="48">CK8*AH8*-1</f>
        <v>#DIV/0!</v>
      </c>
      <c r="BN8" s="1" t="e">
        <f t="shared" ref="BN8:BN66" si="49">BL8*AG8</f>
        <v>#DIV/0!</v>
      </c>
      <c r="BP8" s="1" t="str">
        <f t="shared" ref="BP8:BP66" si="50">R8</f>
        <v>Drymill CCS Fermentation Exhaust</v>
      </c>
      <c r="BQ8" s="1" t="e">
        <f t="shared" ref="BQ8:BQ66" si="51">T8/V8/H8*AM8*-1</f>
        <v>#DIV/0!</v>
      </c>
      <c r="BR8" s="1" t="e">
        <f t="shared" ref="BR8:BR66" si="52">U8/V8/H8*AM8</f>
        <v>#DIV/0!</v>
      </c>
      <c r="BS8" s="1" t="e">
        <f t="array" ref="BS8">_xlfn.IFS(S8="Biomass_Corn", 1/V8/H8*AL8, S8="Biomass_Agri", 1/V8/H8*AK8, S8="Biomass_Wood", 1/V8/H8*AJ8, S8="Biomass_Herb", 1/V8/H8*AI8)</f>
        <v>#DIV/0!</v>
      </c>
      <c r="BT8" s="1" t="e">
        <f t="shared" ref="BT8:BT66" si="53">W8/V8/H8*AO8</f>
        <v>#DIV/0!</v>
      </c>
      <c r="BU8" s="1" t="e">
        <f t="shared" ref="BU8:BU66" si="54">AA8/V8/H8/(0.9*8760)</f>
        <v>#DIV/0!</v>
      </c>
      <c r="BV8" s="1" t="e">
        <f t="shared" ref="BV8:BV66" si="55">AB8/V8/H8/(0.9*8760)</f>
        <v>#DIV/0!</v>
      </c>
      <c r="BW8" s="1" t="e">
        <f t="shared" ref="BW8:BW66" si="56">AE8/V8/H8</f>
        <v>#DIV/0!</v>
      </c>
      <c r="BY8" s="9">
        <f t="shared" si="14"/>
        <v>3.1428571428571428</v>
      </c>
      <c r="BZ8" s="18">
        <f t="shared" si="15"/>
        <v>1.7588666580000001</v>
      </c>
      <c r="CA8" s="10">
        <v>0.1828908353</v>
      </c>
      <c r="CB8" s="9">
        <v>0.23037490999999999</v>
      </c>
      <c r="CD8" s="10" t="e">
        <f t="shared" si="16"/>
        <v>#DIV/0!</v>
      </c>
      <c r="CE8" s="10" t="e">
        <f t="shared" si="17"/>
        <v>#DIV/0!</v>
      </c>
      <c r="CF8" s="10" t="e">
        <f t="shared" si="18"/>
        <v>#DIV/0!</v>
      </c>
      <c r="CG8" s="10">
        <f t="shared" si="19"/>
        <v>0</v>
      </c>
      <c r="CH8" s="10" t="e">
        <f t="shared" si="20"/>
        <v>#DIV/0!</v>
      </c>
      <c r="CJ8" s="18" t="e">
        <f t="shared" si="21"/>
        <v>#DIV/0!</v>
      </c>
      <c r="CK8" s="18" t="e">
        <f t="shared" si="22"/>
        <v>#DIV/0!</v>
      </c>
      <c r="CL8" s="10">
        <f t="shared" si="23"/>
        <v>3.1428571428571428</v>
      </c>
      <c r="CM8" s="10" t="e">
        <f t="shared" si="24"/>
        <v>#DIV/0!</v>
      </c>
      <c r="CN8" s="10" t="e">
        <f t="shared" si="25"/>
        <v>#DIV/0!</v>
      </c>
      <c r="CP8" s="1" t="e">
        <f t="shared" si="26"/>
        <v>#DIV/0!</v>
      </c>
      <c r="CR8" s="13">
        <v>5</v>
      </c>
      <c r="CS8" s="13" t="s">
        <v>97</v>
      </c>
      <c r="CT8" s="12" t="s">
        <v>82</v>
      </c>
      <c r="CU8" s="27">
        <v>0</v>
      </c>
      <c r="CV8" s="27">
        <v>8.5342829999999995E-2</v>
      </c>
      <c r="CW8" s="27">
        <v>3.1043379999999998</v>
      </c>
      <c r="CX8" s="27">
        <v>1.0133975200000001</v>
      </c>
      <c r="CY8" s="27">
        <v>1.75886666</v>
      </c>
      <c r="CZ8" s="27">
        <v>0.35768767000000001</v>
      </c>
      <c r="DA8" s="27">
        <v>0.68601738999999995</v>
      </c>
      <c r="DB8" s="27">
        <v>0</v>
      </c>
      <c r="DC8" s="27">
        <v>0.18534112</v>
      </c>
      <c r="DD8" s="27">
        <v>27458.48</v>
      </c>
      <c r="DE8" s="27">
        <v>191772.15</v>
      </c>
      <c r="DF8" s="27">
        <v>-25.37</v>
      </c>
    </row>
    <row r="9" spans="2:110" x14ac:dyDescent="0.2">
      <c r="B9" s="23"/>
      <c r="C9" s="24"/>
      <c r="D9" s="24">
        <v>6</v>
      </c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R9" s="18" t="str" cm="1">
        <f t="array" ref="R9:AE9">_xlfn.XLOOKUP(D9, CR:CR, CS:DF)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/>
      <c r="AH9" s="15"/>
      <c r="AI9" s="15"/>
      <c r="AJ9" s="15"/>
      <c r="AK9" s="15"/>
      <c r="AL9" s="15"/>
      <c r="AM9" s="15"/>
      <c r="AN9" s="15"/>
      <c r="AO9" s="15"/>
      <c r="AQ9" s="1">
        <f t="shared" si="1"/>
        <v>0</v>
      </c>
      <c r="AR9" s="1">
        <f t="shared" si="27"/>
        <v>0</v>
      </c>
      <c r="AS9" s="11" t="e">
        <f t="shared" si="28"/>
        <v>#DIV/0!</v>
      </c>
      <c r="AT9" s="11" t="e">
        <f t="shared" si="29"/>
        <v>#DIV/0!</v>
      </c>
      <c r="AU9" s="5" t="e">
        <f t="shared" si="30"/>
        <v>#DIV/0!</v>
      </c>
      <c r="AV9" s="5" t="e">
        <f t="shared" si="31"/>
        <v>#DIV/0!</v>
      </c>
      <c r="AW9" s="1" t="e">
        <f t="shared" si="32"/>
        <v>#DIV/0!</v>
      </c>
      <c r="AX9" s="1" t="e">
        <f t="shared" si="33"/>
        <v>#DIV/0!</v>
      </c>
      <c r="AY9" s="1" t="e">
        <f t="shared" si="34"/>
        <v>#DIV/0!</v>
      </c>
      <c r="AZ9" s="1" t="e">
        <f t="shared" si="35"/>
        <v>#DIV/0!</v>
      </c>
      <c r="BA9" s="1" t="e">
        <f t="shared" si="36"/>
        <v>#DIV/0!</v>
      </c>
      <c r="BB9" s="1" t="e">
        <f t="shared" si="37"/>
        <v>#DIV/0!</v>
      </c>
      <c r="BC9" s="1" t="e">
        <f t="shared" si="38"/>
        <v>#DIV/0!</v>
      </c>
      <c r="BD9" s="1" t="e">
        <f t="shared" si="39"/>
        <v>#DIV/0!</v>
      </c>
      <c r="BE9" s="1" t="e">
        <f t="shared" si="40"/>
        <v>#DIV/0!</v>
      </c>
      <c r="BF9" s="1" t="e">
        <f t="shared" si="41"/>
        <v>#DIV/0!</v>
      </c>
      <c r="BG9" s="1" t="e">
        <f t="shared" si="42"/>
        <v>#DIV/0!</v>
      </c>
      <c r="BH9" s="1" t="e">
        <f t="shared" si="43"/>
        <v>#DIV/0!</v>
      </c>
      <c r="BI9" s="1" t="e">
        <f t="shared" si="44"/>
        <v>#DIV/0!</v>
      </c>
      <c r="BJ9" s="1" t="e">
        <f t="shared" si="45"/>
        <v>#DIV/0!</v>
      </c>
      <c r="BK9" s="1" t="e">
        <f t="shared" si="46"/>
        <v>#DIV/0!</v>
      </c>
      <c r="BL9" s="1" t="e">
        <f t="shared" si="47"/>
        <v>#DIV/0!</v>
      </c>
      <c r="BM9" s="1" t="e">
        <f t="shared" si="48"/>
        <v>#DIV/0!</v>
      </c>
      <c r="BN9" s="1" t="e">
        <f t="shared" si="49"/>
        <v>#DIV/0!</v>
      </c>
      <c r="BP9" s="1" t="str">
        <f t="shared" si="50"/>
        <v>Drymill CCS Fermentation Exhaust</v>
      </c>
      <c r="BQ9" s="1" t="e">
        <f t="shared" si="51"/>
        <v>#DIV/0!</v>
      </c>
      <c r="BR9" s="1" t="e">
        <f t="shared" si="52"/>
        <v>#DIV/0!</v>
      </c>
      <c r="BS9" s="1" t="e">
        <f t="array" ref="BS9">_xlfn.IFS(S9="Biomass_Corn", 1/V9/H9*AL9, S9="Biomass_Agri", 1/V9/H9*AK9, S9="Biomass_Wood", 1/V9/H9*AJ9, S9="Biomass_Herb", 1/V9/H9*AI9)</f>
        <v>#DIV/0!</v>
      </c>
      <c r="BT9" s="1" t="e">
        <f t="shared" si="53"/>
        <v>#DIV/0!</v>
      </c>
      <c r="BU9" s="1" t="e">
        <f t="shared" si="54"/>
        <v>#DIV/0!</v>
      </c>
      <c r="BV9" s="1" t="e">
        <f t="shared" si="55"/>
        <v>#DIV/0!</v>
      </c>
      <c r="BW9" s="1" t="e">
        <f t="shared" si="56"/>
        <v>#DIV/0!</v>
      </c>
      <c r="BY9" s="9">
        <f t="shared" si="14"/>
        <v>3.1428571428571428</v>
      </c>
      <c r="BZ9" s="18">
        <f t="shared" si="15"/>
        <v>1.7588666580000001</v>
      </c>
      <c r="CA9" s="10">
        <v>0.1828908353</v>
      </c>
      <c r="CB9" s="9">
        <v>0.23037490999999999</v>
      </c>
      <c r="CD9" s="10" t="e">
        <f t="shared" si="16"/>
        <v>#DIV/0!</v>
      </c>
      <c r="CE9" s="10" t="e">
        <f t="shared" si="17"/>
        <v>#DIV/0!</v>
      </c>
      <c r="CF9" s="10" t="e">
        <f t="shared" si="18"/>
        <v>#DIV/0!</v>
      </c>
      <c r="CG9" s="10">
        <f t="shared" si="19"/>
        <v>0</v>
      </c>
      <c r="CH9" s="10" t="e">
        <f t="shared" si="20"/>
        <v>#DIV/0!</v>
      </c>
      <c r="CJ9" s="18" t="e">
        <f t="shared" si="21"/>
        <v>#DIV/0!</v>
      </c>
      <c r="CK9" s="18" t="e">
        <f t="shared" si="22"/>
        <v>#DIV/0!</v>
      </c>
      <c r="CL9" s="10">
        <f t="shared" si="23"/>
        <v>3.1428571428571428</v>
      </c>
      <c r="CM9" s="10" t="e">
        <f t="shared" si="24"/>
        <v>#DIV/0!</v>
      </c>
      <c r="CN9" s="10" t="e">
        <f t="shared" si="25"/>
        <v>#DIV/0!</v>
      </c>
      <c r="CP9" s="1" t="e">
        <f t="shared" si="26"/>
        <v>#DIV/0!</v>
      </c>
      <c r="CR9" s="13">
        <v>6</v>
      </c>
      <c r="CS9" s="13" t="s">
        <v>98</v>
      </c>
      <c r="CT9" s="12" t="s">
        <v>82</v>
      </c>
      <c r="CU9" s="26">
        <v>0</v>
      </c>
      <c r="CV9" s="26">
        <v>8.5342824999999997E-2</v>
      </c>
      <c r="CW9" s="26">
        <v>3.1043379949999999</v>
      </c>
      <c r="CX9" s="26">
        <v>1.013397519</v>
      </c>
      <c r="CY9" s="26">
        <v>1.7588666580000001</v>
      </c>
      <c r="CZ9" s="26">
        <v>0.35768767200000001</v>
      </c>
      <c r="DA9" s="26">
        <v>0.68601739399999995</v>
      </c>
      <c r="DB9" s="26">
        <v>0.15290642300000001</v>
      </c>
      <c r="DC9" s="26">
        <v>3.2434695999999999E-2</v>
      </c>
      <c r="DD9" s="26">
        <v>45179.42</v>
      </c>
      <c r="DE9" s="26">
        <v>201481.25</v>
      </c>
      <c r="DF9" s="26">
        <v>-25.28</v>
      </c>
    </row>
    <row r="10" spans="2:110" x14ac:dyDescent="0.2">
      <c r="B10" s="23"/>
      <c r="C10" s="24"/>
      <c r="D10" s="24">
        <v>6</v>
      </c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R10" s="18" t="str" cm="1">
        <f t="array" ref="R10:AE10">_xlfn.XLOOKUP(D10, CR:CR, CS:DF)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/>
      <c r="AH10" s="15"/>
      <c r="AI10" s="15"/>
      <c r="AJ10" s="15"/>
      <c r="AK10" s="15"/>
      <c r="AL10" s="15"/>
      <c r="AM10" s="15"/>
      <c r="AN10" s="15"/>
      <c r="AO10" s="15"/>
      <c r="AQ10" s="1">
        <f t="shared" si="1"/>
        <v>0</v>
      </c>
      <c r="AR10" s="1">
        <f t="shared" si="27"/>
        <v>0</v>
      </c>
      <c r="AS10" s="11" t="e">
        <f t="shared" si="28"/>
        <v>#DIV/0!</v>
      </c>
      <c r="AT10" s="11" t="e">
        <f t="shared" si="29"/>
        <v>#DIV/0!</v>
      </c>
      <c r="AU10" s="5" t="e">
        <f t="shared" si="30"/>
        <v>#DIV/0!</v>
      </c>
      <c r="AV10" s="5" t="e">
        <f t="shared" si="31"/>
        <v>#DIV/0!</v>
      </c>
      <c r="AW10" s="1" t="e">
        <f t="shared" si="32"/>
        <v>#DIV/0!</v>
      </c>
      <c r="AX10" s="1" t="e">
        <f t="shared" si="33"/>
        <v>#DIV/0!</v>
      </c>
      <c r="AY10" s="1" t="e">
        <f t="shared" si="34"/>
        <v>#DIV/0!</v>
      </c>
      <c r="AZ10" s="1" t="e">
        <f t="shared" si="35"/>
        <v>#DIV/0!</v>
      </c>
      <c r="BA10" s="1" t="e">
        <f t="shared" si="36"/>
        <v>#DIV/0!</v>
      </c>
      <c r="BB10" s="1" t="e">
        <f t="shared" si="37"/>
        <v>#DIV/0!</v>
      </c>
      <c r="BC10" s="1" t="e">
        <f t="shared" si="38"/>
        <v>#DIV/0!</v>
      </c>
      <c r="BD10" s="1" t="e">
        <f t="shared" si="39"/>
        <v>#DIV/0!</v>
      </c>
      <c r="BE10" s="1" t="e">
        <f t="shared" si="40"/>
        <v>#DIV/0!</v>
      </c>
      <c r="BF10" s="1" t="e">
        <f t="shared" si="41"/>
        <v>#DIV/0!</v>
      </c>
      <c r="BG10" s="1" t="e">
        <f t="shared" si="42"/>
        <v>#DIV/0!</v>
      </c>
      <c r="BH10" s="1" t="e">
        <f t="shared" si="43"/>
        <v>#DIV/0!</v>
      </c>
      <c r="BI10" s="1" t="e">
        <f t="shared" si="44"/>
        <v>#DIV/0!</v>
      </c>
      <c r="BJ10" s="1" t="e">
        <f t="shared" si="45"/>
        <v>#DIV/0!</v>
      </c>
      <c r="BK10" s="1" t="e">
        <f t="shared" si="46"/>
        <v>#DIV/0!</v>
      </c>
      <c r="BL10" s="1" t="e">
        <f t="shared" si="47"/>
        <v>#DIV/0!</v>
      </c>
      <c r="BM10" s="1" t="e">
        <f t="shared" si="48"/>
        <v>#DIV/0!</v>
      </c>
      <c r="BN10" s="1" t="e">
        <f t="shared" si="49"/>
        <v>#DIV/0!</v>
      </c>
      <c r="BP10" s="1" t="str">
        <f t="shared" si="50"/>
        <v>Drymill CCS Fermentation Exhaust</v>
      </c>
      <c r="BQ10" s="1" t="e">
        <f t="shared" si="51"/>
        <v>#DIV/0!</v>
      </c>
      <c r="BR10" s="1" t="e">
        <f t="shared" si="52"/>
        <v>#DIV/0!</v>
      </c>
      <c r="BS10" s="1" t="e">
        <f t="array" ref="BS10">_xlfn.IFS(S10="Biomass_Corn", 1/V10/H10*AL10, S10="Biomass_Agri", 1/V10/H10*AK10, S10="Biomass_Wood", 1/V10/H10*AJ10, S10="Biomass_Herb", 1/V10/H10*AI10)</f>
        <v>#DIV/0!</v>
      </c>
      <c r="BT10" s="1" t="e">
        <f t="shared" si="53"/>
        <v>#DIV/0!</v>
      </c>
      <c r="BU10" s="1" t="e">
        <f t="shared" si="54"/>
        <v>#DIV/0!</v>
      </c>
      <c r="BV10" s="1" t="e">
        <f t="shared" si="55"/>
        <v>#DIV/0!</v>
      </c>
      <c r="BW10" s="1" t="e">
        <f t="shared" si="56"/>
        <v>#DIV/0!</v>
      </c>
      <c r="BY10" s="9">
        <f t="shared" si="14"/>
        <v>3.1428571428571428</v>
      </c>
      <c r="BZ10" s="18">
        <f t="shared" si="15"/>
        <v>1.7588666580000001</v>
      </c>
      <c r="CA10" s="10">
        <v>0.1828908353</v>
      </c>
      <c r="CB10" s="9">
        <v>0.23037490999999999</v>
      </c>
      <c r="CD10" s="10" t="e">
        <f t="shared" si="16"/>
        <v>#DIV/0!</v>
      </c>
      <c r="CE10" s="10" t="e">
        <f t="shared" si="17"/>
        <v>#DIV/0!</v>
      </c>
      <c r="CF10" s="10" t="e">
        <f t="shared" si="18"/>
        <v>#DIV/0!</v>
      </c>
      <c r="CG10" s="10">
        <f t="shared" si="19"/>
        <v>0</v>
      </c>
      <c r="CH10" s="10" t="e">
        <f t="shared" si="20"/>
        <v>#DIV/0!</v>
      </c>
      <c r="CJ10" s="18" t="e">
        <f t="shared" si="21"/>
        <v>#DIV/0!</v>
      </c>
      <c r="CK10" s="18" t="e">
        <f t="shared" si="22"/>
        <v>#DIV/0!</v>
      </c>
      <c r="CL10" s="10">
        <f t="shared" si="23"/>
        <v>3.1428571428571428</v>
      </c>
      <c r="CM10" s="10" t="e">
        <f t="shared" si="24"/>
        <v>#DIV/0!</v>
      </c>
      <c r="CN10" s="10" t="e">
        <f t="shared" si="25"/>
        <v>#DIV/0!</v>
      </c>
      <c r="CP10" s="1" t="e">
        <f t="shared" si="26"/>
        <v>#DIV/0!</v>
      </c>
    </row>
    <row r="11" spans="2:110" x14ac:dyDescent="0.2">
      <c r="B11" s="23"/>
      <c r="C11" s="24"/>
      <c r="D11" s="24">
        <v>6</v>
      </c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R11" s="18" t="str" cm="1">
        <f t="array" ref="R11:AE11">_xlfn.XLOOKUP(D11, CR:CR, CS:DF)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/>
      <c r="AH11" s="15"/>
      <c r="AI11" s="15"/>
      <c r="AJ11" s="15"/>
      <c r="AK11" s="15"/>
      <c r="AL11" s="15"/>
      <c r="AM11" s="15"/>
      <c r="AN11" s="15"/>
      <c r="AO11" s="15"/>
      <c r="AQ11" s="1">
        <f t="shared" si="1"/>
        <v>0</v>
      </c>
      <c r="AR11" s="1">
        <f t="shared" si="27"/>
        <v>0</v>
      </c>
      <c r="AS11" s="11" t="e">
        <f t="shared" si="28"/>
        <v>#DIV/0!</v>
      </c>
      <c r="AT11" s="11" t="e">
        <f t="shared" si="29"/>
        <v>#DIV/0!</v>
      </c>
      <c r="AU11" s="5" t="e">
        <f t="shared" si="30"/>
        <v>#DIV/0!</v>
      </c>
      <c r="AV11" s="5" t="e">
        <f t="shared" si="31"/>
        <v>#DIV/0!</v>
      </c>
      <c r="AW11" s="1" t="e">
        <f t="shared" si="32"/>
        <v>#DIV/0!</v>
      </c>
      <c r="AX11" s="1" t="e">
        <f t="shared" si="33"/>
        <v>#DIV/0!</v>
      </c>
      <c r="AY11" s="1" t="e">
        <f t="shared" si="34"/>
        <v>#DIV/0!</v>
      </c>
      <c r="AZ11" s="1" t="e">
        <f t="shared" si="35"/>
        <v>#DIV/0!</v>
      </c>
      <c r="BA11" s="1" t="e">
        <f t="shared" si="36"/>
        <v>#DIV/0!</v>
      </c>
      <c r="BB11" s="1" t="e">
        <f t="shared" si="37"/>
        <v>#DIV/0!</v>
      </c>
      <c r="BC11" s="1" t="e">
        <f t="shared" si="38"/>
        <v>#DIV/0!</v>
      </c>
      <c r="BD11" s="1" t="e">
        <f t="shared" si="39"/>
        <v>#DIV/0!</v>
      </c>
      <c r="BE11" s="1" t="e">
        <f t="shared" si="40"/>
        <v>#DIV/0!</v>
      </c>
      <c r="BF11" s="1" t="e">
        <f t="shared" si="41"/>
        <v>#DIV/0!</v>
      </c>
      <c r="BG11" s="1" t="e">
        <f t="shared" si="42"/>
        <v>#DIV/0!</v>
      </c>
      <c r="BH11" s="1" t="e">
        <f t="shared" si="43"/>
        <v>#DIV/0!</v>
      </c>
      <c r="BI11" s="1" t="e">
        <f t="shared" si="44"/>
        <v>#DIV/0!</v>
      </c>
      <c r="BJ11" s="1" t="e">
        <f t="shared" si="45"/>
        <v>#DIV/0!</v>
      </c>
      <c r="BK11" s="1" t="e">
        <f t="shared" si="46"/>
        <v>#DIV/0!</v>
      </c>
      <c r="BL11" s="1" t="e">
        <f t="shared" si="47"/>
        <v>#DIV/0!</v>
      </c>
      <c r="BM11" s="1" t="e">
        <f t="shared" si="48"/>
        <v>#DIV/0!</v>
      </c>
      <c r="BN11" s="1" t="e">
        <f t="shared" si="49"/>
        <v>#DIV/0!</v>
      </c>
      <c r="BP11" s="1" t="str">
        <f t="shared" si="50"/>
        <v>Drymill CCS Fermentation Exhaust</v>
      </c>
      <c r="BQ11" s="1" t="e">
        <f t="shared" si="51"/>
        <v>#DIV/0!</v>
      </c>
      <c r="BR11" s="1" t="e">
        <f t="shared" si="52"/>
        <v>#DIV/0!</v>
      </c>
      <c r="BS11" s="1" t="e">
        <f t="array" ref="BS11">_xlfn.IFS(S11="Biomass_Corn", 1/V11/H11*AL11, S11="Biomass_Agri", 1/V11/H11*AK11, S11="Biomass_Wood", 1/V11/H11*AJ11, S11="Biomass_Herb", 1/V11/H11*AI11)</f>
        <v>#DIV/0!</v>
      </c>
      <c r="BT11" s="1" t="e">
        <f t="shared" si="53"/>
        <v>#DIV/0!</v>
      </c>
      <c r="BU11" s="1" t="e">
        <f t="shared" si="54"/>
        <v>#DIV/0!</v>
      </c>
      <c r="BV11" s="1" t="e">
        <f t="shared" si="55"/>
        <v>#DIV/0!</v>
      </c>
      <c r="BW11" s="1" t="e">
        <f t="shared" si="56"/>
        <v>#DIV/0!</v>
      </c>
      <c r="BY11" s="9">
        <f t="shared" si="14"/>
        <v>3.1428571428571428</v>
      </c>
      <c r="BZ11" s="18">
        <f t="shared" si="15"/>
        <v>1.7588666580000001</v>
      </c>
      <c r="CA11" s="10">
        <v>0.1828908353</v>
      </c>
      <c r="CB11" s="9">
        <v>0.23037490999999999</v>
      </c>
      <c r="CD11" s="10" t="e">
        <f t="shared" si="16"/>
        <v>#DIV/0!</v>
      </c>
      <c r="CE11" s="10" t="e">
        <f t="shared" si="17"/>
        <v>#DIV/0!</v>
      </c>
      <c r="CF11" s="10" t="e">
        <f t="shared" si="18"/>
        <v>#DIV/0!</v>
      </c>
      <c r="CG11" s="10">
        <f t="shared" si="19"/>
        <v>0</v>
      </c>
      <c r="CH11" s="10" t="e">
        <f t="shared" si="20"/>
        <v>#DIV/0!</v>
      </c>
      <c r="CJ11" s="18" t="e">
        <f t="shared" si="21"/>
        <v>#DIV/0!</v>
      </c>
      <c r="CK11" s="18" t="e">
        <f t="shared" si="22"/>
        <v>#DIV/0!</v>
      </c>
      <c r="CL11" s="10">
        <f t="shared" si="23"/>
        <v>3.1428571428571428</v>
      </c>
      <c r="CM11" s="10" t="e">
        <f t="shared" si="24"/>
        <v>#DIV/0!</v>
      </c>
      <c r="CN11" s="10" t="e">
        <f t="shared" si="25"/>
        <v>#DIV/0!</v>
      </c>
      <c r="CP11" s="1" t="e">
        <f t="shared" si="26"/>
        <v>#DIV/0!</v>
      </c>
    </row>
    <row r="12" spans="2:110" x14ac:dyDescent="0.2">
      <c r="B12" s="24"/>
      <c r="C12" s="24"/>
      <c r="D12" s="24">
        <v>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R12" s="18" t="str" cm="1">
        <f t="array" ref="R12:AE12">_xlfn.XLOOKUP(D12, CR:CR, CS:DF)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/>
      <c r="AH12" s="15"/>
      <c r="AI12" s="15"/>
      <c r="AJ12" s="15"/>
      <c r="AK12" s="15"/>
      <c r="AL12" s="15"/>
      <c r="AM12" s="15"/>
      <c r="AN12" s="15"/>
      <c r="AO12" s="15"/>
      <c r="AQ12" s="1">
        <f t="shared" si="1"/>
        <v>0</v>
      </c>
      <c r="AR12" s="1">
        <f t="shared" si="27"/>
        <v>0</v>
      </c>
      <c r="AS12" s="11" t="e">
        <f t="shared" si="28"/>
        <v>#DIV/0!</v>
      </c>
      <c r="AT12" s="11" t="e">
        <f t="shared" si="29"/>
        <v>#DIV/0!</v>
      </c>
      <c r="AU12" s="5" t="e">
        <f t="shared" si="30"/>
        <v>#DIV/0!</v>
      </c>
      <c r="AV12" s="5" t="e">
        <f t="shared" si="31"/>
        <v>#DIV/0!</v>
      </c>
      <c r="AW12" s="1" t="e">
        <f t="shared" si="32"/>
        <v>#DIV/0!</v>
      </c>
      <c r="AX12" s="1" t="e">
        <f t="shared" si="33"/>
        <v>#DIV/0!</v>
      </c>
      <c r="AY12" s="1" t="e">
        <f t="shared" si="34"/>
        <v>#DIV/0!</v>
      </c>
      <c r="AZ12" s="1" t="e">
        <f t="shared" si="35"/>
        <v>#DIV/0!</v>
      </c>
      <c r="BA12" s="1" t="e">
        <f t="shared" si="36"/>
        <v>#DIV/0!</v>
      </c>
      <c r="BB12" s="1" t="e">
        <f t="shared" si="37"/>
        <v>#DIV/0!</v>
      </c>
      <c r="BC12" s="1" t="e">
        <f t="shared" si="38"/>
        <v>#DIV/0!</v>
      </c>
      <c r="BD12" s="1" t="e">
        <f t="shared" si="39"/>
        <v>#DIV/0!</v>
      </c>
      <c r="BE12" s="1" t="e">
        <f t="shared" si="40"/>
        <v>#DIV/0!</v>
      </c>
      <c r="BF12" s="1" t="e">
        <f t="shared" si="41"/>
        <v>#DIV/0!</v>
      </c>
      <c r="BG12" s="1" t="e">
        <f t="shared" si="42"/>
        <v>#DIV/0!</v>
      </c>
      <c r="BH12" s="1" t="e">
        <f t="shared" si="43"/>
        <v>#DIV/0!</v>
      </c>
      <c r="BI12" s="1" t="e">
        <f t="shared" si="44"/>
        <v>#DIV/0!</v>
      </c>
      <c r="BJ12" s="1" t="e">
        <f t="shared" si="45"/>
        <v>#DIV/0!</v>
      </c>
      <c r="BK12" s="1" t="e">
        <f t="shared" si="46"/>
        <v>#DIV/0!</v>
      </c>
      <c r="BL12" s="1" t="e">
        <f t="shared" si="47"/>
        <v>#DIV/0!</v>
      </c>
      <c r="BM12" s="1" t="e">
        <f t="shared" si="48"/>
        <v>#DIV/0!</v>
      </c>
      <c r="BN12" s="1" t="e">
        <f t="shared" si="49"/>
        <v>#DIV/0!</v>
      </c>
      <c r="BP12" s="1" t="str">
        <f t="shared" si="50"/>
        <v>Drymill CCS Fermentation Exhaust</v>
      </c>
      <c r="BQ12" s="1" t="e">
        <f t="shared" si="51"/>
        <v>#DIV/0!</v>
      </c>
      <c r="BR12" s="1" t="e">
        <f t="shared" si="52"/>
        <v>#DIV/0!</v>
      </c>
      <c r="BS12" s="1" t="e">
        <f t="array" ref="BS12">_xlfn.IFS(S12="Biomass_Corn", 1/V12/H12*AL12, S12="Biomass_Agri", 1/V12/H12*AK12, S12="Biomass_Wood", 1/V12/H12*AJ12, S12="Biomass_Herb", 1/V12/H12*AI12)</f>
        <v>#DIV/0!</v>
      </c>
      <c r="BT12" s="1" t="e">
        <f t="shared" si="53"/>
        <v>#DIV/0!</v>
      </c>
      <c r="BU12" s="1" t="e">
        <f t="shared" si="54"/>
        <v>#DIV/0!</v>
      </c>
      <c r="BV12" s="1" t="e">
        <f t="shared" si="55"/>
        <v>#DIV/0!</v>
      </c>
      <c r="BW12" s="1" t="e">
        <f t="shared" si="56"/>
        <v>#DIV/0!</v>
      </c>
      <c r="BY12" s="9">
        <f t="shared" si="14"/>
        <v>3.1428571428571428</v>
      </c>
      <c r="BZ12" s="18">
        <f t="shared" si="15"/>
        <v>1.7588666580000001</v>
      </c>
      <c r="CA12" s="10">
        <v>0.1828908353</v>
      </c>
      <c r="CB12" s="9">
        <v>0.23037490999999999</v>
      </c>
      <c r="CD12" s="10" t="e">
        <f t="shared" si="16"/>
        <v>#DIV/0!</v>
      </c>
      <c r="CE12" s="10" t="e">
        <f t="shared" si="17"/>
        <v>#DIV/0!</v>
      </c>
      <c r="CF12" s="10" t="e">
        <f t="shared" si="18"/>
        <v>#DIV/0!</v>
      </c>
      <c r="CG12" s="10">
        <f t="shared" si="19"/>
        <v>0</v>
      </c>
      <c r="CH12" s="10" t="e">
        <f t="shared" si="20"/>
        <v>#DIV/0!</v>
      </c>
      <c r="CJ12" s="18" t="e">
        <f t="shared" si="21"/>
        <v>#DIV/0!</v>
      </c>
      <c r="CK12" s="18" t="e">
        <f t="shared" si="22"/>
        <v>#DIV/0!</v>
      </c>
      <c r="CL12" s="10">
        <f t="shared" si="23"/>
        <v>3.1428571428571428</v>
      </c>
      <c r="CM12" s="10" t="e">
        <f t="shared" si="24"/>
        <v>#DIV/0!</v>
      </c>
      <c r="CN12" s="10" t="e">
        <f t="shared" si="25"/>
        <v>#DIV/0!</v>
      </c>
      <c r="CP12" s="1" t="e">
        <f t="shared" si="26"/>
        <v>#DIV/0!</v>
      </c>
    </row>
    <row r="13" spans="2:110" x14ac:dyDescent="0.2">
      <c r="B13" s="24"/>
      <c r="C13" s="24"/>
      <c r="D13" s="24">
        <v>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R13" s="18" t="str" cm="1">
        <f t="array" ref="R13:AE13">_xlfn.XLOOKUP(D13, CR:CR, CS:DF)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/>
      <c r="AH13" s="15"/>
      <c r="AI13" s="15"/>
      <c r="AJ13" s="15"/>
      <c r="AK13" s="15"/>
      <c r="AL13" s="15"/>
      <c r="AM13" s="15"/>
      <c r="AN13" s="15"/>
      <c r="AO13" s="15"/>
      <c r="AQ13" s="1">
        <f t="shared" si="1"/>
        <v>0</v>
      </c>
      <c r="AR13" s="1">
        <f t="shared" si="27"/>
        <v>0</v>
      </c>
      <c r="AS13" s="11" t="e">
        <f t="shared" si="28"/>
        <v>#DIV/0!</v>
      </c>
      <c r="AT13" s="11" t="e">
        <f t="shared" si="29"/>
        <v>#DIV/0!</v>
      </c>
      <c r="AU13" s="5" t="e">
        <f t="shared" si="30"/>
        <v>#DIV/0!</v>
      </c>
      <c r="AV13" s="5" t="e">
        <f t="shared" si="31"/>
        <v>#DIV/0!</v>
      </c>
      <c r="AW13" s="1" t="e">
        <f t="shared" si="32"/>
        <v>#DIV/0!</v>
      </c>
      <c r="AX13" s="1" t="e">
        <f t="shared" si="33"/>
        <v>#DIV/0!</v>
      </c>
      <c r="AY13" s="1" t="e">
        <f t="shared" si="34"/>
        <v>#DIV/0!</v>
      </c>
      <c r="AZ13" s="1" t="e">
        <f t="shared" si="35"/>
        <v>#DIV/0!</v>
      </c>
      <c r="BA13" s="1" t="e">
        <f t="shared" si="36"/>
        <v>#DIV/0!</v>
      </c>
      <c r="BB13" s="1" t="e">
        <f t="shared" si="37"/>
        <v>#DIV/0!</v>
      </c>
      <c r="BC13" s="1" t="e">
        <f t="shared" si="38"/>
        <v>#DIV/0!</v>
      </c>
      <c r="BD13" s="1" t="e">
        <f t="shared" si="39"/>
        <v>#DIV/0!</v>
      </c>
      <c r="BE13" s="1" t="e">
        <f t="shared" si="40"/>
        <v>#DIV/0!</v>
      </c>
      <c r="BF13" s="1" t="e">
        <f t="shared" si="41"/>
        <v>#DIV/0!</v>
      </c>
      <c r="BG13" s="1" t="e">
        <f t="shared" si="42"/>
        <v>#DIV/0!</v>
      </c>
      <c r="BH13" s="1" t="e">
        <f t="shared" si="43"/>
        <v>#DIV/0!</v>
      </c>
      <c r="BI13" s="1" t="e">
        <f t="shared" si="44"/>
        <v>#DIV/0!</v>
      </c>
      <c r="BJ13" s="1" t="e">
        <f t="shared" si="45"/>
        <v>#DIV/0!</v>
      </c>
      <c r="BK13" s="1" t="e">
        <f t="shared" si="46"/>
        <v>#DIV/0!</v>
      </c>
      <c r="BL13" s="1" t="e">
        <f t="shared" si="47"/>
        <v>#DIV/0!</v>
      </c>
      <c r="BM13" s="1" t="e">
        <f t="shared" si="48"/>
        <v>#DIV/0!</v>
      </c>
      <c r="BN13" s="1" t="e">
        <f t="shared" si="49"/>
        <v>#DIV/0!</v>
      </c>
      <c r="BP13" s="1" t="str">
        <f t="shared" si="50"/>
        <v>Drymill CCS Fermentation Exhaust</v>
      </c>
      <c r="BQ13" s="1" t="e">
        <f t="shared" si="51"/>
        <v>#DIV/0!</v>
      </c>
      <c r="BR13" s="1" t="e">
        <f t="shared" si="52"/>
        <v>#DIV/0!</v>
      </c>
      <c r="BS13" s="1" t="e">
        <f t="array" ref="BS13">_xlfn.IFS(S13="Biomass_Corn", 1/V13/H13*AL13, S13="Biomass_Agri", 1/V13/H13*AK13, S13="Biomass_Wood", 1/V13/H13*AJ13, S13="Biomass_Herb", 1/V13/H13*AI13)</f>
        <v>#DIV/0!</v>
      </c>
      <c r="BT13" s="1" t="e">
        <f t="shared" si="53"/>
        <v>#DIV/0!</v>
      </c>
      <c r="BU13" s="1" t="e">
        <f t="shared" si="54"/>
        <v>#DIV/0!</v>
      </c>
      <c r="BV13" s="1" t="e">
        <f t="shared" si="55"/>
        <v>#DIV/0!</v>
      </c>
      <c r="BW13" s="1" t="e">
        <f t="shared" si="56"/>
        <v>#DIV/0!</v>
      </c>
      <c r="BY13" s="9">
        <f t="shared" si="14"/>
        <v>3.1428571428571428</v>
      </c>
      <c r="BZ13" s="18">
        <f t="shared" si="15"/>
        <v>1.7588666580000001</v>
      </c>
      <c r="CA13" s="10">
        <v>0.1828908353</v>
      </c>
      <c r="CB13" s="9">
        <v>0.23037490999999999</v>
      </c>
      <c r="CD13" s="10" t="e">
        <f t="shared" si="16"/>
        <v>#DIV/0!</v>
      </c>
      <c r="CE13" s="10" t="e">
        <f t="shared" si="17"/>
        <v>#DIV/0!</v>
      </c>
      <c r="CF13" s="10" t="e">
        <f t="shared" si="18"/>
        <v>#DIV/0!</v>
      </c>
      <c r="CG13" s="10">
        <f t="shared" si="19"/>
        <v>0</v>
      </c>
      <c r="CH13" s="10" t="e">
        <f t="shared" si="20"/>
        <v>#DIV/0!</v>
      </c>
      <c r="CJ13" s="18" t="e">
        <f t="shared" si="21"/>
        <v>#DIV/0!</v>
      </c>
      <c r="CK13" s="18" t="e">
        <f t="shared" si="22"/>
        <v>#DIV/0!</v>
      </c>
      <c r="CL13" s="10">
        <f t="shared" si="23"/>
        <v>3.1428571428571428</v>
      </c>
      <c r="CM13" s="10" t="e">
        <f t="shared" si="24"/>
        <v>#DIV/0!</v>
      </c>
      <c r="CN13" s="10" t="e">
        <f t="shared" si="25"/>
        <v>#DIV/0!</v>
      </c>
      <c r="CP13" s="1" t="e">
        <f t="shared" si="26"/>
        <v>#DIV/0!</v>
      </c>
    </row>
    <row r="14" spans="2:110" x14ac:dyDescent="0.2">
      <c r="B14" s="24"/>
      <c r="C14" s="24"/>
      <c r="D14" s="24">
        <v>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R14" s="18" t="str" cm="1">
        <f t="array" ref="R14:AE14">_xlfn.XLOOKUP(D14, CR:CR, CS:DF)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/>
      <c r="AH14" s="15"/>
      <c r="AI14" s="15"/>
      <c r="AJ14" s="15"/>
      <c r="AK14" s="15"/>
      <c r="AL14" s="15"/>
      <c r="AM14" s="15"/>
      <c r="AN14" s="15"/>
      <c r="AO14" s="15"/>
      <c r="AQ14" s="1">
        <f t="shared" si="1"/>
        <v>0</v>
      </c>
      <c r="AR14" s="1">
        <f t="shared" si="27"/>
        <v>0</v>
      </c>
      <c r="AS14" s="11" t="e">
        <f t="shared" si="28"/>
        <v>#DIV/0!</v>
      </c>
      <c r="AT14" s="11" t="e">
        <f t="shared" si="29"/>
        <v>#DIV/0!</v>
      </c>
      <c r="AU14" s="5" t="e">
        <f t="shared" si="30"/>
        <v>#DIV/0!</v>
      </c>
      <c r="AV14" s="5" t="e">
        <f t="shared" si="31"/>
        <v>#DIV/0!</v>
      </c>
      <c r="AW14" s="1" t="e">
        <f t="shared" si="32"/>
        <v>#DIV/0!</v>
      </c>
      <c r="AX14" s="1" t="e">
        <f t="shared" si="33"/>
        <v>#DIV/0!</v>
      </c>
      <c r="AY14" s="1" t="e">
        <f t="shared" si="34"/>
        <v>#DIV/0!</v>
      </c>
      <c r="AZ14" s="1" t="e">
        <f t="shared" si="35"/>
        <v>#DIV/0!</v>
      </c>
      <c r="BA14" s="1" t="e">
        <f t="shared" si="36"/>
        <v>#DIV/0!</v>
      </c>
      <c r="BB14" s="1" t="e">
        <f t="shared" si="37"/>
        <v>#DIV/0!</v>
      </c>
      <c r="BC14" s="1" t="e">
        <f t="shared" si="38"/>
        <v>#DIV/0!</v>
      </c>
      <c r="BD14" s="1" t="e">
        <f t="shared" si="39"/>
        <v>#DIV/0!</v>
      </c>
      <c r="BE14" s="1" t="e">
        <f t="shared" si="40"/>
        <v>#DIV/0!</v>
      </c>
      <c r="BF14" s="1" t="e">
        <f t="shared" si="41"/>
        <v>#DIV/0!</v>
      </c>
      <c r="BG14" s="1" t="e">
        <f t="shared" si="42"/>
        <v>#DIV/0!</v>
      </c>
      <c r="BH14" s="1" t="e">
        <f t="shared" si="43"/>
        <v>#DIV/0!</v>
      </c>
      <c r="BI14" s="1" t="e">
        <f t="shared" si="44"/>
        <v>#DIV/0!</v>
      </c>
      <c r="BJ14" s="1" t="e">
        <f t="shared" si="45"/>
        <v>#DIV/0!</v>
      </c>
      <c r="BK14" s="1" t="e">
        <f t="shared" si="46"/>
        <v>#DIV/0!</v>
      </c>
      <c r="BL14" s="1" t="e">
        <f t="shared" si="47"/>
        <v>#DIV/0!</v>
      </c>
      <c r="BM14" s="1" t="e">
        <f t="shared" si="48"/>
        <v>#DIV/0!</v>
      </c>
      <c r="BN14" s="1" t="e">
        <f t="shared" si="49"/>
        <v>#DIV/0!</v>
      </c>
      <c r="BP14" s="1" t="str">
        <f t="shared" si="50"/>
        <v>Drymill CCS Fermentation Exhaust</v>
      </c>
      <c r="BQ14" s="1" t="e">
        <f t="shared" si="51"/>
        <v>#DIV/0!</v>
      </c>
      <c r="BR14" s="1" t="e">
        <f t="shared" si="52"/>
        <v>#DIV/0!</v>
      </c>
      <c r="BS14" s="1" t="e">
        <f t="array" ref="BS14">_xlfn.IFS(S14="Biomass_Corn", 1/V14/H14*AL14, S14="Biomass_Agri", 1/V14/H14*AK14, S14="Biomass_Wood", 1/V14/H14*AJ14, S14="Biomass_Herb", 1/V14/H14*AI14)</f>
        <v>#DIV/0!</v>
      </c>
      <c r="BT14" s="1" t="e">
        <f t="shared" si="53"/>
        <v>#DIV/0!</v>
      </c>
      <c r="BU14" s="1" t="e">
        <f t="shared" si="54"/>
        <v>#DIV/0!</v>
      </c>
      <c r="BV14" s="1" t="e">
        <f t="shared" si="55"/>
        <v>#DIV/0!</v>
      </c>
      <c r="BW14" s="1" t="e">
        <f t="shared" si="56"/>
        <v>#DIV/0!</v>
      </c>
      <c r="BY14" s="9">
        <f t="shared" si="14"/>
        <v>3.1428571428571428</v>
      </c>
      <c r="BZ14" s="18">
        <f t="shared" si="15"/>
        <v>1.7588666580000001</v>
      </c>
      <c r="CA14" s="10">
        <v>0.1828908353</v>
      </c>
      <c r="CB14" s="9">
        <v>0.23037490999999999</v>
      </c>
      <c r="CD14" s="10" t="e">
        <f t="shared" si="16"/>
        <v>#DIV/0!</v>
      </c>
      <c r="CE14" s="10" t="e">
        <f t="shared" si="17"/>
        <v>#DIV/0!</v>
      </c>
      <c r="CF14" s="10" t="e">
        <f t="shared" si="18"/>
        <v>#DIV/0!</v>
      </c>
      <c r="CG14" s="10">
        <f t="shared" si="19"/>
        <v>0</v>
      </c>
      <c r="CH14" s="10" t="e">
        <f t="shared" si="20"/>
        <v>#DIV/0!</v>
      </c>
      <c r="CJ14" s="18" t="e">
        <f t="shared" si="21"/>
        <v>#DIV/0!</v>
      </c>
      <c r="CK14" s="18" t="e">
        <f t="shared" si="22"/>
        <v>#DIV/0!</v>
      </c>
      <c r="CL14" s="10">
        <f t="shared" si="23"/>
        <v>3.1428571428571428</v>
      </c>
      <c r="CM14" s="10" t="e">
        <f t="shared" si="24"/>
        <v>#DIV/0!</v>
      </c>
      <c r="CN14" s="10" t="e">
        <f t="shared" si="25"/>
        <v>#DIV/0!</v>
      </c>
      <c r="CP14" s="1" t="e">
        <f t="shared" si="26"/>
        <v>#DIV/0!</v>
      </c>
    </row>
    <row r="15" spans="2:110" x14ac:dyDescent="0.2">
      <c r="B15" s="24"/>
      <c r="C15" s="24"/>
      <c r="D15" s="24">
        <v>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R15" s="18" t="str" cm="1">
        <f t="array" ref="R15:AE15">_xlfn.XLOOKUP(D15, CR:CR, CS:DF)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/>
      <c r="AH15" s="15"/>
      <c r="AI15" s="15"/>
      <c r="AJ15" s="15"/>
      <c r="AK15" s="15"/>
      <c r="AL15" s="15"/>
      <c r="AM15" s="15"/>
      <c r="AN15" s="15"/>
      <c r="AO15" s="15"/>
      <c r="AQ15" s="1">
        <f t="shared" si="1"/>
        <v>0</v>
      </c>
      <c r="AR15" s="1">
        <f t="shared" si="27"/>
        <v>0</v>
      </c>
      <c r="AS15" s="11" t="e">
        <f t="shared" si="28"/>
        <v>#DIV/0!</v>
      </c>
      <c r="AT15" s="11" t="e">
        <f t="shared" si="29"/>
        <v>#DIV/0!</v>
      </c>
      <c r="AU15" s="5" t="e">
        <f t="shared" si="30"/>
        <v>#DIV/0!</v>
      </c>
      <c r="AV15" s="5" t="e">
        <f t="shared" si="31"/>
        <v>#DIV/0!</v>
      </c>
      <c r="AW15" s="1" t="e">
        <f t="shared" si="32"/>
        <v>#DIV/0!</v>
      </c>
      <c r="AX15" s="1" t="e">
        <f t="shared" si="33"/>
        <v>#DIV/0!</v>
      </c>
      <c r="AY15" s="1" t="e">
        <f t="shared" si="34"/>
        <v>#DIV/0!</v>
      </c>
      <c r="AZ15" s="1" t="e">
        <f t="shared" si="35"/>
        <v>#DIV/0!</v>
      </c>
      <c r="BA15" s="1" t="e">
        <f t="shared" si="36"/>
        <v>#DIV/0!</v>
      </c>
      <c r="BB15" s="1" t="e">
        <f t="shared" si="37"/>
        <v>#DIV/0!</v>
      </c>
      <c r="BC15" s="1" t="e">
        <f t="shared" si="38"/>
        <v>#DIV/0!</v>
      </c>
      <c r="BD15" s="1" t="e">
        <f t="shared" si="39"/>
        <v>#DIV/0!</v>
      </c>
      <c r="BE15" s="1" t="e">
        <f t="shared" si="40"/>
        <v>#DIV/0!</v>
      </c>
      <c r="BF15" s="1" t="e">
        <f t="shared" si="41"/>
        <v>#DIV/0!</v>
      </c>
      <c r="BG15" s="1" t="e">
        <f t="shared" si="42"/>
        <v>#DIV/0!</v>
      </c>
      <c r="BH15" s="1" t="e">
        <f t="shared" si="43"/>
        <v>#DIV/0!</v>
      </c>
      <c r="BI15" s="1" t="e">
        <f t="shared" si="44"/>
        <v>#DIV/0!</v>
      </c>
      <c r="BJ15" s="1" t="e">
        <f t="shared" si="45"/>
        <v>#DIV/0!</v>
      </c>
      <c r="BK15" s="1" t="e">
        <f t="shared" si="46"/>
        <v>#DIV/0!</v>
      </c>
      <c r="BL15" s="1" t="e">
        <f t="shared" si="47"/>
        <v>#DIV/0!</v>
      </c>
      <c r="BM15" s="1" t="e">
        <f t="shared" si="48"/>
        <v>#DIV/0!</v>
      </c>
      <c r="BN15" s="1" t="e">
        <f t="shared" si="49"/>
        <v>#DIV/0!</v>
      </c>
      <c r="BP15" s="1" t="str">
        <f t="shared" si="50"/>
        <v>Drymill CCS Fermentation Exhaust</v>
      </c>
      <c r="BQ15" s="1" t="e">
        <f t="shared" si="51"/>
        <v>#DIV/0!</v>
      </c>
      <c r="BR15" s="1" t="e">
        <f t="shared" si="52"/>
        <v>#DIV/0!</v>
      </c>
      <c r="BS15" s="1" t="e">
        <f t="array" ref="BS15">_xlfn.IFS(S15="Biomass_Corn", 1/V15/H15*AL15, S15="Biomass_Agri", 1/V15/H15*AK15, S15="Biomass_Wood", 1/V15/H15*AJ15, S15="Biomass_Herb", 1/V15/H15*AI15)</f>
        <v>#DIV/0!</v>
      </c>
      <c r="BT15" s="1" t="e">
        <f t="shared" si="53"/>
        <v>#DIV/0!</v>
      </c>
      <c r="BU15" s="1" t="e">
        <f t="shared" si="54"/>
        <v>#DIV/0!</v>
      </c>
      <c r="BV15" s="1" t="e">
        <f t="shared" si="55"/>
        <v>#DIV/0!</v>
      </c>
      <c r="BW15" s="1" t="e">
        <f t="shared" si="56"/>
        <v>#DIV/0!</v>
      </c>
      <c r="BY15" s="9">
        <f t="shared" si="14"/>
        <v>3.1428571428571428</v>
      </c>
      <c r="BZ15" s="18">
        <f t="shared" si="15"/>
        <v>1.7588666580000001</v>
      </c>
      <c r="CA15" s="10">
        <v>0.1828908353</v>
      </c>
      <c r="CB15" s="9">
        <v>0.23037490999999999</v>
      </c>
      <c r="CD15" s="10" t="e">
        <f t="shared" si="16"/>
        <v>#DIV/0!</v>
      </c>
      <c r="CE15" s="10" t="e">
        <f t="shared" si="17"/>
        <v>#DIV/0!</v>
      </c>
      <c r="CF15" s="10" t="e">
        <f t="shared" si="18"/>
        <v>#DIV/0!</v>
      </c>
      <c r="CG15" s="10">
        <f t="shared" si="19"/>
        <v>0</v>
      </c>
      <c r="CH15" s="10" t="e">
        <f t="shared" si="20"/>
        <v>#DIV/0!</v>
      </c>
      <c r="CJ15" s="18" t="e">
        <f t="shared" si="21"/>
        <v>#DIV/0!</v>
      </c>
      <c r="CK15" s="18" t="e">
        <f t="shared" si="22"/>
        <v>#DIV/0!</v>
      </c>
      <c r="CL15" s="10">
        <f t="shared" si="23"/>
        <v>3.1428571428571428</v>
      </c>
      <c r="CM15" s="10" t="e">
        <f t="shared" si="24"/>
        <v>#DIV/0!</v>
      </c>
      <c r="CN15" s="10" t="e">
        <f t="shared" si="25"/>
        <v>#DIV/0!</v>
      </c>
      <c r="CP15" s="1" t="e">
        <f t="shared" si="26"/>
        <v>#DIV/0!</v>
      </c>
    </row>
    <row r="16" spans="2:110" x14ac:dyDescent="0.2">
      <c r="B16" s="24"/>
      <c r="C16" s="24"/>
      <c r="D16" s="24">
        <v>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R16" s="18" t="str" cm="1">
        <f t="array" ref="R16:AE16">_xlfn.XLOOKUP(D16, CR:CR, CS:DF)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/>
      <c r="AH16" s="15"/>
      <c r="AI16" s="15"/>
      <c r="AJ16" s="15"/>
      <c r="AK16" s="15"/>
      <c r="AL16" s="15"/>
      <c r="AM16" s="15"/>
      <c r="AN16" s="15"/>
      <c r="AO16" s="15"/>
      <c r="AQ16" s="1">
        <f t="shared" si="1"/>
        <v>0</v>
      </c>
      <c r="AR16" s="1">
        <f t="shared" si="27"/>
        <v>0</v>
      </c>
      <c r="AS16" s="11" t="e">
        <f t="shared" si="28"/>
        <v>#DIV/0!</v>
      </c>
      <c r="AT16" s="11" t="e">
        <f t="shared" si="29"/>
        <v>#DIV/0!</v>
      </c>
      <c r="AU16" s="5" t="e">
        <f t="shared" si="30"/>
        <v>#DIV/0!</v>
      </c>
      <c r="AV16" s="5" t="e">
        <f t="shared" si="31"/>
        <v>#DIV/0!</v>
      </c>
      <c r="AW16" s="1" t="e">
        <f t="shared" si="32"/>
        <v>#DIV/0!</v>
      </c>
      <c r="AX16" s="1" t="e">
        <f t="shared" si="33"/>
        <v>#DIV/0!</v>
      </c>
      <c r="AY16" s="1" t="e">
        <f t="shared" si="34"/>
        <v>#DIV/0!</v>
      </c>
      <c r="AZ16" s="1" t="e">
        <f t="shared" si="35"/>
        <v>#DIV/0!</v>
      </c>
      <c r="BA16" s="1" t="e">
        <f t="shared" si="36"/>
        <v>#DIV/0!</v>
      </c>
      <c r="BB16" s="1" t="e">
        <f t="shared" si="37"/>
        <v>#DIV/0!</v>
      </c>
      <c r="BC16" s="1" t="e">
        <f t="shared" si="38"/>
        <v>#DIV/0!</v>
      </c>
      <c r="BD16" s="1" t="e">
        <f t="shared" si="39"/>
        <v>#DIV/0!</v>
      </c>
      <c r="BE16" s="1" t="e">
        <f t="shared" si="40"/>
        <v>#DIV/0!</v>
      </c>
      <c r="BF16" s="1" t="e">
        <f t="shared" si="41"/>
        <v>#DIV/0!</v>
      </c>
      <c r="BG16" s="1" t="e">
        <f t="shared" si="42"/>
        <v>#DIV/0!</v>
      </c>
      <c r="BH16" s="1" t="e">
        <f t="shared" si="43"/>
        <v>#DIV/0!</v>
      </c>
      <c r="BI16" s="1" t="e">
        <f t="shared" si="44"/>
        <v>#DIV/0!</v>
      </c>
      <c r="BJ16" s="1" t="e">
        <f t="shared" si="45"/>
        <v>#DIV/0!</v>
      </c>
      <c r="BK16" s="1" t="e">
        <f t="shared" si="46"/>
        <v>#DIV/0!</v>
      </c>
      <c r="BL16" s="1" t="e">
        <f t="shared" si="47"/>
        <v>#DIV/0!</v>
      </c>
      <c r="BM16" s="1" t="e">
        <f t="shared" si="48"/>
        <v>#DIV/0!</v>
      </c>
      <c r="BN16" s="1" t="e">
        <f t="shared" si="49"/>
        <v>#DIV/0!</v>
      </c>
      <c r="BP16" s="1" t="str">
        <f t="shared" si="50"/>
        <v>Drymill CCS Fermentation Exhaust</v>
      </c>
      <c r="BQ16" s="1" t="e">
        <f t="shared" si="51"/>
        <v>#DIV/0!</v>
      </c>
      <c r="BR16" s="1" t="e">
        <f t="shared" si="52"/>
        <v>#DIV/0!</v>
      </c>
      <c r="BS16" s="1" t="e">
        <f t="array" ref="BS16">_xlfn.IFS(S16="Biomass_Corn", 1/V16/H16*AL16, S16="Biomass_Agri", 1/V16/H16*AK16, S16="Biomass_Wood", 1/V16/H16*AJ16, S16="Biomass_Herb", 1/V16/H16*AI16)</f>
        <v>#DIV/0!</v>
      </c>
      <c r="BT16" s="1" t="e">
        <f t="shared" si="53"/>
        <v>#DIV/0!</v>
      </c>
      <c r="BU16" s="1" t="e">
        <f t="shared" si="54"/>
        <v>#DIV/0!</v>
      </c>
      <c r="BV16" s="1" t="e">
        <f t="shared" si="55"/>
        <v>#DIV/0!</v>
      </c>
      <c r="BW16" s="1" t="e">
        <f t="shared" si="56"/>
        <v>#DIV/0!</v>
      </c>
      <c r="BY16" s="9">
        <f t="shared" si="14"/>
        <v>3.1428571428571428</v>
      </c>
      <c r="BZ16" s="18">
        <f t="shared" si="15"/>
        <v>1.7588666580000001</v>
      </c>
      <c r="CA16" s="10">
        <v>0.1828908353</v>
      </c>
      <c r="CB16" s="9">
        <v>0.23037490999999999</v>
      </c>
      <c r="CD16" s="10" t="e">
        <f t="shared" si="16"/>
        <v>#DIV/0!</v>
      </c>
      <c r="CE16" s="10" t="e">
        <f t="shared" si="17"/>
        <v>#DIV/0!</v>
      </c>
      <c r="CF16" s="10" t="e">
        <f t="shared" si="18"/>
        <v>#DIV/0!</v>
      </c>
      <c r="CG16" s="10">
        <f t="shared" si="19"/>
        <v>0</v>
      </c>
      <c r="CH16" s="10" t="e">
        <f t="shared" si="20"/>
        <v>#DIV/0!</v>
      </c>
      <c r="CJ16" s="18" t="e">
        <f t="shared" si="21"/>
        <v>#DIV/0!</v>
      </c>
      <c r="CK16" s="18" t="e">
        <f t="shared" si="22"/>
        <v>#DIV/0!</v>
      </c>
      <c r="CL16" s="10">
        <f t="shared" si="23"/>
        <v>3.1428571428571428</v>
      </c>
      <c r="CM16" s="10" t="e">
        <f t="shared" si="24"/>
        <v>#DIV/0!</v>
      </c>
      <c r="CN16" s="10" t="e">
        <f t="shared" si="25"/>
        <v>#DIV/0!</v>
      </c>
      <c r="CP16" s="1" t="e">
        <f t="shared" si="26"/>
        <v>#DIV/0!</v>
      </c>
    </row>
    <row r="17" spans="2:94" x14ac:dyDescent="0.2">
      <c r="B17" s="24"/>
      <c r="C17" s="24"/>
      <c r="D17" s="24">
        <v>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R17" s="18" t="str" cm="1">
        <f t="array" ref="R17:AE17">_xlfn.XLOOKUP(D17, CR:CR, CS:DF)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/>
      <c r="AH17" s="15"/>
      <c r="AI17" s="15"/>
      <c r="AJ17" s="15"/>
      <c r="AK17" s="15"/>
      <c r="AL17" s="15"/>
      <c r="AM17" s="15"/>
      <c r="AN17" s="15"/>
      <c r="AO17" s="15"/>
      <c r="AQ17" s="1">
        <f t="shared" si="1"/>
        <v>0</v>
      </c>
      <c r="AR17" s="1">
        <f t="shared" si="27"/>
        <v>0</v>
      </c>
      <c r="AS17" s="11" t="e">
        <f t="shared" si="28"/>
        <v>#DIV/0!</v>
      </c>
      <c r="AT17" s="11" t="e">
        <f t="shared" si="29"/>
        <v>#DIV/0!</v>
      </c>
      <c r="AU17" s="5" t="e">
        <f t="shared" si="30"/>
        <v>#DIV/0!</v>
      </c>
      <c r="AV17" s="5" t="e">
        <f t="shared" si="31"/>
        <v>#DIV/0!</v>
      </c>
      <c r="AW17" s="1" t="e">
        <f t="shared" si="32"/>
        <v>#DIV/0!</v>
      </c>
      <c r="AX17" s="1" t="e">
        <f t="shared" si="33"/>
        <v>#DIV/0!</v>
      </c>
      <c r="AY17" s="1" t="e">
        <f t="shared" si="34"/>
        <v>#DIV/0!</v>
      </c>
      <c r="AZ17" s="1" t="e">
        <f t="shared" si="35"/>
        <v>#DIV/0!</v>
      </c>
      <c r="BA17" s="1" t="e">
        <f t="shared" si="36"/>
        <v>#DIV/0!</v>
      </c>
      <c r="BB17" s="1" t="e">
        <f t="shared" si="37"/>
        <v>#DIV/0!</v>
      </c>
      <c r="BC17" s="1" t="e">
        <f t="shared" si="38"/>
        <v>#DIV/0!</v>
      </c>
      <c r="BD17" s="1" t="e">
        <f t="shared" si="39"/>
        <v>#DIV/0!</v>
      </c>
      <c r="BE17" s="1" t="e">
        <f t="shared" si="40"/>
        <v>#DIV/0!</v>
      </c>
      <c r="BF17" s="1" t="e">
        <f t="shared" si="41"/>
        <v>#DIV/0!</v>
      </c>
      <c r="BG17" s="1" t="e">
        <f t="shared" si="42"/>
        <v>#DIV/0!</v>
      </c>
      <c r="BH17" s="1" t="e">
        <f t="shared" si="43"/>
        <v>#DIV/0!</v>
      </c>
      <c r="BI17" s="1" t="e">
        <f t="shared" si="44"/>
        <v>#DIV/0!</v>
      </c>
      <c r="BJ17" s="1" t="e">
        <f t="shared" si="45"/>
        <v>#DIV/0!</v>
      </c>
      <c r="BK17" s="1" t="e">
        <f t="shared" si="46"/>
        <v>#DIV/0!</v>
      </c>
      <c r="BL17" s="1" t="e">
        <f t="shared" si="47"/>
        <v>#DIV/0!</v>
      </c>
      <c r="BM17" s="1" t="e">
        <f t="shared" si="48"/>
        <v>#DIV/0!</v>
      </c>
      <c r="BN17" s="1" t="e">
        <f t="shared" si="49"/>
        <v>#DIV/0!</v>
      </c>
      <c r="BP17" s="1" t="str">
        <f t="shared" si="50"/>
        <v>Drymill CCS Fermentation Exhaust</v>
      </c>
      <c r="BQ17" s="1" t="e">
        <f t="shared" si="51"/>
        <v>#DIV/0!</v>
      </c>
      <c r="BR17" s="1" t="e">
        <f t="shared" si="52"/>
        <v>#DIV/0!</v>
      </c>
      <c r="BS17" s="1" t="e">
        <f t="array" ref="BS17">_xlfn.IFS(S17="Biomass_Corn", 1/V17/H17*AL17, S17="Biomass_Agri", 1/V17/H17*AK17, S17="Biomass_Wood", 1/V17/H17*AJ17, S17="Biomass_Herb", 1/V17/H17*AI17)</f>
        <v>#DIV/0!</v>
      </c>
      <c r="BT17" s="1" t="e">
        <f t="shared" si="53"/>
        <v>#DIV/0!</v>
      </c>
      <c r="BU17" s="1" t="e">
        <f t="shared" si="54"/>
        <v>#DIV/0!</v>
      </c>
      <c r="BV17" s="1" t="e">
        <f t="shared" si="55"/>
        <v>#DIV/0!</v>
      </c>
      <c r="BW17" s="1" t="e">
        <f t="shared" si="56"/>
        <v>#DIV/0!</v>
      </c>
      <c r="BY17" s="9">
        <f t="shared" si="14"/>
        <v>3.1428571428571428</v>
      </c>
      <c r="BZ17" s="18">
        <f t="shared" si="15"/>
        <v>1.7588666580000001</v>
      </c>
      <c r="CA17" s="10">
        <v>0.1828908353</v>
      </c>
      <c r="CB17" s="9">
        <v>0.23037490999999999</v>
      </c>
      <c r="CD17" s="10" t="e">
        <f t="shared" si="16"/>
        <v>#DIV/0!</v>
      </c>
      <c r="CE17" s="10" t="e">
        <f t="shared" si="17"/>
        <v>#DIV/0!</v>
      </c>
      <c r="CF17" s="10" t="e">
        <f t="shared" si="18"/>
        <v>#DIV/0!</v>
      </c>
      <c r="CG17" s="10">
        <f t="shared" si="19"/>
        <v>0</v>
      </c>
      <c r="CH17" s="10" t="e">
        <f t="shared" si="20"/>
        <v>#DIV/0!</v>
      </c>
      <c r="CJ17" s="18" t="e">
        <f t="shared" si="21"/>
        <v>#DIV/0!</v>
      </c>
      <c r="CK17" s="18" t="e">
        <f t="shared" si="22"/>
        <v>#DIV/0!</v>
      </c>
      <c r="CL17" s="10">
        <f t="shared" si="23"/>
        <v>3.1428571428571428</v>
      </c>
      <c r="CM17" s="10" t="e">
        <f t="shared" si="24"/>
        <v>#DIV/0!</v>
      </c>
      <c r="CN17" s="10" t="e">
        <f t="shared" si="25"/>
        <v>#DIV/0!</v>
      </c>
      <c r="CP17" s="1" t="e">
        <f t="shared" si="26"/>
        <v>#DIV/0!</v>
      </c>
    </row>
    <row r="18" spans="2:94" x14ac:dyDescent="0.2">
      <c r="B18" s="24"/>
      <c r="C18" s="24"/>
      <c r="D18" s="24">
        <v>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R18" s="18" t="str" cm="1">
        <f t="array" ref="R18:AE18">_xlfn.XLOOKUP(D18, CR:CR, CS:DF)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/>
      <c r="AH18" s="15"/>
      <c r="AI18" s="15"/>
      <c r="AJ18" s="15"/>
      <c r="AK18" s="15"/>
      <c r="AL18" s="15"/>
      <c r="AM18" s="15"/>
      <c r="AN18" s="15"/>
      <c r="AO18" s="15"/>
      <c r="AQ18" s="1">
        <f t="shared" si="1"/>
        <v>0</v>
      </c>
      <c r="AR18" s="1">
        <f t="shared" si="27"/>
        <v>0</v>
      </c>
      <c r="AS18" s="11" t="e">
        <f t="shared" si="28"/>
        <v>#DIV/0!</v>
      </c>
      <c r="AT18" s="11" t="e">
        <f t="shared" si="29"/>
        <v>#DIV/0!</v>
      </c>
      <c r="AU18" s="5" t="e">
        <f t="shared" si="30"/>
        <v>#DIV/0!</v>
      </c>
      <c r="AV18" s="5" t="e">
        <f t="shared" si="31"/>
        <v>#DIV/0!</v>
      </c>
      <c r="AW18" s="1" t="e">
        <f t="shared" si="32"/>
        <v>#DIV/0!</v>
      </c>
      <c r="AX18" s="1" t="e">
        <f t="shared" si="33"/>
        <v>#DIV/0!</v>
      </c>
      <c r="AY18" s="1" t="e">
        <f t="shared" si="34"/>
        <v>#DIV/0!</v>
      </c>
      <c r="AZ18" s="1" t="e">
        <f t="shared" si="35"/>
        <v>#DIV/0!</v>
      </c>
      <c r="BA18" s="1" t="e">
        <f t="shared" si="36"/>
        <v>#DIV/0!</v>
      </c>
      <c r="BB18" s="1" t="e">
        <f t="shared" si="37"/>
        <v>#DIV/0!</v>
      </c>
      <c r="BC18" s="1" t="e">
        <f t="shared" si="38"/>
        <v>#DIV/0!</v>
      </c>
      <c r="BD18" s="1" t="e">
        <f t="shared" si="39"/>
        <v>#DIV/0!</v>
      </c>
      <c r="BE18" s="1" t="e">
        <f t="shared" si="40"/>
        <v>#DIV/0!</v>
      </c>
      <c r="BF18" s="1" t="e">
        <f t="shared" si="41"/>
        <v>#DIV/0!</v>
      </c>
      <c r="BG18" s="1" t="e">
        <f t="shared" si="42"/>
        <v>#DIV/0!</v>
      </c>
      <c r="BH18" s="1" t="e">
        <f t="shared" si="43"/>
        <v>#DIV/0!</v>
      </c>
      <c r="BI18" s="1" t="e">
        <f t="shared" si="44"/>
        <v>#DIV/0!</v>
      </c>
      <c r="BJ18" s="1" t="e">
        <f t="shared" si="45"/>
        <v>#DIV/0!</v>
      </c>
      <c r="BK18" s="1" t="e">
        <f t="shared" si="46"/>
        <v>#DIV/0!</v>
      </c>
      <c r="BL18" s="1" t="e">
        <f t="shared" si="47"/>
        <v>#DIV/0!</v>
      </c>
      <c r="BM18" s="1" t="e">
        <f t="shared" si="48"/>
        <v>#DIV/0!</v>
      </c>
      <c r="BN18" s="1" t="e">
        <f t="shared" si="49"/>
        <v>#DIV/0!</v>
      </c>
      <c r="BP18" s="1" t="str">
        <f t="shared" si="50"/>
        <v>Drymill CCS Fermentation Exhaust</v>
      </c>
      <c r="BQ18" s="1" t="e">
        <f t="shared" si="51"/>
        <v>#DIV/0!</v>
      </c>
      <c r="BR18" s="1" t="e">
        <f t="shared" si="52"/>
        <v>#DIV/0!</v>
      </c>
      <c r="BS18" s="1" t="e">
        <f t="array" ref="BS18">_xlfn.IFS(S18="Biomass_Corn", 1/V18/H18*AL18, S18="Biomass_Agri", 1/V18/H18*AK18, S18="Biomass_Wood", 1/V18/H18*AJ18, S18="Biomass_Herb", 1/V18/H18*AI18)</f>
        <v>#DIV/0!</v>
      </c>
      <c r="BT18" s="1" t="e">
        <f t="shared" si="53"/>
        <v>#DIV/0!</v>
      </c>
      <c r="BU18" s="1" t="e">
        <f t="shared" si="54"/>
        <v>#DIV/0!</v>
      </c>
      <c r="BV18" s="1" t="e">
        <f t="shared" si="55"/>
        <v>#DIV/0!</v>
      </c>
      <c r="BW18" s="1" t="e">
        <f t="shared" si="56"/>
        <v>#DIV/0!</v>
      </c>
      <c r="BY18" s="9">
        <f t="shared" si="14"/>
        <v>3.1428571428571428</v>
      </c>
      <c r="BZ18" s="18">
        <f t="shared" si="15"/>
        <v>1.7588666580000001</v>
      </c>
      <c r="CA18" s="10">
        <v>0.1828908353</v>
      </c>
      <c r="CB18" s="9">
        <v>0.23037490999999999</v>
      </c>
      <c r="CD18" s="10" t="e">
        <f t="shared" si="16"/>
        <v>#DIV/0!</v>
      </c>
      <c r="CE18" s="10" t="e">
        <f t="shared" si="17"/>
        <v>#DIV/0!</v>
      </c>
      <c r="CF18" s="10" t="e">
        <f t="shared" si="18"/>
        <v>#DIV/0!</v>
      </c>
      <c r="CG18" s="10">
        <f t="shared" si="19"/>
        <v>0</v>
      </c>
      <c r="CH18" s="10" t="e">
        <f t="shared" si="20"/>
        <v>#DIV/0!</v>
      </c>
      <c r="CJ18" s="18" t="e">
        <f t="shared" si="21"/>
        <v>#DIV/0!</v>
      </c>
      <c r="CK18" s="18" t="e">
        <f t="shared" si="22"/>
        <v>#DIV/0!</v>
      </c>
      <c r="CL18" s="10">
        <f t="shared" si="23"/>
        <v>3.1428571428571428</v>
      </c>
      <c r="CM18" s="10" t="e">
        <f t="shared" si="24"/>
        <v>#DIV/0!</v>
      </c>
      <c r="CN18" s="10" t="e">
        <f t="shared" si="25"/>
        <v>#DIV/0!</v>
      </c>
      <c r="CP18" s="1" t="e">
        <f t="shared" si="26"/>
        <v>#DIV/0!</v>
      </c>
    </row>
    <row r="19" spans="2:94" x14ac:dyDescent="0.2">
      <c r="B19" s="24"/>
      <c r="C19" s="24"/>
      <c r="D19" s="24">
        <v>6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R19" s="18" t="str" cm="1">
        <f t="array" ref="R19:AE19">_xlfn.XLOOKUP(D19, CR:CR, CS:DF)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/>
      <c r="AH19" s="15"/>
      <c r="AI19" s="15"/>
      <c r="AJ19" s="15"/>
      <c r="AK19" s="15"/>
      <c r="AL19" s="15"/>
      <c r="AM19" s="15"/>
      <c r="AN19" s="15"/>
      <c r="AO19" s="15"/>
      <c r="AQ19" s="1">
        <f t="shared" si="1"/>
        <v>0</v>
      </c>
      <c r="AR19" s="1">
        <f t="shared" si="27"/>
        <v>0</v>
      </c>
      <c r="AS19" s="11" t="e">
        <f t="shared" si="28"/>
        <v>#DIV/0!</v>
      </c>
      <c r="AT19" s="11" t="e">
        <f t="shared" si="29"/>
        <v>#DIV/0!</v>
      </c>
      <c r="AU19" s="5" t="e">
        <f t="shared" si="30"/>
        <v>#DIV/0!</v>
      </c>
      <c r="AV19" s="5" t="e">
        <f t="shared" si="31"/>
        <v>#DIV/0!</v>
      </c>
      <c r="AW19" s="1" t="e">
        <f t="shared" si="32"/>
        <v>#DIV/0!</v>
      </c>
      <c r="AX19" s="1" t="e">
        <f t="shared" si="33"/>
        <v>#DIV/0!</v>
      </c>
      <c r="AY19" s="1" t="e">
        <f t="shared" si="34"/>
        <v>#DIV/0!</v>
      </c>
      <c r="AZ19" s="1" t="e">
        <f t="shared" si="35"/>
        <v>#DIV/0!</v>
      </c>
      <c r="BA19" s="1" t="e">
        <f t="shared" si="36"/>
        <v>#DIV/0!</v>
      </c>
      <c r="BB19" s="1" t="e">
        <f t="shared" si="37"/>
        <v>#DIV/0!</v>
      </c>
      <c r="BC19" s="1" t="e">
        <f t="shared" si="38"/>
        <v>#DIV/0!</v>
      </c>
      <c r="BD19" s="1" t="e">
        <f t="shared" si="39"/>
        <v>#DIV/0!</v>
      </c>
      <c r="BE19" s="1" t="e">
        <f t="shared" si="40"/>
        <v>#DIV/0!</v>
      </c>
      <c r="BF19" s="1" t="e">
        <f t="shared" si="41"/>
        <v>#DIV/0!</v>
      </c>
      <c r="BG19" s="1" t="e">
        <f t="shared" si="42"/>
        <v>#DIV/0!</v>
      </c>
      <c r="BH19" s="1" t="e">
        <f t="shared" si="43"/>
        <v>#DIV/0!</v>
      </c>
      <c r="BI19" s="1" t="e">
        <f t="shared" si="44"/>
        <v>#DIV/0!</v>
      </c>
      <c r="BJ19" s="1" t="e">
        <f t="shared" si="45"/>
        <v>#DIV/0!</v>
      </c>
      <c r="BK19" s="1" t="e">
        <f t="shared" si="46"/>
        <v>#DIV/0!</v>
      </c>
      <c r="BL19" s="1" t="e">
        <f t="shared" si="47"/>
        <v>#DIV/0!</v>
      </c>
      <c r="BM19" s="1" t="e">
        <f t="shared" si="48"/>
        <v>#DIV/0!</v>
      </c>
      <c r="BN19" s="1" t="e">
        <f t="shared" si="49"/>
        <v>#DIV/0!</v>
      </c>
      <c r="BP19" s="1" t="str">
        <f t="shared" si="50"/>
        <v>Drymill CCS Fermentation Exhaust</v>
      </c>
      <c r="BQ19" s="1" t="e">
        <f t="shared" si="51"/>
        <v>#DIV/0!</v>
      </c>
      <c r="BR19" s="1" t="e">
        <f t="shared" si="52"/>
        <v>#DIV/0!</v>
      </c>
      <c r="BS19" s="1" t="e">
        <f t="array" ref="BS19">_xlfn.IFS(S19="Biomass_Corn", 1/V19/H19*AL19, S19="Biomass_Agri", 1/V19/H19*AK19, S19="Biomass_Wood", 1/V19/H19*AJ19, S19="Biomass_Herb", 1/V19/H19*AI19)</f>
        <v>#DIV/0!</v>
      </c>
      <c r="BT19" s="1" t="e">
        <f t="shared" si="53"/>
        <v>#DIV/0!</v>
      </c>
      <c r="BU19" s="1" t="e">
        <f t="shared" si="54"/>
        <v>#DIV/0!</v>
      </c>
      <c r="BV19" s="1" t="e">
        <f t="shared" si="55"/>
        <v>#DIV/0!</v>
      </c>
      <c r="BW19" s="1" t="e">
        <f t="shared" si="56"/>
        <v>#DIV/0!</v>
      </c>
      <c r="BY19" s="9">
        <f t="shared" si="14"/>
        <v>3.1428571428571428</v>
      </c>
      <c r="BZ19" s="18">
        <f t="shared" si="15"/>
        <v>1.7588666580000001</v>
      </c>
      <c r="CA19" s="10">
        <v>0.1828908353</v>
      </c>
      <c r="CB19" s="9">
        <v>0.23037490999999999</v>
      </c>
      <c r="CD19" s="10" t="e">
        <f t="shared" si="16"/>
        <v>#DIV/0!</v>
      </c>
      <c r="CE19" s="10" t="e">
        <f t="shared" si="17"/>
        <v>#DIV/0!</v>
      </c>
      <c r="CF19" s="10" t="e">
        <f t="shared" si="18"/>
        <v>#DIV/0!</v>
      </c>
      <c r="CG19" s="10">
        <f t="shared" si="19"/>
        <v>0</v>
      </c>
      <c r="CH19" s="10" t="e">
        <f t="shared" si="20"/>
        <v>#DIV/0!</v>
      </c>
      <c r="CJ19" s="18" t="e">
        <f t="shared" si="21"/>
        <v>#DIV/0!</v>
      </c>
      <c r="CK19" s="18" t="e">
        <f t="shared" si="22"/>
        <v>#DIV/0!</v>
      </c>
      <c r="CL19" s="10">
        <f t="shared" si="23"/>
        <v>3.1428571428571428</v>
      </c>
      <c r="CM19" s="10" t="e">
        <f t="shared" si="24"/>
        <v>#DIV/0!</v>
      </c>
      <c r="CN19" s="10" t="e">
        <f t="shared" si="25"/>
        <v>#DIV/0!</v>
      </c>
      <c r="CP19" s="1" t="e">
        <f t="shared" si="26"/>
        <v>#DIV/0!</v>
      </c>
    </row>
    <row r="20" spans="2:94" x14ac:dyDescent="0.2">
      <c r="B20" s="24"/>
      <c r="C20" s="24"/>
      <c r="D20" s="24">
        <v>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R20" s="18" t="str" cm="1">
        <f t="array" ref="R20:AE20">_xlfn.XLOOKUP(D20, CR:CR, CS:DF)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/>
      <c r="AH20" s="15"/>
      <c r="AI20" s="15"/>
      <c r="AJ20" s="15"/>
      <c r="AK20" s="15"/>
      <c r="AL20" s="15"/>
      <c r="AM20" s="15"/>
      <c r="AN20" s="15"/>
      <c r="AO20" s="15"/>
      <c r="AQ20" s="1">
        <f t="shared" ref="AQ20:AQ66" si="57">B20</f>
        <v>0</v>
      </c>
      <c r="AR20" s="1">
        <f t="shared" si="27"/>
        <v>0</v>
      </c>
      <c r="AS20" s="11" t="e">
        <f t="shared" si="28"/>
        <v>#DIV/0!</v>
      </c>
      <c r="AT20" s="11" t="e">
        <f t="shared" si="29"/>
        <v>#DIV/0!</v>
      </c>
      <c r="AU20" s="5" t="e">
        <f t="shared" si="30"/>
        <v>#DIV/0!</v>
      </c>
      <c r="AV20" s="5" t="e">
        <f t="shared" si="31"/>
        <v>#DIV/0!</v>
      </c>
      <c r="AW20" s="1" t="e">
        <f t="shared" si="32"/>
        <v>#DIV/0!</v>
      </c>
      <c r="AX20" s="1" t="e">
        <f t="shared" si="33"/>
        <v>#DIV/0!</v>
      </c>
      <c r="AY20" s="1" t="e">
        <f t="shared" si="34"/>
        <v>#DIV/0!</v>
      </c>
      <c r="AZ20" s="1" t="e">
        <f t="shared" si="35"/>
        <v>#DIV/0!</v>
      </c>
      <c r="BA20" s="1" t="e">
        <f t="shared" si="36"/>
        <v>#DIV/0!</v>
      </c>
      <c r="BB20" s="1" t="e">
        <f t="shared" si="37"/>
        <v>#DIV/0!</v>
      </c>
      <c r="BC20" s="1" t="e">
        <f t="shared" si="38"/>
        <v>#DIV/0!</v>
      </c>
      <c r="BD20" s="1" t="e">
        <f t="shared" si="39"/>
        <v>#DIV/0!</v>
      </c>
      <c r="BE20" s="1" t="e">
        <f t="shared" si="40"/>
        <v>#DIV/0!</v>
      </c>
      <c r="BF20" s="1" t="e">
        <f t="shared" si="41"/>
        <v>#DIV/0!</v>
      </c>
      <c r="BG20" s="1" t="e">
        <f t="shared" si="42"/>
        <v>#DIV/0!</v>
      </c>
      <c r="BH20" s="1" t="e">
        <f t="shared" si="43"/>
        <v>#DIV/0!</v>
      </c>
      <c r="BI20" s="1" t="e">
        <f t="shared" si="44"/>
        <v>#DIV/0!</v>
      </c>
      <c r="BJ20" s="1" t="e">
        <f t="shared" si="45"/>
        <v>#DIV/0!</v>
      </c>
      <c r="BK20" s="1" t="e">
        <f t="shared" si="46"/>
        <v>#DIV/0!</v>
      </c>
      <c r="BL20" s="1" t="e">
        <f t="shared" si="47"/>
        <v>#DIV/0!</v>
      </c>
      <c r="BM20" s="1" t="e">
        <f t="shared" si="48"/>
        <v>#DIV/0!</v>
      </c>
      <c r="BN20" s="1" t="e">
        <f t="shared" si="49"/>
        <v>#DIV/0!</v>
      </c>
      <c r="BP20" s="1" t="str">
        <f t="shared" si="50"/>
        <v>Drymill CCS Fermentation Exhaust</v>
      </c>
      <c r="BQ20" s="1" t="e">
        <f t="shared" si="51"/>
        <v>#DIV/0!</v>
      </c>
      <c r="BR20" s="1" t="e">
        <f t="shared" si="52"/>
        <v>#DIV/0!</v>
      </c>
      <c r="BS20" s="1" t="e">
        <f t="array" ref="BS20">_xlfn.IFS(S20="Biomass_Corn", 1/V20/H20*AL20, S20="Biomass_Agri", 1/V20/H20*AK20, S20="Biomass_Wood", 1/V20/H20*AJ20, S20="Biomass_Herb", 1/V20/H20*AI20)</f>
        <v>#DIV/0!</v>
      </c>
      <c r="BT20" s="1" t="e">
        <f t="shared" si="53"/>
        <v>#DIV/0!</v>
      </c>
      <c r="BU20" s="1" t="e">
        <f t="shared" si="54"/>
        <v>#DIV/0!</v>
      </c>
      <c r="BV20" s="1" t="e">
        <f t="shared" si="55"/>
        <v>#DIV/0!</v>
      </c>
      <c r="BW20" s="1" t="e">
        <f t="shared" si="56"/>
        <v>#DIV/0!</v>
      </c>
      <c r="BY20" s="9">
        <f t="shared" si="14"/>
        <v>3.1428571428571428</v>
      </c>
      <c r="BZ20" s="18">
        <f t="shared" si="15"/>
        <v>1.7588666580000001</v>
      </c>
      <c r="CA20" s="10">
        <v>0.1828908353</v>
      </c>
      <c r="CB20" s="9">
        <v>0.23037490999999999</v>
      </c>
      <c r="CD20" s="10" t="e">
        <f t="shared" si="16"/>
        <v>#DIV/0!</v>
      </c>
      <c r="CE20" s="10" t="e">
        <f t="shared" si="17"/>
        <v>#DIV/0!</v>
      </c>
      <c r="CF20" s="10" t="e">
        <f t="shared" si="18"/>
        <v>#DIV/0!</v>
      </c>
      <c r="CG20" s="10">
        <f t="shared" si="19"/>
        <v>0</v>
      </c>
      <c r="CH20" s="10" t="e">
        <f t="shared" si="20"/>
        <v>#DIV/0!</v>
      </c>
      <c r="CJ20" s="18" t="e">
        <f t="shared" si="21"/>
        <v>#DIV/0!</v>
      </c>
      <c r="CK20" s="18" t="e">
        <f t="shared" si="22"/>
        <v>#DIV/0!</v>
      </c>
      <c r="CL20" s="10">
        <f t="shared" si="23"/>
        <v>3.1428571428571428</v>
      </c>
      <c r="CM20" s="10" t="e">
        <f t="shared" si="24"/>
        <v>#DIV/0!</v>
      </c>
      <c r="CN20" s="10" t="e">
        <f t="shared" si="25"/>
        <v>#DIV/0!</v>
      </c>
      <c r="CP20" s="1" t="e">
        <f t="shared" si="26"/>
        <v>#DIV/0!</v>
      </c>
    </row>
    <row r="21" spans="2:94" x14ac:dyDescent="0.2">
      <c r="B21" s="24"/>
      <c r="C21" s="24"/>
      <c r="D21" s="24">
        <v>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R21" s="18" t="str" cm="1">
        <f t="array" ref="R21:AE21">_xlfn.XLOOKUP(D21, CR:CR, CS:DF)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/>
      <c r="AH21" s="15"/>
      <c r="AI21" s="15"/>
      <c r="AJ21" s="15"/>
      <c r="AK21" s="15"/>
      <c r="AL21" s="15"/>
      <c r="AM21" s="15"/>
      <c r="AN21" s="15"/>
      <c r="AO21" s="15"/>
      <c r="AQ21" s="1">
        <f t="shared" si="57"/>
        <v>0</v>
      </c>
      <c r="AR21" s="1">
        <f t="shared" si="27"/>
        <v>0</v>
      </c>
      <c r="AS21" s="11" t="e">
        <f t="shared" si="28"/>
        <v>#DIV/0!</v>
      </c>
      <c r="AT21" s="11" t="e">
        <f t="shared" si="29"/>
        <v>#DIV/0!</v>
      </c>
      <c r="AU21" s="5" t="e">
        <f t="shared" si="30"/>
        <v>#DIV/0!</v>
      </c>
      <c r="AV21" s="5" t="e">
        <f t="shared" si="31"/>
        <v>#DIV/0!</v>
      </c>
      <c r="AW21" s="1" t="e">
        <f t="shared" si="32"/>
        <v>#DIV/0!</v>
      </c>
      <c r="AX21" s="1" t="e">
        <f t="shared" si="33"/>
        <v>#DIV/0!</v>
      </c>
      <c r="AY21" s="1" t="e">
        <f t="shared" si="34"/>
        <v>#DIV/0!</v>
      </c>
      <c r="AZ21" s="1" t="e">
        <f t="shared" si="35"/>
        <v>#DIV/0!</v>
      </c>
      <c r="BA21" s="1" t="e">
        <f t="shared" si="36"/>
        <v>#DIV/0!</v>
      </c>
      <c r="BB21" s="1" t="e">
        <f t="shared" si="37"/>
        <v>#DIV/0!</v>
      </c>
      <c r="BC21" s="1" t="e">
        <f t="shared" si="38"/>
        <v>#DIV/0!</v>
      </c>
      <c r="BD21" s="1" t="e">
        <f t="shared" si="39"/>
        <v>#DIV/0!</v>
      </c>
      <c r="BE21" s="1" t="e">
        <f t="shared" si="40"/>
        <v>#DIV/0!</v>
      </c>
      <c r="BF21" s="1" t="e">
        <f t="shared" si="41"/>
        <v>#DIV/0!</v>
      </c>
      <c r="BG21" s="1" t="e">
        <f t="shared" si="42"/>
        <v>#DIV/0!</v>
      </c>
      <c r="BH21" s="1" t="e">
        <f t="shared" si="43"/>
        <v>#DIV/0!</v>
      </c>
      <c r="BI21" s="1" t="e">
        <f t="shared" si="44"/>
        <v>#DIV/0!</v>
      </c>
      <c r="BJ21" s="1" t="e">
        <f t="shared" si="45"/>
        <v>#DIV/0!</v>
      </c>
      <c r="BK21" s="1" t="e">
        <f t="shared" si="46"/>
        <v>#DIV/0!</v>
      </c>
      <c r="BL21" s="1" t="e">
        <f t="shared" si="47"/>
        <v>#DIV/0!</v>
      </c>
      <c r="BM21" s="1" t="e">
        <f t="shared" si="48"/>
        <v>#DIV/0!</v>
      </c>
      <c r="BN21" s="1" t="e">
        <f t="shared" si="49"/>
        <v>#DIV/0!</v>
      </c>
      <c r="BP21" s="1" t="str">
        <f t="shared" si="50"/>
        <v>Drymill CCS Fermentation Exhaust</v>
      </c>
      <c r="BQ21" s="1" t="e">
        <f t="shared" si="51"/>
        <v>#DIV/0!</v>
      </c>
      <c r="BR21" s="1" t="e">
        <f t="shared" si="52"/>
        <v>#DIV/0!</v>
      </c>
      <c r="BS21" s="1" t="e">
        <f t="array" ref="BS21">_xlfn.IFS(S21="Biomass_Corn", 1/V21/H21*AL21, S21="Biomass_Agri", 1/V21/H21*AK21, S21="Biomass_Wood", 1/V21/H21*AJ21, S21="Biomass_Herb", 1/V21/H21*AI21)</f>
        <v>#DIV/0!</v>
      </c>
      <c r="BT21" s="1" t="e">
        <f t="shared" si="53"/>
        <v>#DIV/0!</v>
      </c>
      <c r="BU21" s="1" t="e">
        <f t="shared" si="54"/>
        <v>#DIV/0!</v>
      </c>
      <c r="BV21" s="1" t="e">
        <f t="shared" si="55"/>
        <v>#DIV/0!</v>
      </c>
      <c r="BW21" s="1" t="e">
        <f t="shared" si="56"/>
        <v>#DIV/0!</v>
      </c>
      <c r="BY21" s="9">
        <f t="shared" si="14"/>
        <v>3.1428571428571428</v>
      </c>
      <c r="BZ21" s="18">
        <f t="shared" si="15"/>
        <v>1.7588666580000001</v>
      </c>
      <c r="CA21" s="10">
        <v>0.1828908353</v>
      </c>
      <c r="CB21" s="9">
        <v>0.23037490999999999</v>
      </c>
      <c r="CD21" s="10" t="e">
        <f t="shared" si="16"/>
        <v>#DIV/0!</v>
      </c>
      <c r="CE21" s="10" t="e">
        <f t="shared" si="17"/>
        <v>#DIV/0!</v>
      </c>
      <c r="CF21" s="10" t="e">
        <f t="shared" si="18"/>
        <v>#DIV/0!</v>
      </c>
      <c r="CG21" s="10">
        <f t="shared" si="19"/>
        <v>0</v>
      </c>
      <c r="CH21" s="10" t="e">
        <f t="shared" si="20"/>
        <v>#DIV/0!</v>
      </c>
      <c r="CJ21" s="18" t="e">
        <f t="shared" si="21"/>
        <v>#DIV/0!</v>
      </c>
      <c r="CK21" s="18" t="e">
        <f t="shared" si="22"/>
        <v>#DIV/0!</v>
      </c>
      <c r="CL21" s="10">
        <f t="shared" si="23"/>
        <v>3.1428571428571428</v>
      </c>
      <c r="CM21" s="10" t="e">
        <f t="shared" si="24"/>
        <v>#DIV/0!</v>
      </c>
      <c r="CN21" s="10" t="e">
        <f t="shared" si="25"/>
        <v>#DIV/0!</v>
      </c>
      <c r="CP21" s="1" t="e">
        <f t="shared" si="26"/>
        <v>#DIV/0!</v>
      </c>
    </row>
    <row r="22" spans="2:94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 cm="1">
        <f t="array" ref="R22:AE22">_xlfn.XLOOKUP(D22, CR:CR, CS:DF)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57"/>
        <v>0</v>
      </c>
      <c r="AR22" s="1">
        <f t="shared" si="27"/>
        <v>0</v>
      </c>
      <c r="AS22" s="11" t="e">
        <f t="shared" si="28"/>
        <v>#DIV/0!</v>
      </c>
      <c r="AT22" s="11" t="e">
        <f t="shared" si="29"/>
        <v>#DIV/0!</v>
      </c>
      <c r="AU22" s="5" t="e">
        <f t="shared" si="30"/>
        <v>#DIV/0!</v>
      </c>
      <c r="AV22" s="5" t="e">
        <f t="shared" si="31"/>
        <v>#DIV/0!</v>
      </c>
      <c r="AW22" s="1" t="e">
        <f t="shared" si="32"/>
        <v>#DIV/0!</v>
      </c>
      <c r="AX22" s="1" t="e">
        <f t="shared" si="33"/>
        <v>#DIV/0!</v>
      </c>
      <c r="AY22" s="1" t="e">
        <f t="shared" si="34"/>
        <v>#DIV/0!</v>
      </c>
      <c r="AZ22" s="1" t="e">
        <f t="shared" si="35"/>
        <v>#DIV/0!</v>
      </c>
      <c r="BA22" s="1" t="e">
        <f t="shared" si="36"/>
        <v>#DIV/0!</v>
      </c>
      <c r="BB22" s="1" t="e">
        <f t="shared" si="37"/>
        <v>#DIV/0!</v>
      </c>
      <c r="BC22" s="1" t="e">
        <f t="shared" si="38"/>
        <v>#DIV/0!</v>
      </c>
      <c r="BD22" s="1" t="e">
        <f t="shared" si="39"/>
        <v>#DIV/0!</v>
      </c>
      <c r="BE22" s="1" t="e">
        <f t="shared" si="40"/>
        <v>#DIV/0!</v>
      </c>
      <c r="BF22" s="1" t="e">
        <f t="shared" si="41"/>
        <v>#DIV/0!</v>
      </c>
      <c r="BG22" s="1" t="e">
        <f t="shared" si="42"/>
        <v>#DIV/0!</v>
      </c>
      <c r="BH22" s="1" t="e">
        <f t="shared" si="43"/>
        <v>#DIV/0!</v>
      </c>
      <c r="BI22" s="1" t="e">
        <f t="shared" si="44"/>
        <v>#DIV/0!</v>
      </c>
      <c r="BJ22" s="1" t="e">
        <f t="shared" si="45"/>
        <v>#DIV/0!</v>
      </c>
      <c r="BK22" s="1" t="e">
        <f t="shared" si="46"/>
        <v>#DIV/0!</v>
      </c>
      <c r="BL22" s="1" t="e">
        <f t="shared" si="47"/>
        <v>#DIV/0!</v>
      </c>
      <c r="BM22" s="1" t="e">
        <f t="shared" si="48"/>
        <v>#DIV/0!</v>
      </c>
      <c r="BN22" s="1" t="e">
        <f t="shared" si="49"/>
        <v>#DIV/0!</v>
      </c>
      <c r="BP22" s="1" t="str">
        <f t="shared" si="50"/>
        <v>Drymill CCS Fermentation Exhaust</v>
      </c>
      <c r="BQ22" s="1" t="e">
        <f t="shared" si="51"/>
        <v>#DIV/0!</v>
      </c>
      <c r="BR22" s="1" t="e">
        <f t="shared" si="52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53"/>
        <v>#DIV/0!</v>
      </c>
      <c r="BU22" s="1" t="e">
        <f t="shared" si="54"/>
        <v>#DIV/0!</v>
      </c>
      <c r="BV22" s="1" t="e">
        <f t="shared" si="55"/>
        <v>#DIV/0!</v>
      </c>
      <c r="BW22" s="1" t="e">
        <f t="shared" si="56"/>
        <v>#DIV/0!</v>
      </c>
      <c r="BY22" s="9">
        <f t="shared" si="14"/>
        <v>3.1428571428571428</v>
      </c>
      <c r="BZ22" s="18">
        <f t="shared" si="15"/>
        <v>1.7588666580000001</v>
      </c>
      <c r="CA22" s="10">
        <v>0.1828908353</v>
      </c>
      <c r="CB22" s="9">
        <v>0.23037490999999999</v>
      </c>
      <c r="CD22" s="10" t="e">
        <f t="shared" si="16"/>
        <v>#DIV/0!</v>
      </c>
      <c r="CE22" s="10" t="e">
        <f t="shared" si="17"/>
        <v>#DIV/0!</v>
      </c>
      <c r="CF22" s="10" t="e">
        <f t="shared" si="18"/>
        <v>#DIV/0!</v>
      </c>
      <c r="CG22" s="10">
        <f t="shared" si="19"/>
        <v>0</v>
      </c>
      <c r="CH22" s="10" t="e">
        <f t="shared" si="20"/>
        <v>#DIV/0!</v>
      </c>
      <c r="CJ22" s="18" t="e">
        <f t="shared" si="21"/>
        <v>#DIV/0!</v>
      </c>
      <c r="CK22" s="18" t="e">
        <f t="shared" si="22"/>
        <v>#DIV/0!</v>
      </c>
      <c r="CL22" s="10">
        <f t="shared" si="23"/>
        <v>3.1428571428571428</v>
      </c>
      <c r="CM22" s="10" t="e">
        <f t="shared" si="24"/>
        <v>#DIV/0!</v>
      </c>
      <c r="CN22" s="10" t="e">
        <f t="shared" si="25"/>
        <v>#DIV/0!</v>
      </c>
      <c r="CP22" s="1" t="e">
        <f t="shared" si="26"/>
        <v>#DIV/0!</v>
      </c>
    </row>
    <row r="23" spans="2:94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 cm="1">
        <f t="array" ref="R23:AE23">_xlfn.XLOOKUP(D23, CR:CR, CS:DF)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57"/>
        <v>0</v>
      </c>
      <c r="AR23" s="1">
        <f t="shared" si="27"/>
        <v>0</v>
      </c>
      <c r="AS23" s="11" t="e">
        <f t="shared" si="28"/>
        <v>#DIV/0!</v>
      </c>
      <c r="AT23" s="11" t="e">
        <f t="shared" si="29"/>
        <v>#DIV/0!</v>
      </c>
      <c r="AU23" s="5" t="e">
        <f t="shared" si="30"/>
        <v>#DIV/0!</v>
      </c>
      <c r="AV23" s="5" t="e">
        <f t="shared" si="31"/>
        <v>#DIV/0!</v>
      </c>
      <c r="AW23" s="1" t="e">
        <f t="shared" si="32"/>
        <v>#DIV/0!</v>
      </c>
      <c r="AX23" s="1" t="e">
        <f t="shared" si="33"/>
        <v>#DIV/0!</v>
      </c>
      <c r="AY23" s="1" t="e">
        <f t="shared" si="34"/>
        <v>#DIV/0!</v>
      </c>
      <c r="AZ23" s="1" t="e">
        <f t="shared" si="35"/>
        <v>#DIV/0!</v>
      </c>
      <c r="BA23" s="1" t="e">
        <f t="shared" si="36"/>
        <v>#DIV/0!</v>
      </c>
      <c r="BB23" s="1" t="e">
        <f t="shared" si="37"/>
        <v>#DIV/0!</v>
      </c>
      <c r="BC23" s="1" t="e">
        <f t="shared" si="38"/>
        <v>#DIV/0!</v>
      </c>
      <c r="BD23" s="1" t="e">
        <f t="shared" si="39"/>
        <v>#DIV/0!</v>
      </c>
      <c r="BE23" s="1" t="e">
        <f t="shared" si="40"/>
        <v>#DIV/0!</v>
      </c>
      <c r="BF23" s="1" t="e">
        <f t="shared" si="41"/>
        <v>#DIV/0!</v>
      </c>
      <c r="BG23" s="1" t="e">
        <f t="shared" si="42"/>
        <v>#DIV/0!</v>
      </c>
      <c r="BH23" s="1" t="e">
        <f t="shared" si="43"/>
        <v>#DIV/0!</v>
      </c>
      <c r="BI23" s="1" t="e">
        <f t="shared" si="44"/>
        <v>#DIV/0!</v>
      </c>
      <c r="BJ23" s="1" t="e">
        <f t="shared" si="45"/>
        <v>#DIV/0!</v>
      </c>
      <c r="BK23" s="1" t="e">
        <f t="shared" si="46"/>
        <v>#DIV/0!</v>
      </c>
      <c r="BL23" s="1" t="e">
        <f t="shared" si="47"/>
        <v>#DIV/0!</v>
      </c>
      <c r="BM23" s="1" t="e">
        <f t="shared" si="48"/>
        <v>#DIV/0!</v>
      </c>
      <c r="BN23" s="1" t="e">
        <f t="shared" si="49"/>
        <v>#DIV/0!</v>
      </c>
      <c r="BP23" s="1" t="str">
        <f t="shared" si="50"/>
        <v>Drymill CCS Fermentation Exhaust</v>
      </c>
      <c r="BQ23" s="1" t="e">
        <f t="shared" si="51"/>
        <v>#DIV/0!</v>
      </c>
      <c r="BR23" s="1" t="e">
        <f t="shared" si="52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53"/>
        <v>#DIV/0!</v>
      </c>
      <c r="BU23" s="1" t="e">
        <f t="shared" si="54"/>
        <v>#DIV/0!</v>
      </c>
      <c r="BV23" s="1" t="e">
        <f t="shared" si="55"/>
        <v>#DIV/0!</v>
      </c>
      <c r="BW23" s="1" t="e">
        <f t="shared" si="56"/>
        <v>#DIV/0!</v>
      </c>
      <c r="BY23" s="9">
        <f t="shared" si="14"/>
        <v>3.1428571428571428</v>
      </c>
      <c r="BZ23" s="18">
        <f t="shared" si="15"/>
        <v>1.7588666580000001</v>
      </c>
      <c r="CA23" s="10">
        <v>0.1828908353</v>
      </c>
      <c r="CB23" s="9">
        <v>0.23037490999999999</v>
      </c>
      <c r="CD23" s="10" t="e">
        <f t="shared" si="16"/>
        <v>#DIV/0!</v>
      </c>
      <c r="CE23" s="10" t="e">
        <f t="shared" si="17"/>
        <v>#DIV/0!</v>
      </c>
      <c r="CF23" s="10" t="e">
        <f t="shared" si="18"/>
        <v>#DIV/0!</v>
      </c>
      <c r="CG23" s="10">
        <f t="shared" si="19"/>
        <v>0</v>
      </c>
      <c r="CH23" s="10" t="e">
        <f t="shared" si="20"/>
        <v>#DIV/0!</v>
      </c>
      <c r="CJ23" s="18" t="e">
        <f t="shared" si="21"/>
        <v>#DIV/0!</v>
      </c>
      <c r="CK23" s="18" t="e">
        <f t="shared" si="22"/>
        <v>#DIV/0!</v>
      </c>
      <c r="CL23" s="10">
        <f t="shared" si="23"/>
        <v>3.1428571428571428</v>
      </c>
      <c r="CM23" s="10" t="e">
        <f t="shared" si="24"/>
        <v>#DIV/0!</v>
      </c>
      <c r="CN23" s="10" t="e">
        <f t="shared" si="25"/>
        <v>#DIV/0!</v>
      </c>
      <c r="CP23" s="1" t="e">
        <f t="shared" si="26"/>
        <v>#DIV/0!</v>
      </c>
    </row>
    <row r="24" spans="2:94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 cm="1">
        <f t="array" ref="R24:AE24">_xlfn.XLOOKUP(D24, CR:CR, CS:DF)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57"/>
        <v>0</v>
      </c>
      <c r="AR24" s="1">
        <f t="shared" si="27"/>
        <v>0</v>
      </c>
      <c r="AS24" s="11" t="e">
        <f t="shared" si="28"/>
        <v>#DIV/0!</v>
      </c>
      <c r="AT24" s="11" t="e">
        <f t="shared" si="29"/>
        <v>#DIV/0!</v>
      </c>
      <c r="AU24" s="5" t="e">
        <f t="shared" si="30"/>
        <v>#DIV/0!</v>
      </c>
      <c r="AV24" s="5" t="e">
        <f t="shared" si="31"/>
        <v>#DIV/0!</v>
      </c>
      <c r="AW24" s="1" t="e">
        <f t="shared" si="32"/>
        <v>#DIV/0!</v>
      </c>
      <c r="AX24" s="1" t="e">
        <f t="shared" si="33"/>
        <v>#DIV/0!</v>
      </c>
      <c r="AY24" s="1" t="e">
        <f t="shared" si="34"/>
        <v>#DIV/0!</v>
      </c>
      <c r="AZ24" s="1" t="e">
        <f t="shared" si="35"/>
        <v>#DIV/0!</v>
      </c>
      <c r="BA24" s="1" t="e">
        <f t="shared" si="36"/>
        <v>#DIV/0!</v>
      </c>
      <c r="BB24" s="1" t="e">
        <f t="shared" si="37"/>
        <v>#DIV/0!</v>
      </c>
      <c r="BC24" s="1" t="e">
        <f t="shared" si="38"/>
        <v>#DIV/0!</v>
      </c>
      <c r="BD24" s="1" t="e">
        <f t="shared" si="39"/>
        <v>#DIV/0!</v>
      </c>
      <c r="BE24" s="1" t="e">
        <f t="shared" si="40"/>
        <v>#DIV/0!</v>
      </c>
      <c r="BF24" s="1" t="e">
        <f t="shared" si="41"/>
        <v>#DIV/0!</v>
      </c>
      <c r="BG24" s="1" t="e">
        <f t="shared" si="42"/>
        <v>#DIV/0!</v>
      </c>
      <c r="BH24" s="1" t="e">
        <f t="shared" si="43"/>
        <v>#DIV/0!</v>
      </c>
      <c r="BI24" s="1" t="e">
        <f t="shared" si="44"/>
        <v>#DIV/0!</v>
      </c>
      <c r="BJ24" s="1" t="e">
        <f t="shared" si="45"/>
        <v>#DIV/0!</v>
      </c>
      <c r="BK24" s="1" t="e">
        <f t="shared" si="46"/>
        <v>#DIV/0!</v>
      </c>
      <c r="BL24" s="1" t="e">
        <f t="shared" si="47"/>
        <v>#DIV/0!</v>
      </c>
      <c r="BM24" s="1" t="e">
        <f t="shared" si="48"/>
        <v>#DIV/0!</v>
      </c>
      <c r="BN24" s="1" t="e">
        <f t="shared" si="49"/>
        <v>#DIV/0!</v>
      </c>
      <c r="BP24" s="1" t="str">
        <f t="shared" si="50"/>
        <v>Drymill CCS Fermentation Exhaust</v>
      </c>
      <c r="BQ24" s="1" t="e">
        <f t="shared" si="51"/>
        <v>#DIV/0!</v>
      </c>
      <c r="BR24" s="1" t="e">
        <f t="shared" si="52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53"/>
        <v>#DIV/0!</v>
      </c>
      <c r="BU24" s="1" t="e">
        <f t="shared" si="54"/>
        <v>#DIV/0!</v>
      </c>
      <c r="BV24" s="1" t="e">
        <f t="shared" si="55"/>
        <v>#DIV/0!</v>
      </c>
      <c r="BW24" s="1" t="e">
        <f t="shared" si="56"/>
        <v>#DIV/0!</v>
      </c>
      <c r="BY24" s="9">
        <f t="shared" si="14"/>
        <v>3.1428571428571428</v>
      </c>
      <c r="BZ24" s="18">
        <f t="shared" si="15"/>
        <v>1.7588666580000001</v>
      </c>
      <c r="CA24" s="10">
        <v>0.1828908353</v>
      </c>
      <c r="CB24" s="9">
        <v>0.23037490999999999</v>
      </c>
      <c r="CD24" s="10" t="e">
        <f t="shared" si="16"/>
        <v>#DIV/0!</v>
      </c>
      <c r="CE24" s="10" t="e">
        <f t="shared" si="17"/>
        <v>#DIV/0!</v>
      </c>
      <c r="CF24" s="10" t="e">
        <f t="shared" si="18"/>
        <v>#DIV/0!</v>
      </c>
      <c r="CG24" s="10">
        <f t="shared" si="19"/>
        <v>0</v>
      </c>
      <c r="CH24" s="10" t="e">
        <f t="shared" si="20"/>
        <v>#DIV/0!</v>
      </c>
      <c r="CJ24" s="18" t="e">
        <f t="shared" si="21"/>
        <v>#DIV/0!</v>
      </c>
      <c r="CK24" s="18" t="e">
        <f t="shared" si="22"/>
        <v>#DIV/0!</v>
      </c>
      <c r="CL24" s="10">
        <f t="shared" si="23"/>
        <v>3.1428571428571428</v>
      </c>
      <c r="CM24" s="10" t="e">
        <f t="shared" si="24"/>
        <v>#DIV/0!</v>
      </c>
      <c r="CN24" s="10" t="e">
        <f t="shared" si="25"/>
        <v>#DIV/0!</v>
      </c>
      <c r="CP24" s="1" t="e">
        <f t="shared" si="26"/>
        <v>#DIV/0!</v>
      </c>
    </row>
    <row r="25" spans="2:94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 cm="1">
        <f t="array" ref="R25:AE25">_xlfn.XLOOKUP(D25, CR:CR, CS:DF)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57"/>
        <v>0</v>
      </c>
      <c r="AR25" s="1">
        <f t="shared" si="27"/>
        <v>0</v>
      </c>
      <c r="AS25" s="11" t="e">
        <f t="shared" si="28"/>
        <v>#DIV/0!</v>
      </c>
      <c r="AT25" s="11" t="e">
        <f t="shared" si="29"/>
        <v>#DIV/0!</v>
      </c>
      <c r="AU25" s="5" t="e">
        <f t="shared" si="30"/>
        <v>#DIV/0!</v>
      </c>
      <c r="AV25" s="5" t="e">
        <f t="shared" si="31"/>
        <v>#DIV/0!</v>
      </c>
      <c r="AW25" s="1" t="e">
        <f t="shared" si="32"/>
        <v>#DIV/0!</v>
      </c>
      <c r="AX25" s="1" t="e">
        <f t="shared" si="33"/>
        <v>#DIV/0!</v>
      </c>
      <c r="AY25" s="1" t="e">
        <f t="shared" si="34"/>
        <v>#DIV/0!</v>
      </c>
      <c r="AZ25" s="1" t="e">
        <f t="shared" si="35"/>
        <v>#DIV/0!</v>
      </c>
      <c r="BA25" s="1" t="e">
        <f t="shared" si="36"/>
        <v>#DIV/0!</v>
      </c>
      <c r="BB25" s="1" t="e">
        <f t="shared" si="37"/>
        <v>#DIV/0!</v>
      </c>
      <c r="BC25" s="1" t="e">
        <f t="shared" si="38"/>
        <v>#DIV/0!</v>
      </c>
      <c r="BD25" s="1" t="e">
        <f t="shared" si="39"/>
        <v>#DIV/0!</v>
      </c>
      <c r="BE25" s="1" t="e">
        <f t="shared" si="40"/>
        <v>#DIV/0!</v>
      </c>
      <c r="BF25" s="1" t="e">
        <f t="shared" si="41"/>
        <v>#DIV/0!</v>
      </c>
      <c r="BG25" s="1" t="e">
        <f t="shared" si="42"/>
        <v>#DIV/0!</v>
      </c>
      <c r="BH25" s="1" t="e">
        <f t="shared" si="43"/>
        <v>#DIV/0!</v>
      </c>
      <c r="BI25" s="1" t="e">
        <f t="shared" si="44"/>
        <v>#DIV/0!</v>
      </c>
      <c r="BJ25" s="1" t="e">
        <f t="shared" si="45"/>
        <v>#DIV/0!</v>
      </c>
      <c r="BK25" s="1" t="e">
        <f t="shared" si="46"/>
        <v>#DIV/0!</v>
      </c>
      <c r="BL25" s="1" t="e">
        <f t="shared" si="47"/>
        <v>#DIV/0!</v>
      </c>
      <c r="BM25" s="1" t="e">
        <f t="shared" si="48"/>
        <v>#DIV/0!</v>
      </c>
      <c r="BN25" s="1" t="e">
        <f t="shared" si="49"/>
        <v>#DIV/0!</v>
      </c>
      <c r="BP25" s="1" t="str">
        <f t="shared" si="50"/>
        <v>Drymill CCS Fermentation Exhaust</v>
      </c>
      <c r="BQ25" s="1" t="e">
        <f t="shared" si="51"/>
        <v>#DIV/0!</v>
      </c>
      <c r="BR25" s="1" t="e">
        <f t="shared" si="52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53"/>
        <v>#DIV/0!</v>
      </c>
      <c r="BU25" s="1" t="e">
        <f t="shared" si="54"/>
        <v>#DIV/0!</v>
      </c>
      <c r="BV25" s="1" t="e">
        <f t="shared" si="55"/>
        <v>#DIV/0!</v>
      </c>
      <c r="BW25" s="1" t="e">
        <f t="shared" si="56"/>
        <v>#DIV/0!</v>
      </c>
      <c r="BY25" s="9">
        <f t="shared" si="14"/>
        <v>3.1428571428571428</v>
      </c>
      <c r="BZ25" s="18">
        <f t="shared" si="15"/>
        <v>1.7588666580000001</v>
      </c>
      <c r="CA25" s="10">
        <v>0.1828908353</v>
      </c>
      <c r="CB25" s="9">
        <v>0.23037490999999999</v>
      </c>
      <c r="CD25" s="10" t="e">
        <f t="shared" si="16"/>
        <v>#DIV/0!</v>
      </c>
      <c r="CE25" s="10" t="e">
        <f t="shared" si="17"/>
        <v>#DIV/0!</v>
      </c>
      <c r="CF25" s="10" t="e">
        <f t="shared" si="18"/>
        <v>#DIV/0!</v>
      </c>
      <c r="CG25" s="10">
        <f t="shared" si="19"/>
        <v>0</v>
      </c>
      <c r="CH25" s="10" t="e">
        <f t="shared" si="20"/>
        <v>#DIV/0!</v>
      </c>
      <c r="CJ25" s="18" t="e">
        <f t="shared" si="21"/>
        <v>#DIV/0!</v>
      </c>
      <c r="CK25" s="18" t="e">
        <f t="shared" si="22"/>
        <v>#DIV/0!</v>
      </c>
      <c r="CL25" s="10">
        <f t="shared" si="23"/>
        <v>3.1428571428571428</v>
      </c>
      <c r="CM25" s="10" t="e">
        <f t="shared" si="24"/>
        <v>#DIV/0!</v>
      </c>
      <c r="CN25" s="10" t="e">
        <f t="shared" si="25"/>
        <v>#DIV/0!</v>
      </c>
      <c r="CP25" s="1" t="e">
        <f t="shared" si="26"/>
        <v>#DIV/0!</v>
      </c>
    </row>
    <row r="26" spans="2:94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 cm="1">
        <f t="array" ref="R26:AE26">_xlfn.XLOOKUP(D26, CR:CR, CS:DF)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57"/>
        <v>0</v>
      </c>
      <c r="AR26" s="1">
        <f t="shared" si="27"/>
        <v>0</v>
      </c>
      <c r="AS26" s="11" t="e">
        <f t="shared" si="28"/>
        <v>#DIV/0!</v>
      </c>
      <c r="AT26" s="11" t="e">
        <f t="shared" si="29"/>
        <v>#DIV/0!</v>
      </c>
      <c r="AU26" s="5" t="e">
        <f t="shared" si="30"/>
        <v>#DIV/0!</v>
      </c>
      <c r="AV26" s="5" t="e">
        <f t="shared" si="31"/>
        <v>#DIV/0!</v>
      </c>
      <c r="AW26" s="1" t="e">
        <f t="shared" si="32"/>
        <v>#DIV/0!</v>
      </c>
      <c r="AX26" s="1" t="e">
        <f t="shared" si="33"/>
        <v>#DIV/0!</v>
      </c>
      <c r="AY26" s="1" t="e">
        <f t="shared" si="34"/>
        <v>#DIV/0!</v>
      </c>
      <c r="AZ26" s="1" t="e">
        <f t="shared" si="35"/>
        <v>#DIV/0!</v>
      </c>
      <c r="BA26" s="1" t="e">
        <f t="shared" si="36"/>
        <v>#DIV/0!</v>
      </c>
      <c r="BB26" s="1" t="e">
        <f t="shared" si="37"/>
        <v>#DIV/0!</v>
      </c>
      <c r="BC26" s="1" t="e">
        <f t="shared" si="38"/>
        <v>#DIV/0!</v>
      </c>
      <c r="BD26" s="1" t="e">
        <f t="shared" si="39"/>
        <v>#DIV/0!</v>
      </c>
      <c r="BE26" s="1" t="e">
        <f t="shared" si="40"/>
        <v>#DIV/0!</v>
      </c>
      <c r="BF26" s="1" t="e">
        <f t="shared" si="41"/>
        <v>#DIV/0!</v>
      </c>
      <c r="BG26" s="1" t="e">
        <f t="shared" si="42"/>
        <v>#DIV/0!</v>
      </c>
      <c r="BH26" s="1" t="e">
        <f t="shared" si="43"/>
        <v>#DIV/0!</v>
      </c>
      <c r="BI26" s="1" t="e">
        <f t="shared" si="44"/>
        <v>#DIV/0!</v>
      </c>
      <c r="BJ26" s="1" t="e">
        <f t="shared" si="45"/>
        <v>#DIV/0!</v>
      </c>
      <c r="BK26" s="1" t="e">
        <f t="shared" si="46"/>
        <v>#DIV/0!</v>
      </c>
      <c r="BL26" s="1" t="e">
        <f t="shared" si="47"/>
        <v>#DIV/0!</v>
      </c>
      <c r="BM26" s="1" t="e">
        <f t="shared" si="48"/>
        <v>#DIV/0!</v>
      </c>
      <c r="BN26" s="1" t="e">
        <f t="shared" si="49"/>
        <v>#DIV/0!</v>
      </c>
      <c r="BO26" s="17"/>
      <c r="BP26" s="1" t="str">
        <f t="shared" si="50"/>
        <v>Drymill CCS Fermentation Exhaust</v>
      </c>
      <c r="BQ26" s="1" t="e">
        <f t="shared" si="51"/>
        <v>#DIV/0!</v>
      </c>
      <c r="BR26" s="1" t="e">
        <f t="shared" si="52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53"/>
        <v>#DIV/0!</v>
      </c>
      <c r="BU26" s="1" t="e">
        <f t="shared" si="54"/>
        <v>#DIV/0!</v>
      </c>
      <c r="BV26" s="1" t="e">
        <f t="shared" si="55"/>
        <v>#DIV/0!</v>
      </c>
      <c r="BW26" s="1" t="e">
        <f t="shared" si="56"/>
        <v>#DIV/0!</v>
      </c>
      <c r="BY26" s="9">
        <f t="shared" si="14"/>
        <v>3.1428571428571428</v>
      </c>
      <c r="BZ26" s="18">
        <f t="shared" si="15"/>
        <v>1.7588666580000001</v>
      </c>
      <c r="CA26" s="10">
        <v>0.1828908353</v>
      </c>
      <c r="CB26" s="9">
        <v>0.23037490999999999</v>
      </c>
      <c r="CD26" s="10" t="e">
        <f t="shared" si="16"/>
        <v>#DIV/0!</v>
      </c>
      <c r="CE26" s="10" t="e">
        <f t="shared" si="17"/>
        <v>#DIV/0!</v>
      </c>
      <c r="CF26" s="10" t="e">
        <f t="shared" si="18"/>
        <v>#DIV/0!</v>
      </c>
      <c r="CG26" s="10">
        <f t="shared" si="19"/>
        <v>0</v>
      </c>
      <c r="CH26" s="10" t="e">
        <f t="shared" si="20"/>
        <v>#DIV/0!</v>
      </c>
      <c r="CJ26" s="18" t="e">
        <f t="shared" si="21"/>
        <v>#DIV/0!</v>
      </c>
      <c r="CK26" s="18" t="e">
        <f t="shared" si="22"/>
        <v>#DIV/0!</v>
      </c>
      <c r="CL26" s="10">
        <f t="shared" si="23"/>
        <v>3.1428571428571428</v>
      </c>
      <c r="CM26" s="10" t="e">
        <f t="shared" si="24"/>
        <v>#DIV/0!</v>
      </c>
      <c r="CN26" s="10" t="e">
        <f t="shared" si="25"/>
        <v>#DIV/0!</v>
      </c>
      <c r="CP26" s="1" t="e">
        <f t="shared" si="26"/>
        <v>#DIV/0!</v>
      </c>
    </row>
    <row r="27" spans="2:94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 cm="1">
        <f t="array" ref="R27:AE27">_xlfn.XLOOKUP(D27, CR:CR, CS:DF)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57"/>
        <v>0</v>
      </c>
      <c r="AR27" s="1">
        <f t="shared" si="27"/>
        <v>0</v>
      </c>
      <c r="AS27" s="11" t="e">
        <f t="shared" si="28"/>
        <v>#DIV/0!</v>
      </c>
      <c r="AT27" s="11" t="e">
        <f t="shared" si="29"/>
        <v>#DIV/0!</v>
      </c>
      <c r="AU27" s="5" t="e">
        <f t="shared" si="30"/>
        <v>#DIV/0!</v>
      </c>
      <c r="AV27" s="5" t="e">
        <f t="shared" si="31"/>
        <v>#DIV/0!</v>
      </c>
      <c r="AW27" s="1" t="e">
        <f t="shared" si="32"/>
        <v>#DIV/0!</v>
      </c>
      <c r="AX27" s="1" t="e">
        <f t="shared" si="33"/>
        <v>#DIV/0!</v>
      </c>
      <c r="AY27" s="1" t="e">
        <f t="shared" si="34"/>
        <v>#DIV/0!</v>
      </c>
      <c r="AZ27" s="1" t="e">
        <f t="shared" si="35"/>
        <v>#DIV/0!</v>
      </c>
      <c r="BA27" s="1" t="e">
        <f t="shared" si="36"/>
        <v>#DIV/0!</v>
      </c>
      <c r="BB27" s="1" t="e">
        <f t="shared" si="37"/>
        <v>#DIV/0!</v>
      </c>
      <c r="BC27" s="1" t="e">
        <f t="shared" si="38"/>
        <v>#DIV/0!</v>
      </c>
      <c r="BD27" s="1" t="e">
        <f t="shared" si="39"/>
        <v>#DIV/0!</v>
      </c>
      <c r="BE27" s="1" t="e">
        <f t="shared" si="40"/>
        <v>#DIV/0!</v>
      </c>
      <c r="BF27" s="1" t="e">
        <f t="shared" si="41"/>
        <v>#DIV/0!</v>
      </c>
      <c r="BG27" s="1" t="e">
        <f t="shared" si="42"/>
        <v>#DIV/0!</v>
      </c>
      <c r="BH27" s="1" t="e">
        <f t="shared" si="43"/>
        <v>#DIV/0!</v>
      </c>
      <c r="BI27" s="1" t="e">
        <f t="shared" si="44"/>
        <v>#DIV/0!</v>
      </c>
      <c r="BJ27" s="1" t="e">
        <f t="shared" si="45"/>
        <v>#DIV/0!</v>
      </c>
      <c r="BK27" s="1" t="e">
        <f t="shared" si="46"/>
        <v>#DIV/0!</v>
      </c>
      <c r="BL27" s="1" t="e">
        <f t="shared" si="47"/>
        <v>#DIV/0!</v>
      </c>
      <c r="BM27" s="1" t="e">
        <f t="shared" si="48"/>
        <v>#DIV/0!</v>
      </c>
      <c r="BN27" s="1" t="e">
        <f t="shared" si="49"/>
        <v>#DIV/0!</v>
      </c>
      <c r="BP27" s="1" t="str">
        <f t="shared" si="50"/>
        <v>Drymill CCS Fermentation Exhaust</v>
      </c>
      <c r="BQ27" s="1" t="e">
        <f t="shared" si="51"/>
        <v>#DIV/0!</v>
      </c>
      <c r="BR27" s="1" t="e">
        <f t="shared" si="52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53"/>
        <v>#DIV/0!</v>
      </c>
      <c r="BU27" s="1" t="e">
        <f t="shared" si="54"/>
        <v>#DIV/0!</v>
      </c>
      <c r="BV27" s="1" t="e">
        <f t="shared" si="55"/>
        <v>#DIV/0!</v>
      </c>
      <c r="BW27" s="1" t="e">
        <f t="shared" si="56"/>
        <v>#DIV/0!</v>
      </c>
      <c r="BY27" s="9">
        <f t="shared" si="14"/>
        <v>3.1428571428571428</v>
      </c>
      <c r="BZ27" s="18">
        <f t="shared" si="15"/>
        <v>1.7588666580000001</v>
      </c>
      <c r="CA27" s="10">
        <v>0.1828908353</v>
      </c>
      <c r="CB27" s="9">
        <v>0.23037490999999999</v>
      </c>
      <c r="CD27" s="10" t="e">
        <f t="shared" si="16"/>
        <v>#DIV/0!</v>
      </c>
      <c r="CE27" s="10" t="e">
        <f t="shared" si="17"/>
        <v>#DIV/0!</v>
      </c>
      <c r="CF27" s="10" t="e">
        <f t="shared" si="18"/>
        <v>#DIV/0!</v>
      </c>
      <c r="CG27" s="10">
        <f t="shared" si="19"/>
        <v>0</v>
      </c>
      <c r="CH27" s="10" t="e">
        <f t="shared" si="20"/>
        <v>#DIV/0!</v>
      </c>
      <c r="CJ27" s="18" t="e">
        <f t="shared" si="21"/>
        <v>#DIV/0!</v>
      </c>
      <c r="CK27" s="18" t="e">
        <f t="shared" si="22"/>
        <v>#DIV/0!</v>
      </c>
      <c r="CL27" s="10">
        <f t="shared" si="23"/>
        <v>3.1428571428571428</v>
      </c>
      <c r="CM27" s="10" t="e">
        <f t="shared" si="24"/>
        <v>#DIV/0!</v>
      </c>
      <c r="CN27" s="10" t="e">
        <f t="shared" si="25"/>
        <v>#DIV/0!</v>
      </c>
      <c r="CP27" s="1" t="e">
        <f t="shared" si="26"/>
        <v>#DIV/0!</v>
      </c>
    </row>
    <row r="28" spans="2:94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 cm="1">
        <f t="array" ref="R28:AE28">_xlfn.XLOOKUP(D28, CR:CR, CS:DF)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57"/>
        <v>0</v>
      </c>
      <c r="AR28" s="1">
        <f t="shared" si="27"/>
        <v>0</v>
      </c>
      <c r="AS28" s="11" t="e">
        <f t="shared" si="28"/>
        <v>#DIV/0!</v>
      </c>
      <c r="AT28" s="11" t="e">
        <f t="shared" si="29"/>
        <v>#DIV/0!</v>
      </c>
      <c r="AU28" s="5" t="e">
        <f t="shared" si="30"/>
        <v>#DIV/0!</v>
      </c>
      <c r="AV28" s="5" t="e">
        <f t="shared" si="31"/>
        <v>#DIV/0!</v>
      </c>
      <c r="AW28" s="1" t="e">
        <f t="shared" si="32"/>
        <v>#DIV/0!</v>
      </c>
      <c r="AX28" s="1" t="e">
        <f t="shared" si="33"/>
        <v>#DIV/0!</v>
      </c>
      <c r="AY28" s="1" t="e">
        <f t="shared" si="34"/>
        <v>#DIV/0!</v>
      </c>
      <c r="AZ28" s="1" t="e">
        <f t="shared" si="35"/>
        <v>#DIV/0!</v>
      </c>
      <c r="BA28" s="1" t="e">
        <f t="shared" si="36"/>
        <v>#DIV/0!</v>
      </c>
      <c r="BB28" s="1" t="e">
        <f t="shared" si="37"/>
        <v>#DIV/0!</v>
      </c>
      <c r="BC28" s="1" t="e">
        <f t="shared" si="38"/>
        <v>#DIV/0!</v>
      </c>
      <c r="BD28" s="1" t="e">
        <f t="shared" si="39"/>
        <v>#DIV/0!</v>
      </c>
      <c r="BE28" s="1" t="e">
        <f t="shared" si="40"/>
        <v>#DIV/0!</v>
      </c>
      <c r="BF28" s="1" t="e">
        <f t="shared" si="41"/>
        <v>#DIV/0!</v>
      </c>
      <c r="BG28" s="1" t="e">
        <f t="shared" si="42"/>
        <v>#DIV/0!</v>
      </c>
      <c r="BH28" s="1" t="e">
        <f t="shared" si="43"/>
        <v>#DIV/0!</v>
      </c>
      <c r="BI28" s="1" t="e">
        <f t="shared" si="44"/>
        <v>#DIV/0!</v>
      </c>
      <c r="BJ28" s="1" t="e">
        <f t="shared" si="45"/>
        <v>#DIV/0!</v>
      </c>
      <c r="BK28" s="1" t="e">
        <f t="shared" si="46"/>
        <v>#DIV/0!</v>
      </c>
      <c r="BL28" s="1" t="e">
        <f t="shared" si="47"/>
        <v>#DIV/0!</v>
      </c>
      <c r="BM28" s="1" t="e">
        <f t="shared" si="48"/>
        <v>#DIV/0!</v>
      </c>
      <c r="BN28" s="1" t="e">
        <f t="shared" si="49"/>
        <v>#DIV/0!</v>
      </c>
      <c r="BP28" s="1" t="str">
        <f t="shared" si="50"/>
        <v>Drymill CCS Fermentation Exhaust</v>
      </c>
      <c r="BQ28" s="1" t="e">
        <f t="shared" si="51"/>
        <v>#DIV/0!</v>
      </c>
      <c r="BR28" s="1" t="e">
        <f t="shared" si="52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53"/>
        <v>#DIV/0!</v>
      </c>
      <c r="BU28" s="1" t="e">
        <f t="shared" si="54"/>
        <v>#DIV/0!</v>
      </c>
      <c r="BV28" s="1" t="e">
        <f t="shared" si="55"/>
        <v>#DIV/0!</v>
      </c>
      <c r="BW28" s="1" t="e">
        <f t="shared" si="56"/>
        <v>#DIV/0!</v>
      </c>
      <c r="BY28" s="9">
        <f t="shared" si="14"/>
        <v>3.1428571428571428</v>
      </c>
      <c r="BZ28" s="18">
        <f t="shared" si="15"/>
        <v>1.7588666580000001</v>
      </c>
      <c r="CA28" s="10">
        <v>0.1828908353</v>
      </c>
      <c r="CB28" s="9">
        <v>0.23037490999999999</v>
      </c>
      <c r="CD28" s="10" t="e">
        <f t="shared" si="16"/>
        <v>#DIV/0!</v>
      </c>
      <c r="CE28" s="10" t="e">
        <f t="shared" si="17"/>
        <v>#DIV/0!</v>
      </c>
      <c r="CF28" s="10" t="e">
        <f t="shared" si="18"/>
        <v>#DIV/0!</v>
      </c>
      <c r="CG28" s="10">
        <f t="shared" si="19"/>
        <v>0</v>
      </c>
      <c r="CH28" s="10" t="e">
        <f t="shared" si="20"/>
        <v>#DIV/0!</v>
      </c>
      <c r="CJ28" s="18" t="e">
        <f t="shared" si="21"/>
        <v>#DIV/0!</v>
      </c>
      <c r="CK28" s="18" t="e">
        <f t="shared" si="22"/>
        <v>#DIV/0!</v>
      </c>
      <c r="CL28" s="10">
        <f t="shared" si="23"/>
        <v>3.1428571428571428</v>
      </c>
      <c r="CM28" s="10" t="e">
        <f t="shared" si="24"/>
        <v>#DIV/0!</v>
      </c>
      <c r="CN28" s="10" t="e">
        <f t="shared" si="25"/>
        <v>#DIV/0!</v>
      </c>
      <c r="CP28" s="1" t="e">
        <f t="shared" si="26"/>
        <v>#DIV/0!</v>
      </c>
    </row>
    <row r="29" spans="2:94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 cm="1">
        <f t="array" ref="R29:AE29">_xlfn.XLOOKUP(D29, CR:CR, CS:DF)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57"/>
        <v>0</v>
      </c>
      <c r="AR29" s="1">
        <f t="shared" si="27"/>
        <v>0</v>
      </c>
      <c r="AS29" s="11" t="e">
        <f t="shared" si="28"/>
        <v>#DIV/0!</v>
      </c>
      <c r="AT29" s="11" t="e">
        <f t="shared" si="29"/>
        <v>#DIV/0!</v>
      </c>
      <c r="AU29" s="5" t="e">
        <f t="shared" si="30"/>
        <v>#DIV/0!</v>
      </c>
      <c r="AV29" s="5" t="e">
        <f t="shared" si="31"/>
        <v>#DIV/0!</v>
      </c>
      <c r="AW29" s="1" t="e">
        <f t="shared" si="32"/>
        <v>#DIV/0!</v>
      </c>
      <c r="AX29" s="1" t="e">
        <f t="shared" si="33"/>
        <v>#DIV/0!</v>
      </c>
      <c r="AY29" s="1" t="e">
        <f t="shared" si="34"/>
        <v>#DIV/0!</v>
      </c>
      <c r="AZ29" s="1" t="e">
        <f t="shared" si="35"/>
        <v>#DIV/0!</v>
      </c>
      <c r="BA29" s="1" t="e">
        <f t="shared" si="36"/>
        <v>#DIV/0!</v>
      </c>
      <c r="BB29" s="1" t="e">
        <f t="shared" si="37"/>
        <v>#DIV/0!</v>
      </c>
      <c r="BC29" s="1" t="e">
        <f t="shared" si="38"/>
        <v>#DIV/0!</v>
      </c>
      <c r="BD29" s="1" t="e">
        <f t="shared" si="39"/>
        <v>#DIV/0!</v>
      </c>
      <c r="BE29" s="1" t="e">
        <f t="shared" si="40"/>
        <v>#DIV/0!</v>
      </c>
      <c r="BF29" s="1" t="e">
        <f t="shared" si="41"/>
        <v>#DIV/0!</v>
      </c>
      <c r="BG29" s="1" t="e">
        <f t="shared" si="42"/>
        <v>#DIV/0!</v>
      </c>
      <c r="BH29" s="1" t="e">
        <f t="shared" si="43"/>
        <v>#DIV/0!</v>
      </c>
      <c r="BI29" s="1" t="e">
        <f t="shared" si="44"/>
        <v>#DIV/0!</v>
      </c>
      <c r="BJ29" s="1" t="e">
        <f t="shared" si="45"/>
        <v>#DIV/0!</v>
      </c>
      <c r="BK29" s="1" t="e">
        <f t="shared" si="46"/>
        <v>#DIV/0!</v>
      </c>
      <c r="BL29" s="1" t="e">
        <f t="shared" si="47"/>
        <v>#DIV/0!</v>
      </c>
      <c r="BM29" s="1" t="e">
        <f t="shared" si="48"/>
        <v>#DIV/0!</v>
      </c>
      <c r="BN29" s="1" t="e">
        <f t="shared" si="49"/>
        <v>#DIV/0!</v>
      </c>
      <c r="BP29" s="1" t="str">
        <f t="shared" si="50"/>
        <v>Drymill CCS Fermentation Exhaust</v>
      </c>
      <c r="BQ29" s="1" t="e">
        <f t="shared" si="51"/>
        <v>#DIV/0!</v>
      </c>
      <c r="BR29" s="1" t="e">
        <f t="shared" si="52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53"/>
        <v>#DIV/0!</v>
      </c>
      <c r="BU29" s="1" t="e">
        <f t="shared" si="54"/>
        <v>#DIV/0!</v>
      </c>
      <c r="BV29" s="1" t="e">
        <f t="shared" si="55"/>
        <v>#DIV/0!</v>
      </c>
      <c r="BW29" s="1" t="e">
        <f t="shared" si="56"/>
        <v>#DIV/0!</v>
      </c>
      <c r="BY29" s="9">
        <f t="shared" si="14"/>
        <v>3.1428571428571428</v>
      </c>
      <c r="BZ29" s="18">
        <f t="shared" si="15"/>
        <v>1.7588666580000001</v>
      </c>
      <c r="CA29" s="10">
        <v>0.1828908353</v>
      </c>
      <c r="CB29" s="9">
        <v>0.23037490999999999</v>
      </c>
      <c r="CD29" s="10" t="e">
        <f t="shared" si="16"/>
        <v>#DIV/0!</v>
      </c>
      <c r="CE29" s="10" t="e">
        <f t="shared" si="17"/>
        <v>#DIV/0!</v>
      </c>
      <c r="CF29" s="10" t="e">
        <f t="shared" si="18"/>
        <v>#DIV/0!</v>
      </c>
      <c r="CG29" s="10">
        <f t="shared" si="19"/>
        <v>0</v>
      </c>
      <c r="CH29" s="10" t="e">
        <f t="shared" si="20"/>
        <v>#DIV/0!</v>
      </c>
      <c r="CJ29" s="18" t="e">
        <f t="shared" si="21"/>
        <v>#DIV/0!</v>
      </c>
      <c r="CK29" s="18" t="e">
        <f t="shared" si="22"/>
        <v>#DIV/0!</v>
      </c>
      <c r="CL29" s="10">
        <f t="shared" si="23"/>
        <v>3.1428571428571428</v>
      </c>
      <c r="CM29" s="10" t="e">
        <f t="shared" si="24"/>
        <v>#DIV/0!</v>
      </c>
      <c r="CN29" s="10" t="e">
        <f t="shared" si="25"/>
        <v>#DIV/0!</v>
      </c>
      <c r="CP29" s="1" t="e">
        <f t="shared" si="26"/>
        <v>#DIV/0!</v>
      </c>
    </row>
    <row r="30" spans="2:94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 cm="1">
        <f t="array" ref="R30:AE30">_xlfn.XLOOKUP(D30, CR:CR, CS:DF)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57"/>
        <v>0</v>
      </c>
      <c r="AR30" s="1">
        <f t="shared" si="27"/>
        <v>0</v>
      </c>
      <c r="AS30" s="11" t="e">
        <f t="shared" si="28"/>
        <v>#DIV/0!</v>
      </c>
      <c r="AT30" s="11" t="e">
        <f t="shared" si="29"/>
        <v>#DIV/0!</v>
      </c>
      <c r="AU30" s="5" t="e">
        <f t="shared" si="30"/>
        <v>#DIV/0!</v>
      </c>
      <c r="AV30" s="5" t="e">
        <f t="shared" si="31"/>
        <v>#DIV/0!</v>
      </c>
      <c r="AW30" s="1" t="e">
        <f t="shared" si="32"/>
        <v>#DIV/0!</v>
      </c>
      <c r="AX30" s="1" t="e">
        <f t="shared" si="33"/>
        <v>#DIV/0!</v>
      </c>
      <c r="AY30" s="1" t="e">
        <f t="shared" si="34"/>
        <v>#DIV/0!</v>
      </c>
      <c r="AZ30" s="1" t="e">
        <f t="shared" si="35"/>
        <v>#DIV/0!</v>
      </c>
      <c r="BA30" s="1" t="e">
        <f t="shared" si="36"/>
        <v>#DIV/0!</v>
      </c>
      <c r="BB30" s="1" t="e">
        <f t="shared" si="37"/>
        <v>#DIV/0!</v>
      </c>
      <c r="BC30" s="1" t="e">
        <f t="shared" si="38"/>
        <v>#DIV/0!</v>
      </c>
      <c r="BD30" s="1" t="e">
        <f t="shared" si="39"/>
        <v>#DIV/0!</v>
      </c>
      <c r="BE30" s="1" t="e">
        <f t="shared" si="40"/>
        <v>#DIV/0!</v>
      </c>
      <c r="BF30" s="1" t="e">
        <f t="shared" si="41"/>
        <v>#DIV/0!</v>
      </c>
      <c r="BG30" s="1" t="e">
        <f t="shared" si="42"/>
        <v>#DIV/0!</v>
      </c>
      <c r="BH30" s="1" t="e">
        <f t="shared" si="43"/>
        <v>#DIV/0!</v>
      </c>
      <c r="BI30" s="1" t="e">
        <f t="shared" si="44"/>
        <v>#DIV/0!</v>
      </c>
      <c r="BJ30" s="1" t="e">
        <f t="shared" si="45"/>
        <v>#DIV/0!</v>
      </c>
      <c r="BK30" s="1" t="e">
        <f t="shared" si="46"/>
        <v>#DIV/0!</v>
      </c>
      <c r="BL30" s="1" t="e">
        <f t="shared" si="47"/>
        <v>#DIV/0!</v>
      </c>
      <c r="BM30" s="1" t="e">
        <f t="shared" si="48"/>
        <v>#DIV/0!</v>
      </c>
      <c r="BN30" s="1" t="e">
        <f t="shared" si="49"/>
        <v>#DIV/0!</v>
      </c>
      <c r="BP30" s="1" t="str">
        <f t="shared" si="50"/>
        <v>Drymill CCS Fermentation Exhaust</v>
      </c>
      <c r="BQ30" s="1" t="e">
        <f t="shared" si="51"/>
        <v>#DIV/0!</v>
      </c>
      <c r="BR30" s="1" t="e">
        <f t="shared" si="52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53"/>
        <v>#DIV/0!</v>
      </c>
      <c r="BU30" s="1" t="e">
        <f t="shared" si="54"/>
        <v>#DIV/0!</v>
      </c>
      <c r="BV30" s="1" t="e">
        <f t="shared" si="55"/>
        <v>#DIV/0!</v>
      </c>
      <c r="BW30" s="1" t="e">
        <f t="shared" si="56"/>
        <v>#DIV/0!</v>
      </c>
      <c r="BY30" s="9">
        <f t="shared" si="14"/>
        <v>3.1428571428571428</v>
      </c>
      <c r="BZ30" s="18">
        <f t="shared" si="15"/>
        <v>1.7588666580000001</v>
      </c>
      <c r="CA30" s="10">
        <v>0.1828908353</v>
      </c>
      <c r="CB30" s="9">
        <v>0.23037490999999999</v>
      </c>
      <c r="CD30" s="10" t="e">
        <f t="shared" si="16"/>
        <v>#DIV/0!</v>
      </c>
      <c r="CE30" s="10" t="e">
        <f t="shared" si="17"/>
        <v>#DIV/0!</v>
      </c>
      <c r="CF30" s="10" t="e">
        <f t="shared" si="18"/>
        <v>#DIV/0!</v>
      </c>
      <c r="CG30" s="10">
        <f t="shared" si="19"/>
        <v>0</v>
      </c>
      <c r="CH30" s="10" t="e">
        <f t="shared" si="20"/>
        <v>#DIV/0!</v>
      </c>
      <c r="CJ30" s="18" t="e">
        <f t="shared" si="21"/>
        <v>#DIV/0!</v>
      </c>
      <c r="CK30" s="18" t="e">
        <f t="shared" si="22"/>
        <v>#DIV/0!</v>
      </c>
      <c r="CL30" s="10">
        <f t="shared" si="23"/>
        <v>3.1428571428571428</v>
      </c>
      <c r="CM30" s="10" t="e">
        <f t="shared" si="24"/>
        <v>#DIV/0!</v>
      </c>
      <c r="CN30" s="10" t="e">
        <f t="shared" si="25"/>
        <v>#DIV/0!</v>
      </c>
      <c r="CP30" s="1" t="e">
        <f t="shared" si="26"/>
        <v>#DIV/0!</v>
      </c>
    </row>
    <row r="31" spans="2:94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 cm="1">
        <f t="array" ref="R31:AE31">_xlfn.XLOOKUP(D31, CR:CR, CS:DF)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57"/>
        <v>0</v>
      </c>
      <c r="AR31" s="1">
        <f t="shared" si="27"/>
        <v>0</v>
      </c>
      <c r="AS31" s="11" t="e">
        <f t="shared" si="28"/>
        <v>#DIV/0!</v>
      </c>
      <c r="AT31" s="11" t="e">
        <f t="shared" si="29"/>
        <v>#DIV/0!</v>
      </c>
      <c r="AU31" s="5" t="e">
        <f t="shared" si="30"/>
        <v>#DIV/0!</v>
      </c>
      <c r="AV31" s="5" t="e">
        <f t="shared" si="31"/>
        <v>#DIV/0!</v>
      </c>
      <c r="AW31" s="1" t="e">
        <f t="shared" si="32"/>
        <v>#DIV/0!</v>
      </c>
      <c r="AX31" s="1" t="e">
        <f t="shared" si="33"/>
        <v>#DIV/0!</v>
      </c>
      <c r="AY31" s="1" t="e">
        <f t="shared" si="34"/>
        <v>#DIV/0!</v>
      </c>
      <c r="AZ31" s="1" t="e">
        <f t="shared" si="35"/>
        <v>#DIV/0!</v>
      </c>
      <c r="BA31" s="1" t="e">
        <f t="shared" si="36"/>
        <v>#DIV/0!</v>
      </c>
      <c r="BB31" s="1" t="e">
        <f t="shared" si="37"/>
        <v>#DIV/0!</v>
      </c>
      <c r="BC31" s="1" t="e">
        <f t="shared" si="38"/>
        <v>#DIV/0!</v>
      </c>
      <c r="BD31" s="1" t="e">
        <f t="shared" si="39"/>
        <v>#DIV/0!</v>
      </c>
      <c r="BE31" s="1" t="e">
        <f t="shared" si="40"/>
        <v>#DIV/0!</v>
      </c>
      <c r="BF31" s="1" t="e">
        <f t="shared" si="41"/>
        <v>#DIV/0!</v>
      </c>
      <c r="BG31" s="1" t="e">
        <f t="shared" si="42"/>
        <v>#DIV/0!</v>
      </c>
      <c r="BH31" s="1" t="e">
        <f t="shared" si="43"/>
        <v>#DIV/0!</v>
      </c>
      <c r="BI31" s="1" t="e">
        <f t="shared" si="44"/>
        <v>#DIV/0!</v>
      </c>
      <c r="BJ31" s="1" t="e">
        <f t="shared" si="45"/>
        <v>#DIV/0!</v>
      </c>
      <c r="BK31" s="1" t="e">
        <f t="shared" si="46"/>
        <v>#DIV/0!</v>
      </c>
      <c r="BL31" s="1" t="e">
        <f t="shared" si="47"/>
        <v>#DIV/0!</v>
      </c>
      <c r="BM31" s="1" t="e">
        <f t="shared" si="48"/>
        <v>#DIV/0!</v>
      </c>
      <c r="BN31" s="1" t="e">
        <f t="shared" si="49"/>
        <v>#DIV/0!</v>
      </c>
      <c r="BP31" s="1" t="str">
        <f t="shared" si="50"/>
        <v>Drymill CCS Fermentation Exhaust</v>
      </c>
      <c r="BQ31" s="1" t="e">
        <f t="shared" si="51"/>
        <v>#DIV/0!</v>
      </c>
      <c r="BR31" s="1" t="e">
        <f t="shared" si="52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53"/>
        <v>#DIV/0!</v>
      </c>
      <c r="BU31" s="1" t="e">
        <f t="shared" si="54"/>
        <v>#DIV/0!</v>
      </c>
      <c r="BV31" s="1" t="e">
        <f t="shared" si="55"/>
        <v>#DIV/0!</v>
      </c>
      <c r="BW31" s="1" t="e">
        <f t="shared" si="56"/>
        <v>#DIV/0!</v>
      </c>
      <c r="BY31" s="9">
        <f t="shared" si="14"/>
        <v>3.1428571428571428</v>
      </c>
      <c r="BZ31" s="18">
        <f t="shared" si="15"/>
        <v>1.7588666580000001</v>
      </c>
      <c r="CA31" s="10">
        <v>0.1828908353</v>
      </c>
      <c r="CB31" s="9">
        <v>0.23037490999999999</v>
      </c>
      <c r="CD31" s="10" t="e">
        <f t="shared" si="16"/>
        <v>#DIV/0!</v>
      </c>
      <c r="CE31" s="10" t="e">
        <f t="shared" si="17"/>
        <v>#DIV/0!</v>
      </c>
      <c r="CF31" s="10" t="e">
        <f t="shared" si="18"/>
        <v>#DIV/0!</v>
      </c>
      <c r="CG31" s="10">
        <f t="shared" si="19"/>
        <v>0</v>
      </c>
      <c r="CH31" s="10" t="e">
        <f t="shared" si="20"/>
        <v>#DIV/0!</v>
      </c>
      <c r="CJ31" s="18" t="e">
        <f t="shared" si="21"/>
        <v>#DIV/0!</v>
      </c>
      <c r="CK31" s="18" t="e">
        <f t="shared" si="22"/>
        <v>#DIV/0!</v>
      </c>
      <c r="CL31" s="10">
        <f t="shared" si="23"/>
        <v>3.1428571428571428</v>
      </c>
      <c r="CM31" s="10" t="e">
        <f t="shared" si="24"/>
        <v>#DIV/0!</v>
      </c>
      <c r="CN31" s="10" t="e">
        <f t="shared" si="25"/>
        <v>#DIV/0!</v>
      </c>
      <c r="CP31" s="1" t="e">
        <f t="shared" si="26"/>
        <v>#DIV/0!</v>
      </c>
    </row>
    <row r="32" spans="2:94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 cm="1">
        <f t="array" ref="R32:AE32">_xlfn.XLOOKUP(D32, CR:CR, CS:DF)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57"/>
        <v>0</v>
      </c>
      <c r="AR32" s="1">
        <f t="shared" si="27"/>
        <v>0</v>
      </c>
      <c r="AS32" s="11" t="e">
        <f t="shared" si="28"/>
        <v>#DIV/0!</v>
      </c>
      <c r="AT32" s="11" t="e">
        <f t="shared" si="29"/>
        <v>#DIV/0!</v>
      </c>
      <c r="AU32" s="5" t="e">
        <f t="shared" si="30"/>
        <v>#DIV/0!</v>
      </c>
      <c r="AV32" s="5" t="e">
        <f t="shared" si="31"/>
        <v>#DIV/0!</v>
      </c>
      <c r="AW32" s="1" t="e">
        <f t="shared" si="32"/>
        <v>#DIV/0!</v>
      </c>
      <c r="AX32" s="1" t="e">
        <f t="shared" si="33"/>
        <v>#DIV/0!</v>
      </c>
      <c r="AY32" s="1" t="e">
        <f t="shared" si="34"/>
        <v>#DIV/0!</v>
      </c>
      <c r="AZ32" s="1" t="e">
        <f t="shared" si="35"/>
        <v>#DIV/0!</v>
      </c>
      <c r="BA32" s="1" t="e">
        <f t="shared" si="36"/>
        <v>#DIV/0!</v>
      </c>
      <c r="BB32" s="1" t="e">
        <f t="shared" si="37"/>
        <v>#DIV/0!</v>
      </c>
      <c r="BC32" s="1" t="e">
        <f t="shared" si="38"/>
        <v>#DIV/0!</v>
      </c>
      <c r="BD32" s="1" t="e">
        <f t="shared" si="39"/>
        <v>#DIV/0!</v>
      </c>
      <c r="BE32" s="1" t="e">
        <f t="shared" si="40"/>
        <v>#DIV/0!</v>
      </c>
      <c r="BF32" s="1" t="e">
        <f t="shared" si="41"/>
        <v>#DIV/0!</v>
      </c>
      <c r="BG32" s="1" t="e">
        <f t="shared" si="42"/>
        <v>#DIV/0!</v>
      </c>
      <c r="BH32" s="1" t="e">
        <f t="shared" si="43"/>
        <v>#DIV/0!</v>
      </c>
      <c r="BI32" s="1" t="e">
        <f t="shared" si="44"/>
        <v>#DIV/0!</v>
      </c>
      <c r="BJ32" s="1" t="e">
        <f t="shared" si="45"/>
        <v>#DIV/0!</v>
      </c>
      <c r="BK32" s="1" t="e">
        <f t="shared" si="46"/>
        <v>#DIV/0!</v>
      </c>
      <c r="BL32" s="1" t="e">
        <f t="shared" si="47"/>
        <v>#DIV/0!</v>
      </c>
      <c r="BM32" s="1" t="e">
        <f t="shared" si="48"/>
        <v>#DIV/0!</v>
      </c>
      <c r="BN32" s="1" t="e">
        <f t="shared" si="49"/>
        <v>#DIV/0!</v>
      </c>
      <c r="BP32" s="1" t="str">
        <f t="shared" si="50"/>
        <v>Drymill CCS Fermentation Exhaust</v>
      </c>
      <c r="BQ32" s="1" t="e">
        <f t="shared" si="51"/>
        <v>#DIV/0!</v>
      </c>
      <c r="BR32" s="1" t="e">
        <f t="shared" si="52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53"/>
        <v>#DIV/0!</v>
      </c>
      <c r="BU32" s="1" t="e">
        <f t="shared" si="54"/>
        <v>#DIV/0!</v>
      </c>
      <c r="BV32" s="1" t="e">
        <f t="shared" si="55"/>
        <v>#DIV/0!</v>
      </c>
      <c r="BW32" s="1" t="e">
        <f t="shared" si="56"/>
        <v>#DIV/0!</v>
      </c>
      <c r="BY32" s="9">
        <f t="shared" si="14"/>
        <v>3.1428571428571428</v>
      </c>
      <c r="BZ32" s="18">
        <f t="shared" si="15"/>
        <v>1.7588666580000001</v>
      </c>
      <c r="CA32" s="10">
        <v>0.1828908353</v>
      </c>
      <c r="CB32" s="9">
        <v>0.23037490999999999</v>
      </c>
      <c r="CD32" s="10" t="e">
        <f t="shared" si="16"/>
        <v>#DIV/0!</v>
      </c>
      <c r="CE32" s="10" t="e">
        <f t="shared" si="17"/>
        <v>#DIV/0!</v>
      </c>
      <c r="CF32" s="10" t="e">
        <f t="shared" si="18"/>
        <v>#DIV/0!</v>
      </c>
      <c r="CG32" s="10">
        <f t="shared" si="19"/>
        <v>0</v>
      </c>
      <c r="CH32" s="10" t="e">
        <f t="shared" si="20"/>
        <v>#DIV/0!</v>
      </c>
      <c r="CJ32" s="18" t="e">
        <f t="shared" si="21"/>
        <v>#DIV/0!</v>
      </c>
      <c r="CK32" s="18" t="e">
        <f t="shared" si="22"/>
        <v>#DIV/0!</v>
      </c>
      <c r="CL32" s="10">
        <f t="shared" si="23"/>
        <v>3.1428571428571428</v>
      </c>
      <c r="CM32" s="10" t="e">
        <f t="shared" si="24"/>
        <v>#DIV/0!</v>
      </c>
      <c r="CN32" s="10" t="e">
        <f t="shared" si="25"/>
        <v>#DIV/0!</v>
      </c>
      <c r="CP32" s="1" t="e">
        <f t="shared" si="26"/>
        <v>#DIV/0!</v>
      </c>
    </row>
    <row r="33" spans="2:94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 cm="1">
        <f t="array" ref="R33:AE33">_xlfn.XLOOKUP(D33, CR:CR, CS:DF)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57"/>
        <v>0</v>
      </c>
      <c r="AR33" s="1">
        <f t="shared" si="27"/>
        <v>0</v>
      </c>
      <c r="AS33" s="11" t="e">
        <f t="shared" si="28"/>
        <v>#DIV/0!</v>
      </c>
      <c r="AT33" s="11" t="e">
        <f t="shared" si="29"/>
        <v>#DIV/0!</v>
      </c>
      <c r="AU33" s="5" t="e">
        <f t="shared" si="30"/>
        <v>#DIV/0!</v>
      </c>
      <c r="AV33" s="5" t="e">
        <f t="shared" si="31"/>
        <v>#DIV/0!</v>
      </c>
      <c r="AW33" s="1" t="e">
        <f t="shared" si="32"/>
        <v>#DIV/0!</v>
      </c>
      <c r="AX33" s="1" t="e">
        <f t="shared" si="33"/>
        <v>#DIV/0!</v>
      </c>
      <c r="AY33" s="1" t="e">
        <f t="shared" si="34"/>
        <v>#DIV/0!</v>
      </c>
      <c r="AZ33" s="1" t="e">
        <f t="shared" si="35"/>
        <v>#DIV/0!</v>
      </c>
      <c r="BA33" s="1" t="e">
        <f t="shared" si="36"/>
        <v>#DIV/0!</v>
      </c>
      <c r="BB33" s="1" t="e">
        <f t="shared" si="37"/>
        <v>#DIV/0!</v>
      </c>
      <c r="BC33" s="1" t="e">
        <f t="shared" si="38"/>
        <v>#DIV/0!</v>
      </c>
      <c r="BD33" s="1" t="e">
        <f t="shared" si="39"/>
        <v>#DIV/0!</v>
      </c>
      <c r="BE33" s="1" t="e">
        <f t="shared" si="40"/>
        <v>#DIV/0!</v>
      </c>
      <c r="BF33" s="1" t="e">
        <f t="shared" si="41"/>
        <v>#DIV/0!</v>
      </c>
      <c r="BG33" s="1" t="e">
        <f t="shared" si="42"/>
        <v>#DIV/0!</v>
      </c>
      <c r="BH33" s="1" t="e">
        <f t="shared" si="43"/>
        <v>#DIV/0!</v>
      </c>
      <c r="BI33" s="1" t="e">
        <f t="shared" si="44"/>
        <v>#DIV/0!</v>
      </c>
      <c r="BJ33" s="1" t="e">
        <f t="shared" si="45"/>
        <v>#DIV/0!</v>
      </c>
      <c r="BK33" s="1" t="e">
        <f t="shared" si="46"/>
        <v>#DIV/0!</v>
      </c>
      <c r="BL33" s="1" t="e">
        <f t="shared" si="47"/>
        <v>#DIV/0!</v>
      </c>
      <c r="BM33" s="1" t="e">
        <f t="shared" si="48"/>
        <v>#DIV/0!</v>
      </c>
      <c r="BN33" s="1" t="e">
        <f t="shared" si="49"/>
        <v>#DIV/0!</v>
      </c>
      <c r="BP33" s="1" t="str">
        <f t="shared" si="50"/>
        <v>Drymill CCS Fermentation Exhaust</v>
      </c>
      <c r="BQ33" s="1" t="e">
        <f t="shared" si="51"/>
        <v>#DIV/0!</v>
      </c>
      <c r="BR33" s="1" t="e">
        <f t="shared" si="52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53"/>
        <v>#DIV/0!</v>
      </c>
      <c r="BU33" s="1" t="e">
        <f t="shared" si="54"/>
        <v>#DIV/0!</v>
      </c>
      <c r="BV33" s="1" t="e">
        <f t="shared" si="55"/>
        <v>#DIV/0!</v>
      </c>
      <c r="BW33" s="1" t="e">
        <f t="shared" si="56"/>
        <v>#DIV/0!</v>
      </c>
      <c r="BY33" s="9">
        <f t="shared" si="14"/>
        <v>3.1428571428571428</v>
      </c>
      <c r="BZ33" s="18">
        <f t="shared" si="15"/>
        <v>1.7588666580000001</v>
      </c>
      <c r="CA33" s="10">
        <v>0.1828908353</v>
      </c>
      <c r="CB33" s="9">
        <v>0.23037490999999999</v>
      </c>
      <c r="CD33" s="10" t="e">
        <f t="shared" si="16"/>
        <v>#DIV/0!</v>
      </c>
      <c r="CE33" s="10" t="e">
        <f t="shared" si="17"/>
        <v>#DIV/0!</v>
      </c>
      <c r="CF33" s="10" t="e">
        <f t="shared" si="18"/>
        <v>#DIV/0!</v>
      </c>
      <c r="CG33" s="10">
        <f t="shared" si="19"/>
        <v>0</v>
      </c>
      <c r="CH33" s="10" t="e">
        <f t="shared" si="20"/>
        <v>#DIV/0!</v>
      </c>
      <c r="CJ33" s="18" t="e">
        <f t="shared" si="21"/>
        <v>#DIV/0!</v>
      </c>
      <c r="CK33" s="18" t="e">
        <f t="shared" si="22"/>
        <v>#DIV/0!</v>
      </c>
      <c r="CL33" s="10">
        <f t="shared" si="23"/>
        <v>3.1428571428571428</v>
      </c>
      <c r="CM33" s="10" t="e">
        <f t="shared" si="24"/>
        <v>#DIV/0!</v>
      </c>
      <c r="CN33" s="10" t="e">
        <f t="shared" si="25"/>
        <v>#DIV/0!</v>
      </c>
      <c r="CP33" s="1" t="e">
        <f t="shared" si="26"/>
        <v>#DIV/0!</v>
      </c>
    </row>
    <row r="34" spans="2:94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 cm="1">
        <f t="array" ref="R34:AE34">_xlfn.XLOOKUP(D34, CR:CR, CS:DF)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57"/>
        <v>0</v>
      </c>
      <c r="AR34" s="1">
        <f t="shared" si="27"/>
        <v>0</v>
      </c>
      <c r="AS34" s="11" t="e">
        <f t="shared" si="28"/>
        <v>#DIV/0!</v>
      </c>
      <c r="AT34" s="11" t="e">
        <f t="shared" si="29"/>
        <v>#DIV/0!</v>
      </c>
      <c r="AU34" s="5" t="e">
        <f t="shared" si="30"/>
        <v>#DIV/0!</v>
      </c>
      <c r="AV34" s="5" t="e">
        <f t="shared" si="31"/>
        <v>#DIV/0!</v>
      </c>
      <c r="AW34" s="1" t="e">
        <f t="shared" si="32"/>
        <v>#DIV/0!</v>
      </c>
      <c r="AX34" s="1" t="e">
        <f t="shared" si="33"/>
        <v>#DIV/0!</v>
      </c>
      <c r="AY34" s="1" t="e">
        <f t="shared" si="34"/>
        <v>#DIV/0!</v>
      </c>
      <c r="AZ34" s="1" t="e">
        <f t="shared" si="35"/>
        <v>#DIV/0!</v>
      </c>
      <c r="BA34" s="1" t="e">
        <f t="shared" si="36"/>
        <v>#DIV/0!</v>
      </c>
      <c r="BB34" s="1" t="e">
        <f t="shared" si="37"/>
        <v>#DIV/0!</v>
      </c>
      <c r="BC34" s="1" t="e">
        <f t="shared" si="38"/>
        <v>#DIV/0!</v>
      </c>
      <c r="BD34" s="1" t="e">
        <f t="shared" si="39"/>
        <v>#DIV/0!</v>
      </c>
      <c r="BE34" s="1" t="e">
        <f t="shared" si="40"/>
        <v>#DIV/0!</v>
      </c>
      <c r="BF34" s="1" t="e">
        <f t="shared" si="41"/>
        <v>#DIV/0!</v>
      </c>
      <c r="BG34" s="1" t="e">
        <f t="shared" si="42"/>
        <v>#DIV/0!</v>
      </c>
      <c r="BH34" s="1" t="e">
        <f t="shared" si="43"/>
        <v>#DIV/0!</v>
      </c>
      <c r="BI34" s="1" t="e">
        <f t="shared" si="44"/>
        <v>#DIV/0!</v>
      </c>
      <c r="BJ34" s="1" t="e">
        <f t="shared" si="45"/>
        <v>#DIV/0!</v>
      </c>
      <c r="BK34" s="1" t="e">
        <f t="shared" si="46"/>
        <v>#DIV/0!</v>
      </c>
      <c r="BL34" s="1" t="e">
        <f t="shared" si="47"/>
        <v>#DIV/0!</v>
      </c>
      <c r="BM34" s="1" t="e">
        <f t="shared" si="48"/>
        <v>#DIV/0!</v>
      </c>
      <c r="BN34" s="1" t="e">
        <f t="shared" si="49"/>
        <v>#DIV/0!</v>
      </c>
      <c r="BP34" s="1" t="str">
        <f t="shared" si="50"/>
        <v>Drymill CCS Fermentation Exhaust</v>
      </c>
      <c r="BQ34" s="1" t="e">
        <f t="shared" si="51"/>
        <v>#DIV/0!</v>
      </c>
      <c r="BR34" s="1" t="e">
        <f t="shared" si="52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53"/>
        <v>#DIV/0!</v>
      </c>
      <c r="BU34" s="1" t="e">
        <f t="shared" si="54"/>
        <v>#DIV/0!</v>
      </c>
      <c r="BV34" s="1" t="e">
        <f t="shared" si="55"/>
        <v>#DIV/0!</v>
      </c>
      <c r="BW34" s="1" t="e">
        <f t="shared" si="56"/>
        <v>#DIV/0!</v>
      </c>
      <c r="BY34" s="9">
        <f t="shared" si="14"/>
        <v>3.1428571428571428</v>
      </c>
      <c r="BZ34" s="18">
        <f t="shared" si="15"/>
        <v>1.7588666580000001</v>
      </c>
      <c r="CA34" s="10">
        <v>0.1828908353</v>
      </c>
      <c r="CB34" s="9">
        <v>0.23037490999999999</v>
      </c>
      <c r="CD34" s="10" t="e">
        <f t="shared" si="16"/>
        <v>#DIV/0!</v>
      </c>
      <c r="CE34" s="10" t="e">
        <f t="shared" si="17"/>
        <v>#DIV/0!</v>
      </c>
      <c r="CF34" s="10" t="e">
        <f t="shared" si="18"/>
        <v>#DIV/0!</v>
      </c>
      <c r="CG34" s="10">
        <f t="shared" si="19"/>
        <v>0</v>
      </c>
      <c r="CH34" s="10" t="e">
        <f t="shared" si="20"/>
        <v>#DIV/0!</v>
      </c>
      <c r="CJ34" s="18" t="e">
        <f t="shared" si="21"/>
        <v>#DIV/0!</v>
      </c>
      <c r="CK34" s="18" t="e">
        <f t="shared" si="22"/>
        <v>#DIV/0!</v>
      </c>
      <c r="CL34" s="10">
        <f t="shared" si="23"/>
        <v>3.1428571428571428</v>
      </c>
      <c r="CM34" s="10" t="e">
        <f t="shared" si="24"/>
        <v>#DIV/0!</v>
      </c>
      <c r="CN34" s="10" t="e">
        <f t="shared" si="25"/>
        <v>#DIV/0!</v>
      </c>
      <c r="CP34" s="1" t="e">
        <f t="shared" si="26"/>
        <v>#DIV/0!</v>
      </c>
    </row>
    <row r="35" spans="2:94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 cm="1">
        <f t="array" ref="R35:AE35">_xlfn.XLOOKUP(D35, CR:CR, CS:DF)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57"/>
        <v>0</v>
      </c>
      <c r="AR35" s="1">
        <f t="shared" si="27"/>
        <v>0</v>
      </c>
      <c r="AS35" s="11" t="e">
        <f t="shared" si="28"/>
        <v>#DIV/0!</v>
      </c>
      <c r="AT35" s="11" t="e">
        <f t="shared" si="29"/>
        <v>#DIV/0!</v>
      </c>
      <c r="AU35" s="5" t="e">
        <f t="shared" si="30"/>
        <v>#DIV/0!</v>
      </c>
      <c r="AV35" s="5" t="e">
        <f t="shared" si="31"/>
        <v>#DIV/0!</v>
      </c>
      <c r="AW35" s="1" t="e">
        <f t="shared" si="32"/>
        <v>#DIV/0!</v>
      </c>
      <c r="AX35" s="1" t="e">
        <f t="shared" si="33"/>
        <v>#DIV/0!</v>
      </c>
      <c r="AY35" s="1" t="e">
        <f t="shared" si="34"/>
        <v>#DIV/0!</v>
      </c>
      <c r="AZ35" s="1" t="e">
        <f t="shared" si="35"/>
        <v>#DIV/0!</v>
      </c>
      <c r="BA35" s="1" t="e">
        <f t="shared" si="36"/>
        <v>#DIV/0!</v>
      </c>
      <c r="BB35" s="1" t="e">
        <f t="shared" si="37"/>
        <v>#DIV/0!</v>
      </c>
      <c r="BC35" s="1" t="e">
        <f t="shared" si="38"/>
        <v>#DIV/0!</v>
      </c>
      <c r="BD35" s="1" t="e">
        <f t="shared" si="39"/>
        <v>#DIV/0!</v>
      </c>
      <c r="BE35" s="1" t="e">
        <f t="shared" si="40"/>
        <v>#DIV/0!</v>
      </c>
      <c r="BF35" s="1" t="e">
        <f t="shared" si="41"/>
        <v>#DIV/0!</v>
      </c>
      <c r="BG35" s="1" t="e">
        <f t="shared" si="42"/>
        <v>#DIV/0!</v>
      </c>
      <c r="BH35" s="1" t="e">
        <f t="shared" si="43"/>
        <v>#DIV/0!</v>
      </c>
      <c r="BI35" s="1" t="e">
        <f t="shared" si="44"/>
        <v>#DIV/0!</v>
      </c>
      <c r="BJ35" s="1" t="e">
        <f t="shared" si="45"/>
        <v>#DIV/0!</v>
      </c>
      <c r="BK35" s="1" t="e">
        <f t="shared" si="46"/>
        <v>#DIV/0!</v>
      </c>
      <c r="BL35" s="1" t="e">
        <f t="shared" si="47"/>
        <v>#DIV/0!</v>
      </c>
      <c r="BM35" s="1" t="e">
        <f t="shared" si="48"/>
        <v>#DIV/0!</v>
      </c>
      <c r="BN35" s="1" t="e">
        <f t="shared" si="49"/>
        <v>#DIV/0!</v>
      </c>
      <c r="BP35" s="1" t="str">
        <f t="shared" si="50"/>
        <v>Drymill CCS Fermentation Exhaust</v>
      </c>
      <c r="BQ35" s="1" t="e">
        <f t="shared" si="51"/>
        <v>#DIV/0!</v>
      </c>
      <c r="BR35" s="1" t="e">
        <f t="shared" si="52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53"/>
        <v>#DIV/0!</v>
      </c>
      <c r="BU35" s="1" t="e">
        <f t="shared" si="54"/>
        <v>#DIV/0!</v>
      </c>
      <c r="BV35" s="1" t="e">
        <f t="shared" si="55"/>
        <v>#DIV/0!</v>
      </c>
      <c r="BW35" s="1" t="e">
        <f t="shared" si="56"/>
        <v>#DIV/0!</v>
      </c>
      <c r="BY35" s="9">
        <f t="shared" si="14"/>
        <v>3.1428571428571428</v>
      </c>
      <c r="BZ35" s="18">
        <f t="shared" si="15"/>
        <v>1.7588666580000001</v>
      </c>
      <c r="CA35" s="10">
        <v>0.1828908353</v>
      </c>
      <c r="CB35" s="9">
        <v>0.23037490999999999</v>
      </c>
      <c r="CD35" s="10" t="e">
        <f t="shared" si="16"/>
        <v>#DIV/0!</v>
      </c>
      <c r="CE35" s="10" t="e">
        <f t="shared" si="17"/>
        <v>#DIV/0!</v>
      </c>
      <c r="CF35" s="10" t="e">
        <f t="shared" si="18"/>
        <v>#DIV/0!</v>
      </c>
      <c r="CG35" s="10">
        <f t="shared" si="19"/>
        <v>0</v>
      </c>
      <c r="CH35" s="10" t="e">
        <f t="shared" si="20"/>
        <v>#DIV/0!</v>
      </c>
      <c r="CJ35" s="18" t="e">
        <f t="shared" si="21"/>
        <v>#DIV/0!</v>
      </c>
      <c r="CK35" s="18" t="e">
        <f t="shared" si="22"/>
        <v>#DIV/0!</v>
      </c>
      <c r="CL35" s="10">
        <f t="shared" si="23"/>
        <v>3.1428571428571428</v>
      </c>
      <c r="CM35" s="10" t="e">
        <f t="shared" si="24"/>
        <v>#DIV/0!</v>
      </c>
      <c r="CN35" s="10" t="e">
        <f t="shared" si="25"/>
        <v>#DIV/0!</v>
      </c>
      <c r="CP35" s="1" t="e">
        <f t="shared" si="26"/>
        <v>#DIV/0!</v>
      </c>
    </row>
    <row r="36" spans="2:94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 cm="1">
        <f t="array" ref="R36:AE36">_xlfn.XLOOKUP(D36, CR:CR, CS:DF)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si="57"/>
        <v>0</v>
      </c>
      <c r="AR36" s="1">
        <f t="shared" si="27"/>
        <v>0</v>
      </c>
      <c r="AS36" s="11" t="e">
        <f t="shared" si="28"/>
        <v>#DIV/0!</v>
      </c>
      <c r="AT36" s="11" t="e">
        <f t="shared" si="29"/>
        <v>#DIV/0!</v>
      </c>
      <c r="AU36" s="5" t="e">
        <f t="shared" si="30"/>
        <v>#DIV/0!</v>
      </c>
      <c r="AV36" s="5" t="e">
        <f t="shared" si="31"/>
        <v>#DIV/0!</v>
      </c>
      <c r="AW36" s="1" t="e">
        <f t="shared" si="32"/>
        <v>#DIV/0!</v>
      </c>
      <c r="AX36" s="1" t="e">
        <f t="shared" si="33"/>
        <v>#DIV/0!</v>
      </c>
      <c r="AY36" s="1" t="e">
        <f t="shared" si="34"/>
        <v>#DIV/0!</v>
      </c>
      <c r="AZ36" s="1" t="e">
        <f t="shared" si="35"/>
        <v>#DIV/0!</v>
      </c>
      <c r="BA36" s="1" t="e">
        <f t="shared" si="36"/>
        <v>#DIV/0!</v>
      </c>
      <c r="BB36" s="1" t="e">
        <f t="shared" si="37"/>
        <v>#DIV/0!</v>
      </c>
      <c r="BC36" s="1" t="e">
        <f t="shared" si="38"/>
        <v>#DIV/0!</v>
      </c>
      <c r="BD36" s="1" t="e">
        <f t="shared" si="39"/>
        <v>#DIV/0!</v>
      </c>
      <c r="BE36" s="1" t="e">
        <f t="shared" si="40"/>
        <v>#DIV/0!</v>
      </c>
      <c r="BF36" s="1" t="e">
        <f t="shared" si="41"/>
        <v>#DIV/0!</v>
      </c>
      <c r="BG36" s="1" t="e">
        <f t="shared" si="42"/>
        <v>#DIV/0!</v>
      </c>
      <c r="BH36" s="1" t="e">
        <f t="shared" si="43"/>
        <v>#DIV/0!</v>
      </c>
      <c r="BI36" s="1" t="e">
        <f t="shared" si="44"/>
        <v>#DIV/0!</v>
      </c>
      <c r="BJ36" s="1" t="e">
        <f t="shared" si="45"/>
        <v>#DIV/0!</v>
      </c>
      <c r="BK36" s="1" t="e">
        <f t="shared" si="46"/>
        <v>#DIV/0!</v>
      </c>
      <c r="BL36" s="1" t="e">
        <f t="shared" si="47"/>
        <v>#DIV/0!</v>
      </c>
      <c r="BM36" s="1" t="e">
        <f t="shared" si="48"/>
        <v>#DIV/0!</v>
      </c>
      <c r="BN36" s="1" t="e">
        <f t="shared" si="49"/>
        <v>#DIV/0!</v>
      </c>
      <c r="BP36" s="1" t="str">
        <f t="shared" si="50"/>
        <v>Drymill CCS Fermentation Exhaust</v>
      </c>
      <c r="BQ36" s="1" t="e">
        <f t="shared" si="51"/>
        <v>#DIV/0!</v>
      </c>
      <c r="BR36" s="1" t="e">
        <f t="shared" si="52"/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si="53"/>
        <v>#DIV/0!</v>
      </c>
      <c r="BU36" s="1" t="e">
        <f t="shared" si="54"/>
        <v>#DIV/0!</v>
      </c>
      <c r="BV36" s="1" t="e">
        <f t="shared" si="55"/>
        <v>#DIV/0!</v>
      </c>
      <c r="BW36" s="1" t="e">
        <f t="shared" si="56"/>
        <v>#DIV/0!</v>
      </c>
      <c r="BY36" s="9">
        <f t="shared" si="14"/>
        <v>3.1428571428571428</v>
      </c>
      <c r="BZ36" s="18">
        <f t="shared" si="15"/>
        <v>1.7588666580000001</v>
      </c>
      <c r="CA36" s="10">
        <v>0.1828908353</v>
      </c>
      <c r="CB36" s="9">
        <v>0.23037490999999999</v>
      </c>
      <c r="CD36" s="10" t="e">
        <f t="shared" si="16"/>
        <v>#DIV/0!</v>
      </c>
      <c r="CE36" s="10" t="e">
        <f t="shared" si="17"/>
        <v>#DIV/0!</v>
      </c>
      <c r="CF36" s="10" t="e">
        <f t="shared" si="18"/>
        <v>#DIV/0!</v>
      </c>
      <c r="CG36" s="10">
        <f t="shared" si="19"/>
        <v>0</v>
      </c>
      <c r="CH36" s="10" t="e">
        <f t="shared" si="20"/>
        <v>#DIV/0!</v>
      </c>
      <c r="CJ36" s="18" t="e">
        <f t="shared" si="21"/>
        <v>#DIV/0!</v>
      </c>
      <c r="CK36" s="18" t="e">
        <f t="shared" si="22"/>
        <v>#DIV/0!</v>
      </c>
      <c r="CL36" s="10">
        <f t="shared" si="23"/>
        <v>3.1428571428571428</v>
      </c>
      <c r="CM36" s="10" t="e">
        <f t="shared" si="24"/>
        <v>#DIV/0!</v>
      </c>
      <c r="CN36" s="10" t="e">
        <f t="shared" si="25"/>
        <v>#DIV/0!</v>
      </c>
      <c r="CP36" s="1" t="e">
        <f t="shared" si="26"/>
        <v>#DIV/0!</v>
      </c>
    </row>
    <row r="37" spans="2:94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 cm="1">
        <f t="array" ref="R37:AE37">_xlfn.XLOOKUP(D37, CR:CR, CS:DF)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57"/>
        <v>0</v>
      </c>
      <c r="AR37" s="1">
        <f t="shared" si="27"/>
        <v>0</v>
      </c>
      <c r="AS37" s="11" t="e">
        <f t="shared" si="28"/>
        <v>#DIV/0!</v>
      </c>
      <c r="AT37" s="11" t="e">
        <f t="shared" si="29"/>
        <v>#DIV/0!</v>
      </c>
      <c r="AU37" s="5" t="e">
        <f t="shared" si="30"/>
        <v>#DIV/0!</v>
      </c>
      <c r="AV37" s="5" t="e">
        <f t="shared" si="31"/>
        <v>#DIV/0!</v>
      </c>
      <c r="AW37" s="1" t="e">
        <f t="shared" si="32"/>
        <v>#DIV/0!</v>
      </c>
      <c r="AX37" s="1" t="e">
        <f t="shared" si="33"/>
        <v>#DIV/0!</v>
      </c>
      <c r="AY37" s="1" t="e">
        <f t="shared" si="34"/>
        <v>#DIV/0!</v>
      </c>
      <c r="AZ37" s="1" t="e">
        <f t="shared" si="35"/>
        <v>#DIV/0!</v>
      </c>
      <c r="BA37" s="1" t="e">
        <f t="shared" si="36"/>
        <v>#DIV/0!</v>
      </c>
      <c r="BB37" s="1" t="e">
        <f t="shared" si="37"/>
        <v>#DIV/0!</v>
      </c>
      <c r="BC37" s="1" t="e">
        <f t="shared" si="38"/>
        <v>#DIV/0!</v>
      </c>
      <c r="BD37" s="1" t="e">
        <f t="shared" si="39"/>
        <v>#DIV/0!</v>
      </c>
      <c r="BE37" s="1" t="e">
        <f t="shared" si="40"/>
        <v>#DIV/0!</v>
      </c>
      <c r="BF37" s="1" t="e">
        <f t="shared" si="41"/>
        <v>#DIV/0!</v>
      </c>
      <c r="BG37" s="1" t="e">
        <f t="shared" si="42"/>
        <v>#DIV/0!</v>
      </c>
      <c r="BH37" s="1" t="e">
        <f t="shared" si="43"/>
        <v>#DIV/0!</v>
      </c>
      <c r="BI37" s="1" t="e">
        <f t="shared" si="44"/>
        <v>#DIV/0!</v>
      </c>
      <c r="BJ37" s="1" t="e">
        <f t="shared" si="45"/>
        <v>#DIV/0!</v>
      </c>
      <c r="BK37" s="1" t="e">
        <f t="shared" si="46"/>
        <v>#DIV/0!</v>
      </c>
      <c r="BL37" s="1" t="e">
        <f t="shared" si="47"/>
        <v>#DIV/0!</v>
      </c>
      <c r="BM37" s="1" t="e">
        <f t="shared" si="48"/>
        <v>#DIV/0!</v>
      </c>
      <c r="BN37" s="1" t="e">
        <f t="shared" si="49"/>
        <v>#DIV/0!</v>
      </c>
      <c r="BP37" s="1" t="str">
        <f t="shared" si="50"/>
        <v>Drymill CCS Fermentation Exhaust</v>
      </c>
      <c r="BQ37" s="1" t="e">
        <f t="shared" si="51"/>
        <v>#DIV/0!</v>
      </c>
      <c r="BR37" s="1" t="e">
        <f t="shared" si="52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53"/>
        <v>#DIV/0!</v>
      </c>
      <c r="BU37" s="1" t="e">
        <f t="shared" si="54"/>
        <v>#DIV/0!</v>
      </c>
      <c r="BV37" s="1" t="e">
        <f t="shared" si="55"/>
        <v>#DIV/0!</v>
      </c>
      <c r="BW37" s="1" t="e">
        <f t="shared" si="56"/>
        <v>#DIV/0!</v>
      </c>
      <c r="BY37" s="9">
        <f t="shared" si="14"/>
        <v>3.1428571428571428</v>
      </c>
      <c r="BZ37" s="18">
        <f t="shared" si="15"/>
        <v>1.7588666580000001</v>
      </c>
      <c r="CA37" s="10">
        <v>0.1828908353</v>
      </c>
      <c r="CB37" s="9">
        <v>0.23037490999999999</v>
      </c>
      <c r="CD37" s="10" t="e">
        <f t="shared" si="16"/>
        <v>#DIV/0!</v>
      </c>
      <c r="CE37" s="10" t="e">
        <f t="shared" si="17"/>
        <v>#DIV/0!</v>
      </c>
      <c r="CF37" s="10" t="e">
        <f t="shared" si="18"/>
        <v>#DIV/0!</v>
      </c>
      <c r="CG37" s="10">
        <f t="shared" si="19"/>
        <v>0</v>
      </c>
      <c r="CH37" s="10" t="e">
        <f t="shared" si="20"/>
        <v>#DIV/0!</v>
      </c>
      <c r="CJ37" s="18" t="e">
        <f t="shared" si="21"/>
        <v>#DIV/0!</v>
      </c>
      <c r="CK37" s="18" t="e">
        <f t="shared" si="22"/>
        <v>#DIV/0!</v>
      </c>
      <c r="CL37" s="10">
        <f t="shared" si="23"/>
        <v>3.1428571428571428</v>
      </c>
      <c r="CM37" s="10" t="e">
        <f t="shared" si="24"/>
        <v>#DIV/0!</v>
      </c>
      <c r="CN37" s="10" t="e">
        <f t="shared" si="25"/>
        <v>#DIV/0!</v>
      </c>
      <c r="CP37" s="1" t="e">
        <f t="shared" si="26"/>
        <v>#DIV/0!</v>
      </c>
    </row>
    <row r="38" spans="2:94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 cm="1">
        <f t="array" ref="R38:AE38">_xlfn.XLOOKUP(D38, CR:CR, CS:DF)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57"/>
        <v>0</v>
      </c>
      <c r="AR38" s="1">
        <f t="shared" si="27"/>
        <v>0</v>
      </c>
      <c r="AS38" s="11" t="e">
        <f t="shared" si="28"/>
        <v>#DIV/0!</v>
      </c>
      <c r="AT38" s="11" t="e">
        <f t="shared" si="29"/>
        <v>#DIV/0!</v>
      </c>
      <c r="AU38" s="5" t="e">
        <f t="shared" si="30"/>
        <v>#DIV/0!</v>
      </c>
      <c r="AV38" s="5" t="e">
        <f t="shared" si="31"/>
        <v>#DIV/0!</v>
      </c>
      <c r="AW38" s="1" t="e">
        <f t="shared" si="32"/>
        <v>#DIV/0!</v>
      </c>
      <c r="AX38" s="1" t="e">
        <f t="shared" si="33"/>
        <v>#DIV/0!</v>
      </c>
      <c r="AY38" s="1" t="e">
        <f t="shared" si="34"/>
        <v>#DIV/0!</v>
      </c>
      <c r="AZ38" s="1" t="e">
        <f t="shared" si="35"/>
        <v>#DIV/0!</v>
      </c>
      <c r="BA38" s="1" t="e">
        <f t="shared" si="36"/>
        <v>#DIV/0!</v>
      </c>
      <c r="BB38" s="1" t="e">
        <f t="shared" si="37"/>
        <v>#DIV/0!</v>
      </c>
      <c r="BC38" s="1" t="e">
        <f t="shared" si="38"/>
        <v>#DIV/0!</v>
      </c>
      <c r="BD38" s="1" t="e">
        <f t="shared" si="39"/>
        <v>#DIV/0!</v>
      </c>
      <c r="BE38" s="1" t="e">
        <f t="shared" si="40"/>
        <v>#DIV/0!</v>
      </c>
      <c r="BF38" s="1" t="e">
        <f t="shared" si="41"/>
        <v>#DIV/0!</v>
      </c>
      <c r="BG38" s="1" t="e">
        <f t="shared" si="42"/>
        <v>#DIV/0!</v>
      </c>
      <c r="BH38" s="1" t="e">
        <f t="shared" si="43"/>
        <v>#DIV/0!</v>
      </c>
      <c r="BI38" s="1" t="e">
        <f t="shared" si="44"/>
        <v>#DIV/0!</v>
      </c>
      <c r="BJ38" s="1" t="e">
        <f t="shared" si="45"/>
        <v>#DIV/0!</v>
      </c>
      <c r="BK38" s="1" t="e">
        <f t="shared" si="46"/>
        <v>#DIV/0!</v>
      </c>
      <c r="BL38" s="1" t="e">
        <f t="shared" si="47"/>
        <v>#DIV/0!</v>
      </c>
      <c r="BM38" s="1" t="e">
        <f t="shared" si="48"/>
        <v>#DIV/0!</v>
      </c>
      <c r="BN38" s="1" t="e">
        <f t="shared" si="49"/>
        <v>#DIV/0!</v>
      </c>
      <c r="BP38" s="1" t="str">
        <f t="shared" si="50"/>
        <v>Drymill CCS Fermentation Exhaust</v>
      </c>
      <c r="BQ38" s="1" t="e">
        <f t="shared" si="51"/>
        <v>#DIV/0!</v>
      </c>
      <c r="BR38" s="1" t="e">
        <f t="shared" si="52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53"/>
        <v>#DIV/0!</v>
      </c>
      <c r="BU38" s="1" t="e">
        <f t="shared" si="54"/>
        <v>#DIV/0!</v>
      </c>
      <c r="BV38" s="1" t="e">
        <f t="shared" si="55"/>
        <v>#DIV/0!</v>
      </c>
      <c r="BW38" s="1" t="e">
        <f t="shared" si="56"/>
        <v>#DIV/0!</v>
      </c>
      <c r="BY38" s="9">
        <f t="shared" si="14"/>
        <v>3.1428571428571428</v>
      </c>
      <c r="BZ38" s="18">
        <f t="shared" si="15"/>
        <v>1.7588666580000001</v>
      </c>
      <c r="CA38" s="10">
        <v>0.1828908353</v>
      </c>
      <c r="CB38" s="9">
        <v>0.23037490999999999</v>
      </c>
      <c r="CD38" s="10" t="e">
        <f t="shared" si="16"/>
        <v>#DIV/0!</v>
      </c>
      <c r="CE38" s="10" t="e">
        <f t="shared" si="17"/>
        <v>#DIV/0!</v>
      </c>
      <c r="CF38" s="10" t="e">
        <f t="shared" si="18"/>
        <v>#DIV/0!</v>
      </c>
      <c r="CG38" s="10">
        <f t="shared" si="19"/>
        <v>0</v>
      </c>
      <c r="CH38" s="10" t="e">
        <f t="shared" si="20"/>
        <v>#DIV/0!</v>
      </c>
      <c r="CJ38" s="18" t="e">
        <f t="shared" si="21"/>
        <v>#DIV/0!</v>
      </c>
      <c r="CK38" s="18" t="e">
        <f t="shared" si="22"/>
        <v>#DIV/0!</v>
      </c>
      <c r="CL38" s="10">
        <f t="shared" si="23"/>
        <v>3.1428571428571428</v>
      </c>
      <c r="CM38" s="10" t="e">
        <f t="shared" si="24"/>
        <v>#DIV/0!</v>
      </c>
      <c r="CN38" s="10" t="e">
        <f t="shared" si="25"/>
        <v>#DIV/0!</v>
      </c>
      <c r="CP38" s="1" t="e">
        <f t="shared" si="26"/>
        <v>#DIV/0!</v>
      </c>
    </row>
    <row r="39" spans="2:94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 cm="1">
        <f t="array" ref="R39:AE39">_xlfn.XLOOKUP(D39, CR:CR, CS:DF)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57"/>
        <v>0</v>
      </c>
      <c r="AR39" s="1">
        <f t="shared" si="27"/>
        <v>0</v>
      </c>
      <c r="AS39" s="11" t="e">
        <f t="shared" si="28"/>
        <v>#DIV/0!</v>
      </c>
      <c r="AT39" s="11" t="e">
        <f t="shared" si="29"/>
        <v>#DIV/0!</v>
      </c>
      <c r="AU39" s="5" t="e">
        <f t="shared" si="30"/>
        <v>#DIV/0!</v>
      </c>
      <c r="AV39" s="5" t="e">
        <f t="shared" si="31"/>
        <v>#DIV/0!</v>
      </c>
      <c r="AW39" s="1" t="e">
        <f t="shared" si="32"/>
        <v>#DIV/0!</v>
      </c>
      <c r="AX39" s="1" t="e">
        <f t="shared" si="33"/>
        <v>#DIV/0!</v>
      </c>
      <c r="AY39" s="1" t="e">
        <f t="shared" si="34"/>
        <v>#DIV/0!</v>
      </c>
      <c r="AZ39" s="1" t="e">
        <f t="shared" si="35"/>
        <v>#DIV/0!</v>
      </c>
      <c r="BA39" s="1" t="e">
        <f t="shared" si="36"/>
        <v>#DIV/0!</v>
      </c>
      <c r="BB39" s="1" t="e">
        <f t="shared" si="37"/>
        <v>#DIV/0!</v>
      </c>
      <c r="BC39" s="1" t="e">
        <f t="shared" si="38"/>
        <v>#DIV/0!</v>
      </c>
      <c r="BD39" s="1" t="e">
        <f t="shared" si="39"/>
        <v>#DIV/0!</v>
      </c>
      <c r="BE39" s="1" t="e">
        <f t="shared" si="40"/>
        <v>#DIV/0!</v>
      </c>
      <c r="BF39" s="1" t="e">
        <f t="shared" si="41"/>
        <v>#DIV/0!</v>
      </c>
      <c r="BG39" s="1" t="e">
        <f t="shared" si="42"/>
        <v>#DIV/0!</v>
      </c>
      <c r="BH39" s="1" t="e">
        <f t="shared" si="43"/>
        <v>#DIV/0!</v>
      </c>
      <c r="BI39" s="1" t="e">
        <f t="shared" si="44"/>
        <v>#DIV/0!</v>
      </c>
      <c r="BJ39" s="1" t="e">
        <f t="shared" si="45"/>
        <v>#DIV/0!</v>
      </c>
      <c r="BK39" s="1" t="e">
        <f t="shared" si="46"/>
        <v>#DIV/0!</v>
      </c>
      <c r="BL39" s="1" t="e">
        <f t="shared" si="47"/>
        <v>#DIV/0!</v>
      </c>
      <c r="BM39" s="1" t="e">
        <f t="shared" si="48"/>
        <v>#DIV/0!</v>
      </c>
      <c r="BN39" s="1" t="e">
        <f t="shared" si="49"/>
        <v>#DIV/0!</v>
      </c>
      <c r="BP39" s="1" t="str">
        <f t="shared" si="50"/>
        <v>Drymill CCS Fermentation Exhaust</v>
      </c>
      <c r="BQ39" s="1" t="e">
        <f t="shared" si="51"/>
        <v>#DIV/0!</v>
      </c>
      <c r="BR39" s="1" t="e">
        <f t="shared" si="52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53"/>
        <v>#DIV/0!</v>
      </c>
      <c r="BU39" s="1" t="e">
        <f t="shared" si="54"/>
        <v>#DIV/0!</v>
      </c>
      <c r="BV39" s="1" t="e">
        <f t="shared" si="55"/>
        <v>#DIV/0!</v>
      </c>
      <c r="BW39" s="1" t="e">
        <f t="shared" si="56"/>
        <v>#DIV/0!</v>
      </c>
      <c r="BY39" s="9">
        <f t="shared" si="14"/>
        <v>3.1428571428571428</v>
      </c>
      <c r="BZ39" s="18">
        <f t="shared" si="15"/>
        <v>1.7588666580000001</v>
      </c>
      <c r="CA39" s="10">
        <v>0.1828908353</v>
      </c>
      <c r="CB39" s="9">
        <v>0.23037490999999999</v>
      </c>
      <c r="CD39" s="10" t="e">
        <f t="shared" si="16"/>
        <v>#DIV/0!</v>
      </c>
      <c r="CE39" s="10" t="e">
        <f t="shared" si="17"/>
        <v>#DIV/0!</v>
      </c>
      <c r="CF39" s="10" t="e">
        <f t="shared" si="18"/>
        <v>#DIV/0!</v>
      </c>
      <c r="CG39" s="10">
        <f t="shared" si="19"/>
        <v>0</v>
      </c>
      <c r="CH39" s="10" t="e">
        <f t="shared" si="20"/>
        <v>#DIV/0!</v>
      </c>
      <c r="CJ39" s="18" t="e">
        <f t="shared" si="21"/>
        <v>#DIV/0!</v>
      </c>
      <c r="CK39" s="18" t="e">
        <f t="shared" si="22"/>
        <v>#DIV/0!</v>
      </c>
      <c r="CL39" s="10">
        <f t="shared" si="23"/>
        <v>3.1428571428571428</v>
      </c>
      <c r="CM39" s="10" t="e">
        <f t="shared" si="24"/>
        <v>#DIV/0!</v>
      </c>
      <c r="CN39" s="10" t="e">
        <f t="shared" si="25"/>
        <v>#DIV/0!</v>
      </c>
      <c r="CP39" s="1" t="e">
        <f t="shared" si="26"/>
        <v>#DIV/0!</v>
      </c>
    </row>
    <row r="40" spans="2:94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 cm="1">
        <f t="array" ref="R40:AE40">_xlfn.XLOOKUP(D40, CR:CR, CS:DF)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57"/>
        <v>0</v>
      </c>
      <c r="AR40" s="1">
        <f t="shared" si="27"/>
        <v>0</v>
      </c>
      <c r="AS40" s="11" t="e">
        <f t="shared" si="28"/>
        <v>#DIV/0!</v>
      </c>
      <c r="AT40" s="11" t="e">
        <f t="shared" si="29"/>
        <v>#DIV/0!</v>
      </c>
      <c r="AU40" s="5" t="e">
        <f t="shared" si="30"/>
        <v>#DIV/0!</v>
      </c>
      <c r="AV40" s="5" t="e">
        <f t="shared" si="31"/>
        <v>#DIV/0!</v>
      </c>
      <c r="AW40" s="1" t="e">
        <f t="shared" si="32"/>
        <v>#DIV/0!</v>
      </c>
      <c r="AX40" s="1" t="e">
        <f t="shared" si="33"/>
        <v>#DIV/0!</v>
      </c>
      <c r="AY40" s="1" t="e">
        <f t="shared" si="34"/>
        <v>#DIV/0!</v>
      </c>
      <c r="AZ40" s="1" t="e">
        <f t="shared" si="35"/>
        <v>#DIV/0!</v>
      </c>
      <c r="BA40" s="1" t="e">
        <f t="shared" si="36"/>
        <v>#DIV/0!</v>
      </c>
      <c r="BB40" s="1" t="e">
        <f t="shared" si="37"/>
        <v>#DIV/0!</v>
      </c>
      <c r="BC40" s="1" t="e">
        <f t="shared" si="38"/>
        <v>#DIV/0!</v>
      </c>
      <c r="BD40" s="1" t="e">
        <f t="shared" si="39"/>
        <v>#DIV/0!</v>
      </c>
      <c r="BE40" s="1" t="e">
        <f t="shared" si="40"/>
        <v>#DIV/0!</v>
      </c>
      <c r="BF40" s="1" t="e">
        <f t="shared" si="41"/>
        <v>#DIV/0!</v>
      </c>
      <c r="BG40" s="1" t="e">
        <f t="shared" si="42"/>
        <v>#DIV/0!</v>
      </c>
      <c r="BH40" s="1" t="e">
        <f t="shared" si="43"/>
        <v>#DIV/0!</v>
      </c>
      <c r="BI40" s="1" t="e">
        <f t="shared" si="44"/>
        <v>#DIV/0!</v>
      </c>
      <c r="BJ40" s="1" t="e">
        <f t="shared" si="45"/>
        <v>#DIV/0!</v>
      </c>
      <c r="BK40" s="1" t="e">
        <f t="shared" si="46"/>
        <v>#DIV/0!</v>
      </c>
      <c r="BL40" s="1" t="e">
        <f t="shared" si="47"/>
        <v>#DIV/0!</v>
      </c>
      <c r="BM40" s="1" t="e">
        <f t="shared" si="48"/>
        <v>#DIV/0!</v>
      </c>
      <c r="BN40" s="1" t="e">
        <f t="shared" si="49"/>
        <v>#DIV/0!</v>
      </c>
      <c r="BP40" s="1" t="str">
        <f t="shared" si="50"/>
        <v>Drymill CCS Fermentation Exhaust</v>
      </c>
      <c r="BQ40" s="1" t="e">
        <f t="shared" si="51"/>
        <v>#DIV/0!</v>
      </c>
      <c r="BR40" s="1" t="e">
        <f t="shared" si="52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53"/>
        <v>#DIV/0!</v>
      </c>
      <c r="BU40" s="1" t="e">
        <f t="shared" si="54"/>
        <v>#DIV/0!</v>
      </c>
      <c r="BV40" s="1" t="e">
        <f t="shared" si="55"/>
        <v>#DIV/0!</v>
      </c>
      <c r="BW40" s="1" t="e">
        <f t="shared" si="56"/>
        <v>#DIV/0!</v>
      </c>
      <c r="BY40" s="9">
        <f t="shared" si="14"/>
        <v>3.1428571428571428</v>
      </c>
      <c r="BZ40" s="18">
        <f t="shared" si="15"/>
        <v>1.7588666580000001</v>
      </c>
      <c r="CA40" s="10">
        <v>0.1828908353</v>
      </c>
      <c r="CB40" s="9">
        <v>0.23037490999999999</v>
      </c>
      <c r="CD40" s="10" t="e">
        <f t="shared" si="16"/>
        <v>#DIV/0!</v>
      </c>
      <c r="CE40" s="10" t="e">
        <f t="shared" si="17"/>
        <v>#DIV/0!</v>
      </c>
      <c r="CF40" s="10" t="e">
        <f t="shared" si="18"/>
        <v>#DIV/0!</v>
      </c>
      <c r="CG40" s="10">
        <f t="shared" si="19"/>
        <v>0</v>
      </c>
      <c r="CH40" s="10" t="e">
        <f t="shared" si="20"/>
        <v>#DIV/0!</v>
      </c>
      <c r="CJ40" s="18" t="e">
        <f t="shared" si="21"/>
        <v>#DIV/0!</v>
      </c>
      <c r="CK40" s="18" t="e">
        <f t="shared" si="22"/>
        <v>#DIV/0!</v>
      </c>
      <c r="CL40" s="10">
        <f t="shared" si="23"/>
        <v>3.1428571428571428</v>
      </c>
      <c r="CM40" s="10" t="e">
        <f t="shared" si="24"/>
        <v>#DIV/0!</v>
      </c>
      <c r="CN40" s="10" t="e">
        <f t="shared" si="25"/>
        <v>#DIV/0!</v>
      </c>
      <c r="CP40" s="1" t="e">
        <f t="shared" si="26"/>
        <v>#DIV/0!</v>
      </c>
    </row>
    <row r="41" spans="2:94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 cm="1">
        <f t="array" ref="R41:AE41">_xlfn.XLOOKUP(D41, CR:CR, CS:DF)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57"/>
        <v>0</v>
      </c>
      <c r="AR41" s="1">
        <f t="shared" si="27"/>
        <v>0</v>
      </c>
      <c r="AS41" s="11" t="e">
        <f t="shared" si="28"/>
        <v>#DIV/0!</v>
      </c>
      <c r="AT41" s="11" t="e">
        <f t="shared" si="29"/>
        <v>#DIV/0!</v>
      </c>
      <c r="AU41" s="5" t="e">
        <f t="shared" si="30"/>
        <v>#DIV/0!</v>
      </c>
      <c r="AV41" s="5" t="e">
        <f t="shared" si="31"/>
        <v>#DIV/0!</v>
      </c>
      <c r="AW41" s="1" t="e">
        <f t="shared" si="32"/>
        <v>#DIV/0!</v>
      </c>
      <c r="AX41" s="1" t="e">
        <f t="shared" si="33"/>
        <v>#DIV/0!</v>
      </c>
      <c r="AY41" s="1" t="e">
        <f t="shared" si="34"/>
        <v>#DIV/0!</v>
      </c>
      <c r="AZ41" s="1" t="e">
        <f t="shared" si="35"/>
        <v>#DIV/0!</v>
      </c>
      <c r="BA41" s="1" t="e">
        <f t="shared" si="36"/>
        <v>#DIV/0!</v>
      </c>
      <c r="BB41" s="1" t="e">
        <f t="shared" si="37"/>
        <v>#DIV/0!</v>
      </c>
      <c r="BC41" s="1" t="e">
        <f t="shared" si="38"/>
        <v>#DIV/0!</v>
      </c>
      <c r="BD41" s="1" t="e">
        <f t="shared" si="39"/>
        <v>#DIV/0!</v>
      </c>
      <c r="BE41" s="1" t="e">
        <f t="shared" si="40"/>
        <v>#DIV/0!</v>
      </c>
      <c r="BF41" s="1" t="e">
        <f t="shared" si="41"/>
        <v>#DIV/0!</v>
      </c>
      <c r="BG41" s="1" t="e">
        <f t="shared" si="42"/>
        <v>#DIV/0!</v>
      </c>
      <c r="BH41" s="1" t="e">
        <f t="shared" si="43"/>
        <v>#DIV/0!</v>
      </c>
      <c r="BI41" s="1" t="e">
        <f t="shared" si="44"/>
        <v>#DIV/0!</v>
      </c>
      <c r="BJ41" s="1" t="e">
        <f t="shared" si="45"/>
        <v>#DIV/0!</v>
      </c>
      <c r="BK41" s="1" t="e">
        <f t="shared" si="46"/>
        <v>#DIV/0!</v>
      </c>
      <c r="BL41" s="1" t="e">
        <f t="shared" si="47"/>
        <v>#DIV/0!</v>
      </c>
      <c r="BM41" s="1" t="e">
        <f t="shared" si="48"/>
        <v>#DIV/0!</v>
      </c>
      <c r="BN41" s="1" t="e">
        <f t="shared" si="49"/>
        <v>#DIV/0!</v>
      </c>
      <c r="BP41" s="1" t="str">
        <f t="shared" si="50"/>
        <v>Drymill CCS Fermentation Exhaust</v>
      </c>
      <c r="BQ41" s="1" t="e">
        <f t="shared" si="51"/>
        <v>#DIV/0!</v>
      </c>
      <c r="BR41" s="1" t="e">
        <f t="shared" si="52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53"/>
        <v>#DIV/0!</v>
      </c>
      <c r="BU41" s="1" t="e">
        <f t="shared" si="54"/>
        <v>#DIV/0!</v>
      </c>
      <c r="BV41" s="1" t="e">
        <f t="shared" si="55"/>
        <v>#DIV/0!</v>
      </c>
      <c r="BW41" s="1" t="e">
        <f t="shared" si="56"/>
        <v>#DIV/0!</v>
      </c>
      <c r="BY41" s="9">
        <f t="shared" si="14"/>
        <v>3.1428571428571428</v>
      </c>
      <c r="BZ41" s="18">
        <f t="shared" si="15"/>
        <v>1.7588666580000001</v>
      </c>
      <c r="CA41" s="10">
        <v>0.1828908353</v>
      </c>
      <c r="CB41" s="9">
        <v>0.23037490999999999</v>
      </c>
      <c r="CD41" s="10" t="e">
        <f t="shared" si="16"/>
        <v>#DIV/0!</v>
      </c>
      <c r="CE41" s="10" t="e">
        <f t="shared" si="17"/>
        <v>#DIV/0!</v>
      </c>
      <c r="CF41" s="10" t="e">
        <f t="shared" si="18"/>
        <v>#DIV/0!</v>
      </c>
      <c r="CG41" s="10">
        <f t="shared" si="19"/>
        <v>0</v>
      </c>
      <c r="CH41" s="10" t="e">
        <f t="shared" si="20"/>
        <v>#DIV/0!</v>
      </c>
      <c r="CJ41" s="18" t="e">
        <f t="shared" si="21"/>
        <v>#DIV/0!</v>
      </c>
      <c r="CK41" s="18" t="e">
        <f t="shared" si="22"/>
        <v>#DIV/0!</v>
      </c>
      <c r="CL41" s="10">
        <f t="shared" si="23"/>
        <v>3.1428571428571428</v>
      </c>
      <c r="CM41" s="10" t="e">
        <f t="shared" si="24"/>
        <v>#DIV/0!</v>
      </c>
      <c r="CN41" s="10" t="e">
        <f t="shared" si="25"/>
        <v>#DIV/0!</v>
      </c>
      <c r="CP41" s="1" t="e">
        <f t="shared" si="26"/>
        <v>#DIV/0!</v>
      </c>
    </row>
    <row r="42" spans="2:94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 cm="1">
        <f t="array" ref="R42:AE42">_xlfn.XLOOKUP(D42, CR:CR, CS:DF)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57"/>
        <v>0</v>
      </c>
      <c r="AR42" s="1">
        <f t="shared" si="27"/>
        <v>0</v>
      </c>
      <c r="AS42" s="11" t="e">
        <f t="shared" si="28"/>
        <v>#DIV/0!</v>
      </c>
      <c r="AT42" s="11" t="e">
        <f t="shared" si="29"/>
        <v>#DIV/0!</v>
      </c>
      <c r="AU42" s="5" t="e">
        <f t="shared" si="30"/>
        <v>#DIV/0!</v>
      </c>
      <c r="AV42" s="5" t="e">
        <f t="shared" si="31"/>
        <v>#DIV/0!</v>
      </c>
      <c r="AW42" s="1" t="e">
        <f t="shared" si="32"/>
        <v>#DIV/0!</v>
      </c>
      <c r="AX42" s="1" t="e">
        <f t="shared" si="33"/>
        <v>#DIV/0!</v>
      </c>
      <c r="AY42" s="1" t="e">
        <f t="shared" si="34"/>
        <v>#DIV/0!</v>
      </c>
      <c r="AZ42" s="1" t="e">
        <f t="shared" si="35"/>
        <v>#DIV/0!</v>
      </c>
      <c r="BA42" s="1" t="e">
        <f t="shared" si="36"/>
        <v>#DIV/0!</v>
      </c>
      <c r="BB42" s="1" t="e">
        <f t="shared" si="37"/>
        <v>#DIV/0!</v>
      </c>
      <c r="BC42" s="1" t="e">
        <f t="shared" si="38"/>
        <v>#DIV/0!</v>
      </c>
      <c r="BD42" s="1" t="e">
        <f t="shared" si="39"/>
        <v>#DIV/0!</v>
      </c>
      <c r="BE42" s="1" t="e">
        <f t="shared" si="40"/>
        <v>#DIV/0!</v>
      </c>
      <c r="BF42" s="1" t="e">
        <f t="shared" si="41"/>
        <v>#DIV/0!</v>
      </c>
      <c r="BG42" s="1" t="e">
        <f t="shared" si="42"/>
        <v>#DIV/0!</v>
      </c>
      <c r="BH42" s="1" t="e">
        <f t="shared" si="43"/>
        <v>#DIV/0!</v>
      </c>
      <c r="BI42" s="1" t="e">
        <f t="shared" si="44"/>
        <v>#DIV/0!</v>
      </c>
      <c r="BJ42" s="1" t="e">
        <f t="shared" si="45"/>
        <v>#DIV/0!</v>
      </c>
      <c r="BK42" s="1" t="e">
        <f t="shared" si="46"/>
        <v>#DIV/0!</v>
      </c>
      <c r="BL42" s="1" t="e">
        <f t="shared" si="47"/>
        <v>#DIV/0!</v>
      </c>
      <c r="BM42" s="1" t="e">
        <f t="shared" si="48"/>
        <v>#DIV/0!</v>
      </c>
      <c r="BN42" s="1" t="e">
        <f t="shared" si="49"/>
        <v>#DIV/0!</v>
      </c>
      <c r="BP42" s="1" t="str">
        <f t="shared" si="50"/>
        <v>Drymill CCS Fermentation Exhaust</v>
      </c>
      <c r="BQ42" s="1" t="e">
        <f t="shared" si="51"/>
        <v>#DIV/0!</v>
      </c>
      <c r="BR42" s="1" t="e">
        <f t="shared" si="52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53"/>
        <v>#DIV/0!</v>
      </c>
      <c r="BU42" s="1" t="e">
        <f t="shared" si="54"/>
        <v>#DIV/0!</v>
      </c>
      <c r="BV42" s="1" t="e">
        <f t="shared" si="55"/>
        <v>#DIV/0!</v>
      </c>
      <c r="BW42" s="1" t="e">
        <f t="shared" si="56"/>
        <v>#DIV/0!</v>
      </c>
      <c r="BY42" s="9">
        <f t="shared" si="14"/>
        <v>3.1428571428571428</v>
      </c>
      <c r="BZ42" s="18">
        <f t="shared" si="15"/>
        <v>1.7588666580000001</v>
      </c>
      <c r="CA42" s="10">
        <v>0.1828908353</v>
      </c>
      <c r="CB42" s="9">
        <v>0.23037490999999999</v>
      </c>
      <c r="CD42" s="10" t="e">
        <f t="shared" si="16"/>
        <v>#DIV/0!</v>
      </c>
      <c r="CE42" s="10" t="e">
        <f t="shared" si="17"/>
        <v>#DIV/0!</v>
      </c>
      <c r="CF42" s="10" t="e">
        <f t="shared" si="18"/>
        <v>#DIV/0!</v>
      </c>
      <c r="CG42" s="10">
        <f t="shared" si="19"/>
        <v>0</v>
      </c>
      <c r="CH42" s="10" t="e">
        <f t="shared" si="20"/>
        <v>#DIV/0!</v>
      </c>
      <c r="CJ42" s="18" t="e">
        <f t="shared" si="21"/>
        <v>#DIV/0!</v>
      </c>
      <c r="CK42" s="18" t="e">
        <f t="shared" si="22"/>
        <v>#DIV/0!</v>
      </c>
      <c r="CL42" s="10">
        <f t="shared" si="23"/>
        <v>3.1428571428571428</v>
      </c>
      <c r="CM42" s="10" t="e">
        <f t="shared" si="24"/>
        <v>#DIV/0!</v>
      </c>
      <c r="CN42" s="10" t="e">
        <f t="shared" si="25"/>
        <v>#DIV/0!</v>
      </c>
      <c r="CP42" s="1" t="e">
        <f t="shared" si="26"/>
        <v>#DIV/0!</v>
      </c>
    </row>
    <row r="43" spans="2:94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 cm="1">
        <f t="array" ref="R43:AE43">_xlfn.XLOOKUP(D43, CR:CR, CS:DF)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57"/>
        <v>0</v>
      </c>
      <c r="AR43" s="1">
        <f t="shared" si="27"/>
        <v>0</v>
      </c>
      <c r="AS43" s="11" t="e">
        <f t="shared" si="28"/>
        <v>#DIV/0!</v>
      </c>
      <c r="AT43" s="11" t="e">
        <f t="shared" si="29"/>
        <v>#DIV/0!</v>
      </c>
      <c r="AU43" s="5" t="e">
        <f t="shared" si="30"/>
        <v>#DIV/0!</v>
      </c>
      <c r="AV43" s="5" t="e">
        <f t="shared" si="31"/>
        <v>#DIV/0!</v>
      </c>
      <c r="AW43" s="1" t="e">
        <f t="shared" si="32"/>
        <v>#DIV/0!</v>
      </c>
      <c r="AX43" s="1" t="e">
        <f t="shared" si="33"/>
        <v>#DIV/0!</v>
      </c>
      <c r="AY43" s="1" t="e">
        <f t="shared" si="34"/>
        <v>#DIV/0!</v>
      </c>
      <c r="AZ43" s="1" t="e">
        <f t="shared" si="35"/>
        <v>#DIV/0!</v>
      </c>
      <c r="BA43" s="1" t="e">
        <f t="shared" si="36"/>
        <v>#DIV/0!</v>
      </c>
      <c r="BB43" s="1" t="e">
        <f t="shared" si="37"/>
        <v>#DIV/0!</v>
      </c>
      <c r="BC43" s="1" t="e">
        <f t="shared" si="38"/>
        <v>#DIV/0!</v>
      </c>
      <c r="BD43" s="1" t="e">
        <f t="shared" si="39"/>
        <v>#DIV/0!</v>
      </c>
      <c r="BE43" s="1" t="e">
        <f t="shared" si="40"/>
        <v>#DIV/0!</v>
      </c>
      <c r="BF43" s="1" t="e">
        <f t="shared" si="41"/>
        <v>#DIV/0!</v>
      </c>
      <c r="BG43" s="1" t="e">
        <f t="shared" si="42"/>
        <v>#DIV/0!</v>
      </c>
      <c r="BH43" s="1" t="e">
        <f t="shared" si="43"/>
        <v>#DIV/0!</v>
      </c>
      <c r="BI43" s="1" t="e">
        <f t="shared" si="44"/>
        <v>#DIV/0!</v>
      </c>
      <c r="BJ43" s="1" t="e">
        <f t="shared" si="45"/>
        <v>#DIV/0!</v>
      </c>
      <c r="BK43" s="1" t="e">
        <f t="shared" si="46"/>
        <v>#DIV/0!</v>
      </c>
      <c r="BL43" s="1" t="e">
        <f t="shared" si="47"/>
        <v>#DIV/0!</v>
      </c>
      <c r="BM43" s="1" t="e">
        <f t="shared" si="48"/>
        <v>#DIV/0!</v>
      </c>
      <c r="BN43" s="1" t="e">
        <f t="shared" si="49"/>
        <v>#DIV/0!</v>
      </c>
      <c r="BP43" s="1" t="str">
        <f t="shared" si="50"/>
        <v>Drymill CCS Fermentation Exhaust</v>
      </c>
      <c r="BQ43" s="1" t="e">
        <f t="shared" si="51"/>
        <v>#DIV/0!</v>
      </c>
      <c r="BR43" s="1" t="e">
        <f t="shared" si="52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53"/>
        <v>#DIV/0!</v>
      </c>
      <c r="BU43" s="1" t="e">
        <f t="shared" si="54"/>
        <v>#DIV/0!</v>
      </c>
      <c r="BV43" s="1" t="e">
        <f t="shared" si="55"/>
        <v>#DIV/0!</v>
      </c>
      <c r="BW43" s="1" t="e">
        <f t="shared" si="56"/>
        <v>#DIV/0!</v>
      </c>
      <c r="BY43" s="9">
        <f t="shared" si="14"/>
        <v>3.1428571428571428</v>
      </c>
      <c r="BZ43" s="18">
        <f t="shared" si="15"/>
        <v>1.7588666580000001</v>
      </c>
      <c r="CA43" s="10">
        <v>0.1828908353</v>
      </c>
      <c r="CB43" s="9">
        <v>0.23037490999999999</v>
      </c>
      <c r="CD43" s="10" t="e">
        <f t="shared" si="16"/>
        <v>#DIV/0!</v>
      </c>
      <c r="CE43" s="10" t="e">
        <f t="shared" si="17"/>
        <v>#DIV/0!</v>
      </c>
      <c r="CF43" s="10" t="e">
        <f t="shared" si="18"/>
        <v>#DIV/0!</v>
      </c>
      <c r="CG43" s="10">
        <f t="shared" si="19"/>
        <v>0</v>
      </c>
      <c r="CH43" s="10" t="e">
        <f t="shared" si="20"/>
        <v>#DIV/0!</v>
      </c>
      <c r="CJ43" s="18" t="e">
        <f t="shared" si="21"/>
        <v>#DIV/0!</v>
      </c>
      <c r="CK43" s="18" t="e">
        <f t="shared" si="22"/>
        <v>#DIV/0!</v>
      </c>
      <c r="CL43" s="10">
        <f t="shared" si="23"/>
        <v>3.1428571428571428</v>
      </c>
      <c r="CM43" s="10" t="e">
        <f t="shared" si="24"/>
        <v>#DIV/0!</v>
      </c>
      <c r="CN43" s="10" t="e">
        <f t="shared" si="25"/>
        <v>#DIV/0!</v>
      </c>
      <c r="CP43" s="1" t="e">
        <f t="shared" si="26"/>
        <v>#DIV/0!</v>
      </c>
    </row>
    <row r="44" spans="2:94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 cm="1">
        <f t="array" ref="R44:AE44">_xlfn.XLOOKUP(D44, CR:CR, CS:DF)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57"/>
        <v>0</v>
      </c>
      <c r="AR44" s="1">
        <f t="shared" si="27"/>
        <v>0</v>
      </c>
      <c r="AS44" s="11" t="e">
        <f t="shared" si="28"/>
        <v>#DIV/0!</v>
      </c>
      <c r="AT44" s="11" t="e">
        <f t="shared" si="29"/>
        <v>#DIV/0!</v>
      </c>
      <c r="AU44" s="5" t="e">
        <f t="shared" si="30"/>
        <v>#DIV/0!</v>
      </c>
      <c r="AV44" s="5" t="e">
        <f t="shared" si="31"/>
        <v>#DIV/0!</v>
      </c>
      <c r="AW44" s="1" t="e">
        <f t="shared" si="32"/>
        <v>#DIV/0!</v>
      </c>
      <c r="AX44" s="1" t="e">
        <f t="shared" si="33"/>
        <v>#DIV/0!</v>
      </c>
      <c r="AY44" s="1" t="e">
        <f t="shared" si="34"/>
        <v>#DIV/0!</v>
      </c>
      <c r="AZ44" s="1" t="e">
        <f t="shared" si="35"/>
        <v>#DIV/0!</v>
      </c>
      <c r="BA44" s="1" t="e">
        <f t="shared" si="36"/>
        <v>#DIV/0!</v>
      </c>
      <c r="BB44" s="1" t="e">
        <f t="shared" si="37"/>
        <v>#DIV/0!</v>
      </c>
      <c r="BC44" s="1" t="e">
        <f t="shared" si="38"/>
        <v>#DIV/0!</v>
      </c>
      <c r="BD44" s="1" t="e">
        <f t="shared" si="39"/>
        <v>#DIV/0!</v>
      </c>
      <c r="BE44" s="1" t="e">
        <f t="shared" si="40"/>
        <v>#DIV/0!</v>
      </c>
      <c r="BF44" s="1" t="e">
        <f t="shared" si="41"/>
        <v>#DIV/0!</v>
      </c>
      <c r="BG44" s="1" t="e">
        <f t="shared" si="42"/>
        <v>#DIV/0!</v>
      </c>
      <c r="BH44" s="1" t="e">
        <f t="shared" si="43"/>
        <v>#DIV/0!</v>
      </c>
      <c r="BI44" s="1" t="e">
        <f t="shared" si="44"/>
        <v>#DIV/0!</v>
      </c>
      <c r="BJ44" s="1" t="e">
        <f t="shared" si="45"/>
        <v>#DIV/0!</v>
      </c>
      <c r="BK44" s="1" t="e">
        <f t="shared" si="46"/>
        <v>#DIV/0!</v>
      </c>
      <c r="BL44" s="1" t="e">
        <f t="shared" si="47"/>
        <v>#DIV/0!</v>
      </c>
      <c r="BM44" s="1" t="e">
        <f t="shared" si="48"/>
        <v>#DIV/0!</v>
      </c>
      <c r="BN44" s="1" t="e">
        <f t="shared" si="49"/>
        <v>#DIV/0!</v>
      </c>
      <c r="BP44" s="1" t="str">
        <f t="shared" si="50"/>
        <v>Drymill CCS Fermentation Exhaust</v>
      </c>
      <c r="BQ44" s="1" t="e">
        <f t="shared" si="51"/>
        <v>#DIV/0!</v>
      </c>
      <c r="BR44" s="1" t="e">
        <f t="shared" si="52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53"/>
        <v>#DIV/0!</v>
      </c>
      <c r="BU44" s="1" t="e">
        <f t="shared" si="54"/>
        <v>#DIV/0!</v>
      </c>
      <c r="BV44" s="1" t="e">
        <f t="shared" si="55"/>
        <v>#DIV/0!</v>
      </c>
      <c r="BW44" s="1" t="e">
        <f t="shared" si="56"/>
        <v>#DIV/0!</v>
      </c>
      <c r="BY44" s="9">
        <f t="shared" si="14"/>
        <v>3.1428571428571428</v>
      </c>
      <c r="BZ44" s="18">
        <f t="shared" si="15"/>
        <v>1.7588666580000001</v>
      </c>
      <c r="CA44" s="10">
        <v>0.1828908353</v>
      </c>
      <c r="CB44" s="9">
        <v>0.23037490999999999</v>
      </c>
      <c r="CD44" s="10" t="e">
        <f t="shared" si="16"/>
        <v>#DIV/0!</v>
      </c>
      <c r="CE44" s="10" t="e">
        <f t="shared" si="17"/>
        <v>#DIV/0!</v>
      </c>
      <c r="CF44" s="10" t="e">
        <f t="shared" si="18"/>
        <v>#DIV/0!</v>
      </c>
      <c r="CG44" s="10">
        <f t="shared" si="19"/>
        <v>0</v>
      </c>
      <c r="CH44" s="10" t="e">
        <f t="shared" si="20"/>
        <v>#DIV/0!</v>
      </c>
      <c r="CJ44" s="18" t="e">
        <f t="shared" si="21"/>
        <v>#DIV/0!</v>
      </c>
      <c r="CK44" s="18" t="e">
        <f t="shared" si="22"/>
        <v>#DIV/0!</v>
      </c>
      <c r="CL44" s="10">
        <f t="shared" si="23"/>
        <v>3.1428571428571428</v>
      </c>
      <c r="CM44" s="10" t="e">
        <f t="shared" si="24"/>
        <v>#DIV/0!</v>
      </c>
      <c r="CN44" s="10" t="e">
        <f t="shared" si="25"/>
        <v>#DIV/0!</v>
      </c>
      <c r="CP44" s="1" t="e">
        <f t="shared" si="26"/>
        <v>#DIV/0!</v>
      </c>
    </row>
    <row r="45" spans="2:94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 cm="1">
        <f t="array" ref="R45:AE45">_xlfn.XLOOKUP(D45, CR:CR, CS:DF)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57"/>
        <v>0</v>
      </c>
      <c r="AR45" s="1">
        <f t="shared" si="27"/>
        <v>0</v>
      </c>
      <c r="AS45" s="11" t="e">
        <f t="shared" si="28"/>
        <v>#DIV/0!</v>
      </c>
      <c r="AT45" s="11" t="e">
        <f t="shared" si="29"/>
        <v>#DIV/0!</v>
      </c>
      <c r="AU45" s="5" t="e">
        <f t="shared" si="30"/>
        <v>#DIV/0!</v>
      </c>
      <c r="AV45" s="5" t="e">
        <f t="shared" si="31"/>
        <v>#DIV/0!</v>
      </c>
      <c r="AW45" s="1" t="e">
        <f t="shared" si="32"/>
        <v>#DIV/0!</v>
      </c>
      <c r="AX45" s="1" t="e">
        <f t="shared" si="33"/>
        <v>#DIV/0!</v>
      </c>
      <c r="AY45" s="1" t="e">
        <f t="shared" si="34"/>
        <v>#DIV/0!</v>
      </c>
      <c r="AZ45" s="1" t="e">
        <f t="shared" si="35"/>
        <v>#DIV/0!</v>
      </c>
      <c r="BA45" s="1" t="e">
        <f t="shared" si="36"/>
        <v>#DIV/0!</v>
      </c>
      <c r="BB45" s="1" t="e">
        <f t="shared" si="37"/>
        <v>#DIV/0!</v>
      </c>
      <c r="BC45" s="1" t="e">
        <f t="shared" si="38"/>
        <v>#DIV/0!</v>
      </c>
      <c r="BD45" s="1" t="e">
        <f t="shared" si="39"/>
        <v>#DIV/0!</v>
      </c>
      <c r="BE45" s="1" t="e">
        <f t="shared" si="40"/>
        <v>#DIV/0!</v>
      </c>
      <c r="BF45" s="1" t="e">
        <f t="shared" si="41"/>
        <v>#DIV/0!</v>
      </c>
      <c r="BG45" s="1" t="e">
        <f t="shared" si="42"/>
        <v>#DIV/0!</v>
      </c>
      <c r="BH45" s="1" t="e">
        <f t="shared" si="43"/>
        <v>#DIV/0!</v>
      </c>
      <c r="BI45" s="1" t="e">
        <f t="shared" si="44"/>
        <v>#DIV/0!</v>
      </c>
      <c r="BJ45" s="1" t="e">
        <f t="shared" si="45"/>
        <v>#DIV/0!</v>
      </c>
      <c r="BK45" s="1" t="e">
        <f t="shared" si="46"/>
        <v>#DIV/0!</v>
      </c>
      <c r="BL45" s="1" t="e">
        <f t="shared" si="47"/>
        <v>#DIV/0!</v>
      </c>
      <c r="BM45" s="1" t="e">
        <f t="shared" si="48"/>
        <v>#DIV/0!</v>
      </c>
      <c r="BN45" s="1" t="e">
        <f t="shared" si="49"/>
        <v>#DIV/0!</v>
      </c>
      <c r="BP45" s="1" t="str">
        <f t="shared" si="50"/>
        <v>Drymill CCS Fermentation Exhaust</v>
      </c>
      <c r="BQ45" s="1" t="e">
        <f t="shared" si="51"/>
        <v>#DIV/0!</v>
      </c>
      <c r="BR45" s="1" t="e">
        <f t="shared" si="52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53"/>
        <v>#DIV/0!</v>
      </c>
      <c r="BU45" s="1" t="e">
        <f t="shared" si="54"/>
        <v>#DIV/0!</v>
      </c>
      <c r="BV45" s="1" t="e">
        <f t="shared" si="55"/>
        <v>#DIV/0!</v>
      </c>
      <c r="BW45" s="1" t="e">
        <f t="shared" si="56"/>
        <v>#DIV/0!</v>
      </c>
      <c r="BY45" s="9">
        <f t="shared" si="14"/>
        <v>3.1428571428571428</v>
      </c>
      <c r="BZ45" s="18">
        <f t="shared" si="15"/>
        <v>1.7588666580000001</v>
      </c>
      <c r="CA45" s="10">
        <v>0.1828908353</v>
      </c>
      <c r="CB45" s="9">
        <v>0.23037490999999999</v>
      </c>
      <c r="CD45" s="10" t="e">
        <f t="shared" si="16"/>
        <v>#DIV/0!</v>
      </c>
      <c r="CE45" s="10" t="e">
        <f t="shared" si="17"/>
        <v>#DIV/0!</v>
      </c>
      <c r="CF45" s="10" t="e">
        <f t="shared" si="18"/>
        <v>#DIV/0!</v>
      </c>
      <c r="CG45" s="10">
        <f t="shared" si="19"/>
        <v>0</v>
      </c>
      <c r="CH45" s="10" t="e">
        <f t="shared" si="20"/>
        <v>#DIV/0!</v>
      </c>
      <c r="CJ45" s="18" t="e">
        <f t="shared" si="21"/>
        <v>#DIV/0!</v>
      </c>
      <c r="CK45" s="18" t="e">
        <f t="shared" si="22"/>
        <v>#DIV/0!</v>
      </c>
      <c r="CL45" s="10">
        <f t="shared" si="23"/>
        <v>3.1428571428571428</v>
      </c>
      <c r="CM45" s="10" t="e">
        <f t="shared" si="24"/>
        <v>#DIV/0!</v>
      </c>
      <c r="CN45" s="10" t="e">
        <f t="shared" si="25"/>
        <v>#DIV/0!</v>
      </c>
      <c r="CP45" s="1" t="e">
        <f t="shared" si="26"/>
        <v>#DIV/0!</v>
      </c>
    </row>
    <row r="46" spans="2:94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 cm="1">
        <f t="array" ref="R46:AE46">_xlfn.XLOOKUP(D46, CR:CR, CS:DF)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57"/>
        <v>0</v>
      </c>
      <c r="AR46" s="1">
        <f t="shared" si="27"/>
        <v>0</v>
      </c>
      <c r="AS46" s="11" t="e">
        <f t="shared" si="28"/>
        <v>#DIV/0!</v>
      </c>
      <c r="AT46" s="11" t="e">
        <f t="shared" si="29"/>
        <v>#DIV/0!</v>
      </c>
      <c r="AU46" s="5" t="e">
        <f t="shared" si="30"/>
        <v>#DIV/0!</v>
      </c>
      <c r="AV46" s="5" t="e">
        <f t="shared" si="31"/>
        <v>#DIV/0!</v>
      </c>
      <c r="AW46" s="1" t="e">
        <f t="shared" si="32"/>
        <v>#DIV/0!</v>
      </c>
      <c r="AX46" s="1" t="e">
        <f t="shared" si="33"/>
        <v>#DIV/0!</v>
      </c>
      <c r="AY46" s="1" t="e">
        <f t="shared" si="34"/>
        <v>#DIV/0!</v>
      </c>
      <c r="AZ46" s="1" t="e">
        <f t="shared" si="35"/>
        <v>#DIV/0!</v>
      </c>
      <c r="BA46" s="1" t="e">
        <f t="shared" si="36"/>
        <v>#DIV/0!</v>
      </c>
      <c r="BB46" s="1" t="e">
        <f t="shared" si="37"/>
        <v>#DIV/0!</v>
      </c>
      <c r="BC46" s="1" t="e">
        <f t="shared" si="38"/>
        <v>#DIV/0!</v>
      </c>
      <c r="BD46" s="1" t="e">
        <f t="shared" si="39"/>
        <v>#DIV/0!</v>
      </c>
      <c r="BE46" s="1" t="e">
        <f t="shared" si="40"/>
        <v>#DIV/0!</v>
      </c>
      <c r="BF46" s="1" t="e">
        <f t="shared" si="41"/>
        <v>#DIV/0!</v>
      </c>
      <c r="BG46" s="1" t="e">
        <f t="shared" si="42"/>
        <v>#DIV/0!</v>
      </c>
      <c r="BH46" s="1" t="e">
        <f t="shared" si="43"/>
        <v>#DIV/0!</v>
      </c>
      <c r="BI46" s="1" t="e">
        <f t="shared" si="44"/>
        <v>#DIV/0!</v>
      </c>
      <c r="BJ46" s="1" t="e">
        <f t="shared" si="45"/>
        <v>#DIV/0!</v>
      </c>
      <c r="BK46" s="1" t="e">
        <f t="shared" si="46"/>
        <v>#DIV/0!</v>
      </c>
      <c r="BL46" s="1" t="e">
        <f t="shared" si="47"/>
        <v>#DIV/0!</v>
      </c>
      <c r="BM46" s="1" t="e">
        <f t="shared" si="48"/>
        <v>#DIV/0!</v>
      </c>
      <c r="BN46" s="1" t="e">
        <f t="shared" si="49"/>
        <v>#DIV/0!</v>
      </c>
      <c r="BP46" s="1" t="str">
        <f t="shared" si="50"/>
        <v>Drymill CCS Fermentation Exhaust</v>
      </c>
      <c r="BQ46" s="1" t="e">
        <f t="shared" si="51"/>
        <v>#DIV/0!</v>
      </c>
      <c r="BR46" s="1" t="e">
        <f t="shared" si="52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53"/>
        <v>#DIV/0!</v>
      </c>
      <c r="BU46" s="1" t="e">
        <f t="shared" si="54"/>
        <v>#DIV/0!</v>
      </c>
      <c r="BV46" s="1" t="e">
        <f t="shared" si="55"/>
        <v>#DIV/0!</v>
      </c>
      <c r="BW46" s="1" t="e">
        <f t="shared" si="56"/>
        <v>#DIV/0!</v>
      </c>
      <c r="BY46" s="9">
        <f t="shared" si="14"/>
        <v>3.1428571428571428</v>
      </c>
      <c r="BZ46" s="18">
        <f t="shared" si="15"/>
        <v>1.7588666580000001</v>
      </c>
      <c r="CA46" s="10">
        <v>0.1828908353</v>
      </c>
      <c r="CB46" s="9">
        <v>0.23037490999999999</v>
      </c>
      <c r="CD46" s="10" t="e">
        <f t="shared" si="16"/>
        <v>#DIV/0!</v>
      </c>
      <c r="CE46" s="10" t="e">
        <f t="shared" si="17"/>
        <v>#DIV/0!</v>
      </c>
      <c r="CF46" s="10" t="e">
        <f t="shared" si="18"/>
        <v>#DIV/0!</v>
      </c>
      <c r="CG46" s="10">
        <f t="shared" si="19"/>
        <v>0</v>
      </c>
      <c r="CH46" s="10" t="e">
        <f t="shared" si="20"/>
        <v>#DIV/0!</v>
      </c>
      <c r="CJ46" s="18" t="e">
        <f t="shared" si="21"/>
        <v>#DIV/0!</v>
      </c>
      <c r="CK46" s="18" t="e">
        <f t="shared" si="22"/>
        <v>#DIV/0!</v>
      </c>
      <c r="CL46" s="10">
        <f t="shared" si="23"/>
        <v>3.1428571428571428</v>
      </c>
      <c r="CM46" s="10" t="e">
        <f t="shared" si="24"/>
        <v>#DIV/0!</v>
      </c>
      <c r="CN46" s="10" t="e">
        <f t="shared" si="25"/>
        <v>#DIV/0!</v>
      </c>
      <c r="CP46" s="1" t="e">
        <f t="shared" si="26"/>
        <v>#DIV/0!</v>
      </c>
    </row>
    <row r="47" spans="2:94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 cm="1">
        <f t="array" ref="R47:AE47">_xlfn.XLOOKUP(D47, CR:CR, CS:DF)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57"/>
        <v>0</v>
      </c>
      <c r="AR47" s="1">
        <f t="shared" si="27"/>
        <v>0</v>
      </c>
      <c r="AS47" s="11" t="e">
        <f t="shared" si="28"/>
        <v>#DIV/0!</v>
      </c>
      <c r="AT47" s="11" t="e">
        <f t="shared" si="29"/>
        <v>#DIV/0!</v>
      </c>
      <c r="AU47" s="5" t="e">
        <f t="shared" si="30"/>
        <v>#DIV/0!</v>
      </c>
      <c r="AV47" s="5" t="e">
        <f t="shared" si="31"/>
        <v>#DIV/0!</v>
      </c>
      <c r="AW47" s="1" t="e">
        <f t="shared" si="32"/>
        <v>#DIV/0!</v>
      </c>
      <c r="AX47" s="1" t="e">
        <f t="shared" si="33"/>
        <v>#DIV/0!</v>
      </c>
      <c r="AY47" s="1" t="e">
        <f t="shared" si="34"/>
        <v>#DIV/0!</v>
      </c>
      <c r="AZ47" s="1" t="e">
        <f t="shared" si="35"/>
        <v>#DIV/0!</v>
      </c>
      <c r="BA47" s="1" t="e">
        <f t="shared" si="36"/>
        <v>#DIV/0!</v>
      </c>
      <c r="BB47" s="1" t="e">
        <f t="shared" si="37"/>
        <v>#DIV/0!</v>
      </c>
      <c r="BC47" s="1" t="e">
        <f t="shared" si="38"/>
        <v>#DIV/0!</v>
      </c>
      <c r="BD47" s="1" t="e">
        <f t="shared" si="39"/>
        <v>#DIV/0!</v>
      </c>
      <c r="BE47" s="1" t="e">
        <f t="shared" si="40"/>
        <v>#DIV/0!</v>
      </c>
      <c r="BF47" s="1" t="e">
        <f t="shared" si="41"/>
        <v>#DIV/0!</v>
      </c>
      <c r="BG47" s="1" t="e">
        <f t="shared" si="42"/>
        <v>#DIV/0!</v>
      </c>
      <c r="BH47" s="1" t="e">
        <f t="shared" si="43"/>
        <v>#DIV/0!</v>
      </c>
      <c r="BI47" s="1" t="e">
        <f t="shared" si="44"/>
        <v>#DIV/0!</v>
      </c>
      <c r="BJ47" s="1" t="e">
        <f t="shared" si="45"/>
        <v>#DIV/0!</v>
      </c>
      <c r="BK47" s="1" t="e">
        <f t="shared" si="46"/>
        <v>#DIV/0!</v>
      </c>
      <c r="BL47" s="1" t="e">
        <f t="shared" si="47"/>
        <v>#DIV/0!</v>
      </c>
      <c r="BM47" s="1" t="e">
        <f t="shared" si="48"/>
        <v>#DIV/0!</v>
      </c>
      <c r="BN47" s="1" t="e">
        <f t="shared" si="49"/>
        <v>#DIV/0!</v>
      </c>
      <c r="BP47" s="1" t="str">
        <f t="shared" si="50"/>
        <v>Drymill CCS Fermentation Exhaust</v>
      </c>
      <c r="BQ47" s="1" t="e">
        <f t="shared" si="51"/>
        <v>#DIV/0!</v>
      </c>
      <c r="BR47" s="1" t="e">
        <f t="shared" si="52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53"/>
        <v>#DIV/0!</v>
      </c>
      <c r="BU47" s="1" t="e">
        <f t="shared" si="54"/>
        <v>#DIV/0!</v>
      </c>
      <c r="BV47" s="1" t="e">
        <f t="shared" si="55"/>
        <v>#DIV/0!</v>
      </c>
      <c r="BW47" s="1" t="e">
        <f t="shared" si="56"/>
        <v>#DIV/0!</v>
      </c>
      <c r="BY47" s="9">
        <f t="shared" si="14"/>
        <v>3.1428571428571428</v>
      </c>
      <c r="BZ47" s="18">
        <f t="shared" si="15"/>
        <v>1.7588666580000001</v>
      </c>
      <c r="CA47" s="10">
        <v>0.1828908353</v>
      </c>
      <c r="CB47" s="9">
        <v>0.23037490999999999</v>
      </c>
      <c r="CD47" s="10" t="e">
        <f t="shared" si="16"/>
        <v>#DIV/0!</v>
      </c>
      <c r="CE47" s="10" t="e">
        <f t="shared" si="17"/>
        <v>#DIV/0!</v>
      </c>
      <c r="CF47" s="10" t="e">
        <f t="shared" si="18"/>
        <v>#DIV/0!</v>
      </c>
      <c r="CG47" s="10">
        <f t="shared" si="19"/>
        <v>0</v>
      </c>
      <c r="CH47" s="10" t="e">
        <f t="shared" si="20"/>
        <v>#DIV/0!</v>
      </c>
      <c r="CJ47" s="18" t="e">
        <f t="shared" si="21"/>
        <v>#DIV/0!</v>
      </c>
      <c r="CK47" s="18" t="e">
        <f t="shared" si="22"/>
        <v>#DIV/0!</v>
      </c>
      <c r="CL47" s="10">
        <f t="shared" si="23"/>
        <v>3.1428571428571428</v>
      </c>
      <c r="CM47" s="10" t="e">
        <f t="shared" si="24"/>
        <v>#DIV/0!</v>
      </c>
      <c r="CN47" s="10" t="e">
        <f t="shared" si="25"/>
        <v>#DIV/0!</v>
      </c>
      <c r="CP47" s="1" t="e">
        <f t="shared" si="26"/>
        <v>#DIV/0!</v>
      </c>
    </row>
    <row r="48" spans="2:94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 cm="1">
        <f t="array" ref="R48:AE48">_xlfn.XLOOKUP(D48, CR:CR, CS:DF)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57"/>
        <v>0</v>
      </c>
      <c r="AR48" s="1">
        <f t="shared" si="27"/>
        <v>0</v>
      </c>
      <c r="AS48" s="11" t="e">
        <f t="shared" si="28"/>
        <v>#DIV/0!</v>
      </c>
      <c r="AT48" s="11" t="e">
        <f t="shared" si="29"/>
        <v>#DIV/0!</v>
      </c>
      <c r="AU48" s="5" t="e">
        <f t="shared" si="30"/>
        <v>#DIV/0!</v>
      </c>
      <c r="AV48" s="5" t="e">
        <f t="shared" si="31"/>
        <v>#DIV/0!</v>
      </c>
      <c r="AW48" s="1" t="e">
        <f t="shared" si="32"/>
        <v>#DIV/0!</v>
      </c>
      <c r="AX48" s="1" t="e">
        <f t="shared" si="33"/>
        <v>#DIV/0!</v>
      </c>
      <c r="AY48" s="1" t="e">
        <f t="shared" si="34"/>
        <v>#DIV/0!</v>
      </c>
      <c r="AZ48" s="1" t="e">
        <f t="shared" si="35"/>
        <v>#DIV/0!</v>
      </c>
      <c r="BA48" s="1" t="e">
        <f t="shared" si="36"/>
        <v>#DIV/0!</v>
      </c>
      <c r="BB48" s="1" t="e">
        <f t="shared" si="37"/>
        <v>#DIV/0!</v>
      </c>
      <c r="BC48" s="1" t="e">
        <f t="shared" si="38"/>
        <v>#DIV/0!</v>
      </c>
      <c r="BD48" s="1" t="e">
        <f t="shared" si="39"/>
        <v>#DIV/0!</v>
      </c>
      <c r="BE48" s="1" t="e">
        <f t="shared" si="40"/>
        <v>#DIV/0!</v>
      </c>
      <c r="BF48" s="1" t="e">
        <f t="shared" si="41"/>
        <v>#DIV/0!</v>
      </c>
      <c r="BG48" s="1" t="e">
        <f t="shared" si="42"/>
        <v>#DIV/0!</v>
      </c>
      <c r="BH48" s="1" t="e">
        <f t="shared" si="43"/>
        <v>#DIV/0!</v>
      </c>
      <c r="BI48" s="1" t="e">
        <f t="shared" si="44"/>
        <v>#DIV/0!</v>
      </c>
      <c r="BJ48" s="1" t="e">
        <f t="shared" si="45"/>
        <v>#DIV/0!</v>
      </c>
      <c r="BK48" s="1" t="e">
        <f t="shared" si="46"/>
        <v>#DIV/0!</v>
      </c>
      <c r="BL48" s="1" t="e">
        <f t="shared" si="47"/>
        <v>#DIV/0!</v>
      </c>
      <c r="BM48" s="1" t="e">
        <f t="shared" si="48"/>
        <v>#DIV/0!</v>
      </c>
      <c r="BN48" s="1" t="e">
        <f t="shared" si="49"/>
        <v>#DIV/0!</v>
      </c>
      <c r="BP48" s="1" t="str">
        <f t="shared" si="50"/>
        <v>Drymill CCS Fermentation Exhaust</v>
      </c>
      <c r="BQ48" s="1" t="e">
        <f t="shared" si="51"/>
        <v>#DIV/0!</v>
      </c>
      <c r="BR48" s="1" t="e">
        <f t="shared" si="52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53"/>
        <v>#DIV/0!</v>
      </c>
      <c r="BU48" s="1" t="e">
        <f t="shared" si="54"/>
        <v>#DIV/0!</v>
      </c>
      <c r="BV48" s="1" t="e">
        <f t="shared" si="55"/>
        <v>#DIV/0!</v>
      </c>
      <c r="BW48" s="1" t="e">
        <f t="shared" si="56"/>
        <v>#DIV/0!</v>
      </c>
      <c r="BY48" s="9">
        <f t="shared" si="14"/>
        <v>3.1428571428571428</v>
      </c>
      <c r="BZ48" s="18">
        <f t="shared" si="15"/>
        <v>1.7588666580000001</v>
      </c>
      <c r="CA48" s="10">
        <v>0.1828908353</v>
      </c>
      <c r="CB48" s="9">
        <v>0.23037490999999999</v>
      </c>
      <c r="CD48" s="10" t="e">
        <f t="shared" si="16"/>
        <v>#DIV/0!</v>
      </c>
      <c r="CE48" s="10" t="e">
        <f t="shared" si="17"/>
        <v>#DIV/0!</v>
      </c>
      <c r="CF48" s="10" t="e">
        <f t="shared" si="18"/>
        <v>#DIV/0!</v>
      </c>
      <c r="CG48" s="10">
        <f t="shared" si="19"/>
        <v>0</v>
      </c>
      <c r="CH48" s="10" t="e">
        <f t="shared" si="20"/>
        <v>#DIV/0!</v>
      </c>
      <c r="CJ48" s="18" t="e">
        <f t="shared" si="21"/>
        <v>#DIV/0!</v>
      </c>
      <c r="CK48" s="18" t="e">
        <f t="shared" si="22"/>
        <v>#DIV/0!</v>
      </c>
      <c r="CL48" s="10">
        <f t="shared" si="23"/>
        <v>3.1428571428571428</v>
      </c>
      <c r="CM48" s="10" t="e">
        <f t="shared" si="24"/>
        <v>#DIV/0!</v>
      </c>
      <c r="CN48" s="10" t="e">
        <f t="shared" si="25"/>
        <v>#DIV/0!</v>
      </c>
      <c r="CP48" s="1" t="e">
        <f t="shared" si="26"/>
        <v>#DIV/0!</v>
      </c>
    </row>
    <row r="49" spans="2:94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 cm="1">
        <f t="array" ref="R49:AE49">_xlfn.XLOOKUP(D49, CR:CR, CS:DF)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57"/>
        <v>0</v>
      </c>
      <c r="AR49" s="1">
        <f t="shared" si="27"/>
        <v>0</v>
      </c>
      <c r="AS49" s="11" t="e">
        <f t="shared" si="28"/>
        <v>#DIV/0!</v>
      </c>
      <c r="AT49" s="11" t="e">
        <f t="shared" si="29"/>
        <v>#DIV/0!</v>
      </c>
      <c r="AU49" s="5" t="e">
        <f t="shared" si="30"/>
        <v>#DIV/0!</v>
      </c>
      <c r="AV49" s="5" t="e">
        <f t="shared" si="31"/>
        <v>#DIV/0!</v>
      </c>
      <c r="AW49" s="1" t="e">
        <f t="shared" si="32"/>
        <v>#DIV/0!</v>
      </c>
      <c r="AX49" s="1" t="e">
        <f t="shared" si="33"/>
        <v>#DIV/0!</v>
      </c>
      <c r="AY49" s="1" t="e">
        <f t="shared" si="34"/>
        <v>#DIV/0!</v>
      </c>
      <c r="AZ49" s="1" t="e">
        <f t="shared" si="35"/>
        <v>#DIV/0!</v>
      </c>
      <c r="BA49" s="1" t="e">
        <f t="shared" si="36"/>
        <v>#DIV/0!</v>
      </c>
      <c r="BB49" s="1" t="e">
        <f t="shared" si="37"/>
        <v>#DIV/0!</v>
      </c>
      <c r="BC49" s="1" t="e">
        <f t="shared" si="38"/>
        <v>#DIV/0!</v>
      </c>
      <c r="BD49" s="1" t="e">
        <f t="shared" si="39"/>
        <v>#DIV/0!</v>
      </c>
      <c r="BE49" s="1" t="e">
        <f t="shared" si="40"/>
        <v>#DIV/0!</v>
      </c>
      <c r="BF49" s="1" t="e">
        <f t="shared" si="41"/>
        <v>#DIV/0!</v>
      </c>
      <c r="BG49" s="1" t="e">
        <f t="shared" si="42"/>
        <v>#DIV/0!</v>
      </c>
      <c r="BH49" s="1" t="e">
        <f t="shared" si="43"/>
        <v>#DIV/0!</v>
      </c>
      <c r="BI49" s="1" t="e">
        <f t="shared" si="44"/>
        <v>#DIV/0!</v>
      </c>
      <c r="BJ49" s="1" t="e">
        <f t="shared" si="45"/>
        <v>#DIV/0!</v>
      </c>
      <c r="BK49" s="1" t="e">
        <f t="shared" si="46"/>
        <v>#DIV/0!</v>
      </c>
      <c r="BL49" s="1" t="e">
        <f t="shared" si="47"/>
        <v>#DIV/0!</v>
      </c>
      <c r="BM49" s="1" t="e">
        <f t="shared" si="48"/>
        <v>#DIV/0!</v>
      </c>
      <c r="BN49" s="1" t="e">
        <f t="shared" si="49"/>
        <v>#DIV/0!</v>
      </c>
      <c r="BP49" s="1" t="str">
        <f t="shared" si="50"/>
        <v>Drymill CCS Fermentation Exhaust</v>
      </c>
      <c r="BQ49" s="1" t="e">
        <f t="shared" si="51"/>
        <v>#DIV/0!</v>
      </c>
      <c r="BR49" s="1" t="e">
        <f t="shared" si="52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53"/>
        <v>#DIV/0!</v>
      </c>
      <c r="BU49" s="1" t="e">
        <f t="shared" si="54"/>
        <v>#DIV/0!</v>
      </c>
      <c r="BV49" s="1" t="e">
        <f t="shared" si="55"/>
        <v>#DIV/0!</v>
      </c>
      <c r="BW49" s="1" t="e">
        <f t="shared" si="56"/>
        <v>#DIV/0!</v>
      </c>
      <c r="BY49" s="9">
        <f t="shared" si="14"/>
        <v>3.1428571428571428</v>
      </c>
      <c r="BZ49" s="18">
        <f t="shared" si="15"/>
        <v>1.7588666580000001</v>
      </c>
      <c r="CA49" s="10">
        <v>0.1828908353</v>
      </c>
      <c r="CB49" s="9">
        <v>0.23037490999999999</v>
      </c>
      <c r="CD49" s="10" t="e">
        <f t="shared" si="16"/>
        <v>#DIV/0!</v>
      </c>
      <c r="CE49" s="10" t="e">
        <f t="shared" si="17"/>
        <v>#DIV/0!</v>
      </c>
      <c r="CF49" s="10" t="e">
        <f t="shared" si="18"/>
        <v>#DIV/0!</v>
      </c>
      <c r="CG49" s="10">
        <f t="shared" si="19"/>
        <v>0</v>
      </c>
      <c r="CH49" s="10" t="e">
        <f t="shared" si="20"/>
        <v>#DIV/0!</v>
      </c>
      <c r="CJ49" s="18" t="e">
        <f t="shared" si="21"/>
        <v>#DIV/0!</v>
      </c>
      <c r="CK49" s="18" t="e">
        <f t="shared" si="22"/>
        <v>#DIV/0!</v>
      </c>
      <c r="CL49" s="10">
        <f t="shared" si="23"/>
        <v>3.1428571428571428</v>
      </c>
      <c r="CM49" s="10" t="e">
        <f t="shared" si="24"/>
        <v>#DIV/0!</v>
      </c>
      <c r="CN49" s="10" t="e">
        <f t="shared" si="25"/>
        <v>#DIV/0!</v>
      </c>
      <c r="CP49" s="1" t="e">
        <f t="shared" si="26"/>
        <v>#DIV/0!</v>
      </c>
    </row>
    <row r="50" spans="2:94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 cm="1">
        <f t="array" ref="R50:AE50">_xlfn.XLOOKUP(D50, CR:CR, CS:DF)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57"/>
        <v>0</v>
      </c>
      <c r="AR50" s="1">
        <f t="shared" si="27"/>
        <v>0</v>
      </c>
      <c r="AS50" s="11" t="e">
        <f t="shared" si="28"/>
        <v>#DIV/0!</v>
      </c>
      <c r="AT50" s="11" t="e">
        <f t="shared" si="29"/>
        <v>#DIV/0!</v>
      </c>
      <c r="AU50" s="5" t="e">
        <f t="shared" si="30"/>
        <v>#DIV/0!</v>
      </c>
      <c r="AV50" s="5" t="e">
        <f t="shared" si="31"/>
        <v>#DIV/0!</v>
      </c>
      <c r="AW50" s="1" t="e">
        <f t="shared" si="32"/>
        <v>#DIV/0!</v>
      </c>
      <c r="AX50" s="1" t="e">
        <f t="shared" si="33"/>
        <v>#DIV/0!</v>
      </c>
      <c r="AY50" s="1" t="e">
        <f t="shared" si="34"/>
        <v>#DIV/0!</v>
      </c>
      <c r="AZ50" s="1" t="e">
        <f t="shared" si="35"/>
        <v>#DIV/0!</v>
      </c>
      <c r="BA50" s="1" t="e">
        <f t="shared" si="36"/>
        <v>#DIV/0!</v>
      </c>
      <c r="BB50" s="1" t="e">
        <f t="shared" si="37"/>
        <v>#DIV/0!</v>
      </c>
      <c r="BC50" s="1" t="e">
        <f t="shared" si="38"/>
        <v>#DIV/0!</v>
      </c>
      <c r="BD50" s="1" t="e">
        <f t="shared" si="39"/>
        <v>#DIV/0!</v>
      </c>
      <c r="BE50" s="1" t="e">
        <f t="shared" si="40"/>
        <v>#DIV/0!</v>
      </c>
      <c r="BF50" s="1" t="e">
        <f t="shared" si="41"/>
        <v>#DIV/0!</v>
      </c>
      <c r="BG50" s="1" t="e">
        <f t="shared" si="42"/>
        <v>#DIV/0!</v>
      </c>
      <c r="BH50" s="1" t="e">
        <f t="shared" si="43"/>
        <v>#DIV/0!</v>
      </c>
      <c r="BI50" s="1" t="e">
        <f t="shared" si="44"/>
        <v>#DIV/0!</v>
      </c>
      <c r="BJ50" s="1" t="e">
        <f t="shared" si="45"/>
        <v>#DIV/0!</v>
      </c>
      <c r="BK50" s="1" t="e">
        <f t="shared" si="46"/>
        <v>#DIV/0!</v>
      </c>
      <c r="BL50" s="1" t="e">
        <f t="shared" si="47"/>
        <v>#DIV/0!</v>
      </c>
      <c r="BM50" s="1" t="e">
        <f t="shared" si="48"/>
        <v>#DIV/0!</v>
      </c>
      <c r="BN50" s="1" t="e">
        <f t="shared" si="49"/>
        <v>#DIV/0!</v>
      </c>
      <c r="BP50" s="1" t="str">
        <f t="shared" si="50"/>
        <v>Drymill CCS Fermentation Exhaust</v>
      </c>
      <c r="BQ50" s="1" t="e">
        <f t="shared" si="51"/>
        <v>#DIV/0!</v>
      </c>
      <c r="BR50" s="1" t="e">
        <f t="shared" si="52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53"/>
        <v>#DIV/0!</v>
      </c>
      <c r="BU50" s="1" t="e">
        <f t="shared" si="54"/>
        <v>#DIV/0!</v>
      </c>
      <c r="BV50" s="1" t="e">
        <f t="shared" si="55"/>
        <v>#DIV/0!</v>
      </c>
      <c r="BW50" s="1" t="e">
        <f t="shared" si="56"/>
        <v>#DIV/0!</v>
      </c>
      <c r="BY50" s="9">
        <f t="shared" si="14"/>
        <v>3.1428571428571428</v>
      </c>
      <c r="BZ50" s="18">
        <f t="shared" si="15"/>
        <v>1.7588666580000001</v>
      </c>
      <c r="CA50" s="10">
        <v>0.1828908353</v>
      </c>
      <c r="CB50" s="9">
        <v>0.23037490999999999</v>
      </c>
      <c r="CD50" s="10" t="e">
        <f t="shared" si="16"/>
        <v>#DIV/0!</v>
      </c>
      <c r="CE50" s="10" t="e">
        <f t="shared" si="17"/>
        <v>#DIV/0!</v>
      </c>
      <c r="CF50" s="10" t="e">
        <f t="shared" si="18"/>
        <v>#DIV/0!</v>
      </c>
      <c r="CG50" s="10">
        <f t="shared" si="19"/>
        <v>0</v>
      </c>
      <c r="CH50" s="10" t="e">
        <f t="shared" si="20"/>
        <v>#DIV/0!</v>
      </c>
      <c r="CJ50" s="18" t="e">
        <f t="shared" si="21"/>
        <v>#DIV/0!</v>
      </c>
      <c r="CK50" s="18" t="e">
        <f t="shared" si="22"/>
        <v>#DIV/0!</v>
      </c>
      <c r="CL50" s="10">
        <f t="shared" si="23"/>
        <v>3.1428571428571428</v>
      </c>
      <c r="CM50" s="10" t="e">
        <f t="shared" si="24"/>
        <v>#DIV/0!</v>
      </c>
      <c r="CN50" s="10" t="e">
        <f t="shared" si="25"/>
        <v>#DIV/0!</v>
      </c>
      <c r="CP50" s="1" t="e">
        <f t="shared" si="26"/>
        <v>#DIV/0!</v>
      </c>
    </row>
    <row r="51" spans="2:94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 cm="1">
        <f t="array" ref="R51:AE51">_xlfn.XLOOKUP(D51, CR:CR, CS:DF)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57"/>
        <v>0</v>
      </c>
      <c r="AR51" s="1">
        <f t="shared" si="27"/>
        <v>0</v>
      </c>
      <c r="AS51" s="11" t="e">
        <f t="shared" si="28"/>
        <v>#DIV/0!</v>
      </c>
      <c r="AT51" s="11" t="e">
        <f t="shared" si="29"/>
        <v>#DIV/0!</v>
      </c>
      <c r="AU51" s="5" t="e">
        <f t="shared" si="30"/>
        <v>#DIV/0!</v>
      </c>
      <c r="AV51" s="5" t="e">
        <f t="shared" si="31"/>
        <v>#DIV/0!</v>
      </c>
      <c r="AW51" s="1" t="e">
        <f t="shared" si="32"/>
        <v>#DIV/0!</v>
      </c>
      <c r="AX51" s="1" t="e">
        <f t="shared" si="33"/>
        <v>#DIV/0!</v>
      </c>
      <c r="AY51" s="1" t="e">
        <f t="shared" si="34"/>
        <v>#DIV/0!</v>
      </c>
      <c r="AZ51" s="1" t="e">
        <f t="shared" si="35"/>
        <v>#DIV/0!</v>
      </c>
      <c r="BA51" s="1" t="e">
        <f t="shared" si="36"/>
        <v>#DIV/0!</v>
      </c>
      <c r="BB51" s="1" t="e">
        <f t="shared" si="37"/>
        <v>#DIV/0!</v>
      </c>
      <c r="BC51" s="1" t="e">
        <f t="shared" si="38"/>
        <v>#DIV/0!</v>
      </c>
      <c r="BD51" s="1" t="e">
        <f t="shared" si="39"/>
        <v>#DIV/0!</v>
      </c>
      <c r="BE51" s="1" t="e">
        <f t="shared" si="40"/>
        <v>#DIV/0!</v>
      </c>
      <c r="BF51" s="1" t="e">
        <f t="shared" si="41"/>
        <v>#DIV/0!</v>
      </c>
      <c r="BG51" s="1" t="e">
        <f t="shared" si="42"/>
        <v>#DIV/0!</v>
      </c>
      <c r="BH51" s="1" t="e">
        <f t="shared" si="43"/>
        <v>#DIV/0!</v>
      </c>
      <c r="BI51" s="1" t="e">
        <f t="shared" si="44"/>
        <v>#DIV/0!</v>
      </c>
      <c r="BJ51" s="1" t="e">
        <f t="shared" si="45"/>
        <v>#DIV/0!</v>
      </c>
      <c r="BK51" s="1" t="e">
        <f t="shared" si="46"/>
        <v>#DIV/0!</v>
      </c>
      <c r="BL51" s="1" t="e">
        <f t="shared" si="47"/>
        <v>#DIV/0!</v>
      </c>
      <c r="BM51" s="1" t="e">
        <f t="shared" si="48"/>
        <v>#DIV/0!</v>
      </c>
      <c r="BN51" s="1" t="e">
        <f t="shared" si="49"/>
        <v>#DIV/0!</v>
      </c>
      <c r="BP51" s="1" t="str">
        <f t="shared" si="50"/>
        <v>Drymill CCS Fermentation Exhaust</v>
      </c>
      <c r="BQ51" s="1" t="e">
        <f t="shared" si="51"/>
        <v>#DIV/0!</v>
      </c>
      <c r="BR51" s="1" t="e">
        <f t="shared" si="52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53"/>
        <v>#DIV/0!</v>
      </c>
      <c r="BU51" s="1" t="e">
        <f t="shared" si="54"/>
        <v>#DIV/0!</v>
      </c>
      <c r="BV51" s="1" t="e">
        <f t="shared" si="55"/>
        <v>#DIV/0!</v>
      </c>
      <c r="BW51" s="1" t="e">
        <f t="shared" si="56"/>
        <v>#DIV/0!</v>
      </c>
      <c r="BY51" s="9">
        <f t="shared" si="14"/>
        <v>3.1428571428571428</v>
      </c>
      <c r="BZ51" s="18">
        <f t="shared" si="15"/>
        <v>1.7588666580000001</v>
      </c>
      <c r="CA51" s="10">
        <v>0.1828908353</v>
      </c>
      <c r="CB51" s="9">
        <v>0.23037490999999999</v>
      </c>
      <c r="CD51" s="10" t="e">
        <f t="shared" si="16"/>
        <v>#DIV/0!</v>
      </c>
      <c r="CE51" s="10" t="e">
        <f t="shared" si="17"/>
        <v>#DIV/0!</v>
      </c>
      <c r="CF51" s="10" t="e">
        <f t="shared" si="18"/>
        <v>#DIV/0!</v>
      </c>
      <c r="CG51" s="10">
        <f t="shared" si="19"/>
        <v>0</v>
      </c>
      <c r="CH51" s="10" t="e">
        <f t="shared" si="20"/>
        <v>#DIV/0!</v>
      </c>
      <c r="CJ51" s="18" t="e">
        <f t="shared" si="21"/>
        <v>#DIV/0!</v>
      </c>
      <c r="CK51" s="18" t="e">
        <f t="shared" si="22"/>
        <v>#DIV/0!</v>
      </c>
      <c r="CL51" s="10">
        <f t="shared" si="23"/>
        <v>3.1428571428571428</v>
      </c>
      <c r="CM51" s="10" t="e">
        <f t="shared" si="24"/>
        <v>#DIV/0!</v>
      </c>
      <c r="CN51" s="10" t="e">
        <f t="shared" si="25"/>
        <v>#DIV/0!</v>
      </c>
      <c r="CP51" s="1" t="e">
        <f t="shared" si="26"/>
        <v>#DIV/0!</v>
      </c>
    </row>
    <row r="52" spans="2:94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 cm="1">
        <f t="array" ref="R52:AE52">_xlfn.XLOOKUP(D52, CR:CR, CS:DF)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57"/>
        <v>0</v>
      </c>
      <c r="AR52" s="1">
        <f t="shared" si="27"/>
        <v>0</v>
      </c>
      <c r="AS52" s="11" t="e">
        <f t="shared" si="28"/>
        <v>#DIV/0!</v>
      </c>
      <c r="AT52" s="11" t="e">
        <f t="shared" si="29"/>
        <v>#DIV/0!</v>
      </c>
      <c r="AU52" s="5" t="e">
        <f t="shared" si="30"/>
        <v>#DIV/0!</v>
      </c>
      <c r="AV52" s="5" t="e">
        <f t="shared" si="31"/>
        <v>#DIV/0!</v>
      </c>
      <c r="AW52" s="1" t="e">
        <f t="shared" si="32"/>
        <v>#DIV/0!</v>
      </c>
      <c r="AX52" s="1" t="e">
        <f t="shared" si="33"/>
        <v>#DIV/0!</v>
      </c>
      <c r="AY52" s="1" t="e">
        <f t="shared" si="34"/>
        <v>#DIV/0!</v>
      </c>
      <c r="AZ52" s="1" t="e">
        <f t="shared" si="35"/>
        <v>#DIV/0!</v>
      </c>
      <c r="BA52" s="1" t="e">
        <f t="shared" si="36"/>
        <v>#DIV/0!</v>
      </c>
      <c r="BB52" s="1" t="e">
        <f t="shared" si="37"/>
        <v>#DIV/0!</v>
      </c>
      <c r="BC52" s="1" t="e">
        <f t="shared" si="38"/>
        <v>#DIV/0!</v>
      </c>
      <c r="BD52" s="1" t="e">
        <f t="shared" si="39"/>
        <v>#DIV/0!</v>
      </c>
      <c r="BE52" s="1" t="e">
        <f t="shared" si="40"/>
        <v>#DIV/0!</v>
      </c>
      <c r="BF52" s="1" t="e">
        <f t="shared" si="41"/>
        <v>#DIV/0!</v>
      </c>
      <c r="BG52" s="1" t="e">
        <f t="shared" si="42"/>
        <v>#DIV/0!</v>
      </c>
      <c r="BH52" s="1" t="e">
        <f t="shared" si="43"/>
        <v>#DIV/0!</v>
      </c>
      <c r="BI52" s="1" t="e">
        <f t="shared" si="44"/>
        <v>#DIV/0!</v>
      </c>
      <c r="BJ52" s="1" t="e">
        <f t="shared" si="45"/>
        <v>#DIV/0!</v>
      </c>
      <c r="BK52" s="1" t="e">
        <f t="shared" si="46"/>
        <v>#DIV/0!</v>
      </c>
      <c r="BL52" s="1" t="e">
        <f t="shared" si="47"/>
        <v>#DIV/0!</v>
      </c>
      <c r="BM52" s="1" t="e">
        <f t="shared" si="48"/>
        <v>#DIV/0!</v>
      </c>
      <c r="BN52" s="1" t="e">
        <f t="shared" si="49"/>
        <v>#DIV/0!</v>
      </c>
      <c r="BP52" s="1" t="str">
        <f t="shared" si="50"/>
        <v>Drymill CCS Fermentation Exhaust</v>
      </c>
      <c r="BQ52" s="1" t="e">
        <f t="shared" si="51"/>
        <v>#DIV/0!</v>
      </c>
      <c r="BR52" s="1" t="e">
        <f t="shared" si="52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53"/>
        <v>#DIV/0!</v>
      </c>
      <c r="BU52" s="1" t="e">
        <f t="shared" si="54"/>
        <v>#DIV/0!</v>
      </c>
      <c r="BV52" s="1" t="e">
        <f t="shared" si="55"/>
        <v>#DIV/0!</v>
      </c>
      <c r="BW52" s="1" t="e">
        <f t="shared" si="56"/>
        <v>#DIV/0!</v>
      </c>
      <c r="BY52" s="9">
        <f t="shared" si="14"/>
        <v>3.1428571428571428</v>
      </c>
      <c r="BZ52" s="18">
        <f t="shared" si="15"/>
        <v>1.7588666580000001</v>
      </c>
      <c r="CA52" s="10">
        <v>0.1828908353</v>
      </c>
      <c r="CB52" s="9">
        <v>0.23037490999999999</v>
      </c>
      <c r="CD52" s="10" t="e">
        <f t="shared" si="16"/>
        <v>#DIV/0!</v>
      </c>
      <c r="CE52" s="10" t="e">
        <f t="shared" si="17"/>
        <v>#DIV/0!</v>
      </c>
      <c r="CF52" s="10" t="e">
        <f t="shared" si="18"/>
        <v>#DIV/0!</v>
      </c>
      <c r="CG52" s="10">
        <f t="shared" si="19"/>
        <v>0</v>
      </c>
      <c r="CH52" s="10" t="e">
        <f t="shared" si="20"/>
        <v>#DIV/0!</v>
      </c>
      <c r="CJ52" s="18" t="e">
        <f t="shared" si="21"/>
        <v>#DIV/0!</v>
      </c>
      <c r="CK52" s="18" t="e">
        <f t="shared" si="22"/>
        <v>#DIV/0!</v>
      </c>
      <c r="CL52" s="10">
        <f t="shared" si="23"/>
        <v>3.1428571428571428</v>
      </c>
      <c r="CM52" s="10" t="e">
        <f t="shared" si="24"/>
        <v>#DIV/0!</v>
      </c>
      <c r="CN52" s="10" t="e">
        <f t="shared" si="25"/>
        <v>#DIV/0!</v>
      </c>
      <c r="CP52" s="1" t="e">
        <f t="shared" si="26"/>
        <v>#DIV/0!</v>
      </c>
    </row>
    <row r="53" spans="2:94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 cm="1">
        <f t="array" ref="R53:AE53">_xlfn.XLOOKUP(D53, CR:CR, CS:DF)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57"/>
        <v>0</v>
      </c>
      <c r="AR53" s="1">
        <f t="shared" si="27"/>
        <v>0</v>
      </c>
      <c r="AS53" s="11" t="e">
        <f t="shared" si="28"/>
        <v>#DIV/0!</v>
      </c>
      <c r="AT53" s="11" t="e">
        <f t="shared" si="29"/>
        <v>#DIV/0!</v>
      </c>
      <c r="AU53" s="5" t="e">
        <f t="shared" si="30"/>
        <v>#DIV/0!</v>
      </c>
      <c r="AV53" s="5" t="e">
        <f t="shared" si="31"/>
        <v>#DIV/0!</v>
      </c>
      <c r="AW53" s="1" t="e">
        <f t="shared" si="32"/>
        <v>#DIV/0!</v>
      </c>
      <c r="AX53" s="1" t="e">
        <f t="shared" si="33"/>
        <v>#DIV/0!</v>
      </c>
      <c r="AY53" s="1" t="e">
        <f t="shared" si="34"/>
        <v>#DIV/0!</v>
      </c>
      <c r="AZ53" s="1" t="e">
        <f t="shared" si="35"/>
        <v>#DIV/0!</v>
      </c>
      <c r="BA53" s="1" t="e">
        <f t="shared" si="36"/>
        <v>#DIV/0!</v>
      </c>
      <c r="BB53" s="1" t="e">
        <f t="shared" si="37"/>
        <v>#DIV/0!</v>
      </c>
      <c r="BC53" s="1" t="e">
        <f t="shared" si="38"/>
        <v>#DIV/0!</v>
      </c>
      <c r="BD53" s="1" t="e">
        <f t="shared" si="39"/>
        <v>#DIV/0!</v>
      </c>
      <c r="BE53" s="1" t="e">
        <f t="shared" si="40"/>
        <v>#DIV/0!</v>
      </c>
      <c r="BF53" s="1" t="e">
        <f t="shared" si="41"/>
        <v>#DIV/0!</v>
      </c>
      <c r="BG53" s="1" t="e">
        <f t="shared" si="42"/>
        <v>#DIV/0!</v>
      </c>
      <c r="BH53" s="1" t="e">
        <f t="shared" si="43"/>
        <v>#DIV/0!</v>
      </c>
      <c r="BI53" s="1" t="e">
        <f t="shared" si="44"/>
        <v>#DIV/0!</v>
      </c>
      <c r="BJ53" s="1" t="e">
        <f t="shared" si="45"/>
        <v>#DIV/0!</v>
      </c>
      <c r="BK53" s="1" t="e">
        <f t="shared" si="46"/>
        <v>#DIV/0!</v>
      </c>
      <c r="BL53" s="1" t="e">
        <f t="shared" si="47"/>
        <v>#DIV/0!</v>
      </c>
      <c r="BM53" s="1" t="e">
        <f t="shared" si="48"/>
        <v>#DIV/0!</v>
      </c>
      <c r="BN53" s="1" t="e">
        <f t="shared" si="49"/>
        <v>#DIV/0!</v>
      </c>
      <c r="BP53" s="1" t="str">
        <f t="shared" si="50"/>
        <v>Drymill CCS Fermentation Exhaust</v>
      </c>
      <c r="BQ53" s="1" t="e">
        <f t="shared" si="51"/>
        <v>#DIV/0!</v>
      </c>
      <c r="BR53" s="1" t="e">
        <f t="shared" si="52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53"/>
        <v>#DIV/0!</v>
      </c>
      <c r="BU53" s="1" t="e">
        <f t="shared" si="54"/>
        <v>#DIV/0!</v>
      </c>
      <c r="BV53" s="1" t="e">
        <f t="shared" si="55"/>
        <v>#DIV/0!</v>
      </c>
      <c r="BW53" s="1" t="e">
        <f t="shared" si="56"/>
        <v>#DIV/0!</v>
      </c>
      <c r="BY53" s="9">
        <f t="shared" si="14"/>
        <v>3.1428571428571428</v>
      </c>
      <c r="BZ53" s="18">
        <f t="shared" si="15"/>
        <v>1.7588666580000001</v>
      </c>
      <c r="CA53" s="10">
        <v>0.1828908353</v>
      </c>
      <c r="CB53" s="9">
        <v>0.23037490999999999</v>
      </c>
      <c r="CD53" s="10" t="e">
        <f t="shared" si="16"/>
        <v>#DIV/0!</v>
      </c>
      <c r="CE53" s="10" t="e">
        <f t="shared" si="17"/>
        <v>#DIV/0!</v>
      </c>
      <c r="CF53" s="10" t="e">
        <f t="shared" si="18"/>
        <v>#DIV/0!</v>
      </c>
      <c r="CG53" s="10">
        <f t="shared" si="19"/>
        <v>0</v>
      </c>
      <c r="CH53" s="10" t="e">
        <f t="shared" si="20"/>
        <v>#DIV/0!</v>
      </c>
      <c r="CJ53" s="18" t="e">
        <f t="shared" si="21"/>
        <v>#DIV/0!</v>
      </c>
      <c r="CK53" s="18" t="e">
        <f t="shared" si="22"/>
        <v>#DIV/0!</v>
      </c>
      <c r="CL53" s="10">
        <f t="shared" si="23"/>
        <v>3.1428571428571428</v>
      </c>
      <c r="CM53" s="10" t="e">
        <f t="shared" si="24"/>
        <v>#DIV/0!</v>
      </c>
      <c r="CN53" s="10" t="e">
        <f t="shared" si="25"/>
        <v>#DIV/0!</v>
      </c>
      <c r="CP53" s="1" t="e">
        <f t="shared" si="26"/>
        <v>#DIV/0!</v>
      </c>
    </row>
    <row r="54" spans="2:94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 cm="1">
        <f t="array" ref="R54:AE54">_xlfn.XLOOKUP(D54, CR:CR, CS:DF)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57"/>
        <v>0</v>
      </c>
      <c r="AR54" s="1">
        <f t="shared" si="27"/>
        <v>0</v>
      </c>
      <c r="AS54" s="11" t="e">
        <f t="shared" si="28"/>
        <v>#DIV/0!</v>
      </c>
      <c r="AT54" s="11" t="e">
        <f t="shared" si="29"/>
        <v>#DIV/0!</v>
      </c>
      <c r="AU54" s="5" t="e">
        <f t="shared" si="30"/>
        <v>#DIV/0!</v>
      </c>
      <c r="AV54" s="5" t="e">
        <f t="shared" si="31"/>
        <v>#DIV/0!</v>
      </c>
      <c r="AW54" s="1" t="e">
        <f t="shared" si="32"/>
        <v>#DIV/0!</v>
      </c>
      <c r="AX54" s="1" t="e">
        <f t="shared" si="33"/>
        <v>#DIV/0!</v>
      </c>
      <c r="AY54" s="1" t="e">
        <f t="shared" si="34"/>
        <v>#DIV/0!</v>
      </c>
      <c r="AZ54" s="1" t="e">
        <f t="shared" si="35"/>
        <v>#DIV/0!</v>
      </c>
      <c r="BA54" s="1" t="e">
        <f t="shared" si="36"/>
        <v>#DIV/0!</v>
      </c>
      <c r="BB54" s="1" t="e">
        <f t="shared" si="37"/>
        <v>#DIV/0!</v>
      </c>
      <c r="BC54" s="1" t="e">
        <f t="shared" si="38"/>
        <v>#DIV/0!</v>
      </c>
      <c r="BD54" s="1" t="e">
        <f t="shared" si="39"/>
        <v>#DIV/0!</v>
      </c>
      <c r="BE54" s="1" t="e">
        <f t="shared" si="40"/>
        <v>#DIV/0!</v>
      </c>
      <c r="BF54" s="1" t="e">
        <f t="shared" si="41"/>
        <v>#DIV/0!</v>
      </c>
      <c r="BG54" s="1" t="e">
        <f t="shared" si="42"/>
        <v>#DIV/0!</v>
      </c>
      <c r="BH54" s="1" t="e">
        <f t="shared" si="43"/>
        <v>#DIV/0!</v>
      </c>
      <c r="BI54" s="1" t="e">
        <f t="shared" si="44"/>
        <v>#DIV/0!</v>
      </c>
      <c r="BJ54" s="1" t="e">
        <f t="shared" si="45"/>
        <v>#DIV/0!</v>
      </c>
      <c r="BK54" s="1" t="e">
        <f t="shared" si="46"/>
        <v>#DIV/0!</v>
      </c>
      <c r="BL54" s="1" t="e">
        <f t="shared" si="47"/>
        <v>#DIV/0!</v>
      </c>
      <c r="BM54" s="1" t="e">
        <f t="shared" si="48"/>
        <v>#DIV/0!</v>
      </c>
      <c r="BN54" s="1" t="e">
        <f t="shared" si="49"/>
        <v>#DIV/0!</v>
      </c>
      <c r="BP54" s="1" t="str">
        <f t="shared" si="50"/>
        <v>Drymill CCS Fermentation Exhaust</v>
      </c>
      <c r="BQ54" s="1" t="e">
        <f t="shared" si="51"/>
        <v>#DIV/0!</v>
      </c>
      <c r="BR54" s="1" t="e">
        <f t="shared" si="52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53"/>
        <v>#DIV/0!</v>
      </c>
      <c r="BU54" s="1" t="e">
        <f t="shared" si="54"/>
        <v>#DIV/0!</v>
      </c>
      <c r="BV54" s="1" t="e">
        <f t="shared" si="55"/>
        <v>#DIV/0!</v>
      </c>
      <c r="BW54" s="1" t="e">
        <f t="shared" si="56"/>
        <v>#DIV/0!</v>
      </c>
      <c r="BY54" s="9">
        <f t="shared" si="14"/>
        <v>3.1428571428571428</v>
      </c>
      <c r="BZ54" s="18">
        <f t="shared" si="15"/>
        <v>1.7588666580000001</v>
      </c>
      <c r="CA54" s="10">
        <v>0.1828908353</v>
      </c>
      <c r="CB54" s="9">
        <v>0.23037490999999999</v>
      </c>
      <c r="CD54" s="10" t="e">
        <f t="shared" si="16"/>
        <v>#DIV/0!</v>
      </c>
      <c r="CE54" s="10" t="e">
        <f t="shared" si="17"/>
        <v>#DIV/0!</v>
      </c>
      <c r="CF54" s="10" t="e">
        <f t="shared" si="18"/>
        <v>#DIV/0!</v>
      </c>
      <c r="CG54" s="10">
        <f t="shared" si="19"/>
        <v>0</v>
      </c>
      <c r="CH54" s="10" t="e">
        <f t="shared" si="20"/>
        <v>#DIV/0!</v>
      </c>
      <c r="CJ54" s="18" t="e">
        <f t="shared" si="21"/>
        <v>#DIV/0!</v>
      </c>
      <c r="CK54" s="18" t="e">
        <f t="shared" si="22"/>
        <v>#DIV/0!</v>
      </c>
      <c r="CL54" s="10">
        <f t="shared" si="23"/>
        <v>3.1428571428571428</v>
      </c>
      <c r="CM54" s="10" t="e">
        <f t="shared" si="24"/>
        <v>#DIV/0!</v>
      </c>
      <c r="CN54" s="10" t="e">
        <f t="shared" si="25"/>
        <v>#DIV/0!</v>
      </c>
      <c r="CP54" s="1" t="e">
        <f t="shared" si="26"/>
        <v>#DIV/0!</v>
      </c>
    </row>
    <row r="55" spans="2:94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 cm="1">
        <f t="array" ref="R55:AE55">_xlfn.XLOOKUP(D55, CR:CR, CS:DF)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57"/>
        <v>0</v>
      </c>
      <c r="AR55" s="1">
        <f t="shared" si="27"/>
        <v>0</v>
      </c>
      <c r="AS55" s="11" t="e">
        <f t="shared" si="28"/>
        <v>#DIV/0!</v>
      </c>
      <c r="AT55" s="11" t="e">
        <f t="shared" si="29"/>
        <v>#DIV/0!</v>
      </c>
      <c r="AU55" s="5" t="e">
        <f t="shared" si="30"/>
        <v>#DIV/0!</v>
      </c>
      <c r="AV55" s="5" t="e">
        <f t="shared" si="31"/>
        <v>#DIV/0!</v>
      </c>
      <c r="AW55" s="1" t="e">
        <f t="shared" si="32"/>
        <v>#DIV/0!</v>
      </c>
      <c r="AX55" s="1" t="e">
        <f t="shared" si="33"/>
        <v>#DIV/0!</v>
      </c>
      <c r="AY55" s="1" t="e">
        <f t="shared" si="34"/>
        <v>#DIV/0!</v>
      </c>
      <c r="AZ55" s="1" t="e">
        <f t="shared" si="35"/>
        <v>#DIV/0!</v>
      </c>
      <c r="BA55" s="1" t="e">
        <f t="shared" si="36"/>
        <v>#DIV/0!</v>
      </c>
      <c r="BB55" s="1" t="e">
        <f t="shared" si="37"/>
        <v>#DIV/0!</v>
      </c>
      <c r="BC55" s="1" t="e">
        <f t="shared" si="38"/>
        <v>#DIV/0!</v>
      </c>
      <c r="BD55" s="1" t="e">
        <f t="shared" si="39"/>
        <v>#DIV/0!</v>
      </c>
      <c r="BE55" s="1" t="e">
        <f t="shared" si="40"/>
        <v>#DIV/0!</v>
      </c>
      <c r="BF55" s="1" t="e">
        <f t="shared" si="41"/>
        <v>#DIV/0!</v>
      </c>
      <c r="BG55" s="1" t="e">
        <f t="shared" si="42"/>
        <v>#DIV/0!</v>
      </c>
      <c r="BH55" s="1" t="e">
        <f t="shared" si="43"/>
        <v>#DIV/0!</v>
      </c>
      <c r="BI55" s="1" t="e">
        <f t="shared" si="44"/>
        <v>#DIV/0!</v>
      </c>
      <c r="BJ55" s="1" t="e">
        <f t="shared" si="45"/>
        <v>#DIV/0!</v>
      </c>
      <c r="BK55" s="1" t="e">
        <f t="shared" si="46"/>
        <v>#DIV/0!</v>
      </c>
      <c r="BL55" s="1" t="e">
        <f t="shared" si="47"/>
        <v>#DIV/0!</v>
      </c>
      <c r="BM55" s="1" t="e">
        <f t="shared" si="48"/>
        <v>#DIV/0!</v>
      </c>
      <c r="BN55" s="1" t="e">
        <f t="shared" si="49"/>
        <v>#DIV/0!</v>
      </c>
      <c r="BP55" s="1" t="str">
        <f t="shared" si="50"/>
        <v>Drymill CCS Fermentation Exhaust</v>
      </c>
      <c r="BQ55" s="1" t="e">
        <f t="shared" si="51"/>
        <v>#DIV/0!</v>
      </c>
      <c r="BR55" s="1" t="e">
        <f t="shared" si="52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53"/>
        <v>#DIV/0!</v>
      </c>
      <c r="BU55" s="1" t="e">
        <f t="shared" si="54"/>
        <v>#DIV/0!</v>
      </c>
      <c r="BV55" s="1" t="e">
        <f t="shared" si="55"/>
        <v>#DIV/0!</v>
      </c>
      <c r="BW55" s="1" t="e">
        <f t="shared" si="56"/>
        <v>#DIV/0!</v>
      </c>
      <c r="BY55" s="9">
        <f t="shared" si="14"/>
        <v>3.1428571428571428</v>
      </c>
      <c r="BZ55" s="18">
        <f t="shared" si="15"/>
        <v>1.7588666580000001</v>
      </c>
      <c r="CA55" s="10">
        <v>0.1828908353</v>
      </c>
      <c r="CB55" s="9">
        <v>0.23037490999999999</v>
      </c>
      <c r="CD55" s="10" t="e">
        <f t="shared" si="16"/>
        <v>#DIV/0!</v>
      </c>
      <c r="CE55" s="10" t="e">
        <f t="shared" si="17"/>
        <v>#DIV/0!</v>
      </c>
      <c r="CF55" s="10" t="e">
        <f t="shared" si="18"/>
        <v>#DIV/0!</v>
      </c>
      <c r="CG55" s="10">
        <f t="shared" si="19"/>
        <v>0</v>
      </c>
      <c r="CH55" s="10" t="e">
        <f t="shared" si="20"/>
        <v>#DIV/0!</v>
      </c>
      <c r="CJ55" s="18" t="e">
        <f t="shared" si="21"/>
        <v>#DIV/0!</v>
      </c>
      <c r="CK55" s="18" t="e">
        <f t="shared" si="22"/>
        <v>#DIV/0!</v>
      </c>
      <c r="CL55" s="10">
        <f t="shared" si="23"/>
        <v>3.1428571428571428</v>
      </c>
      <c r="CM55" s="10" t="e">
        <f t="shared" si="24"/>
        <v>#DIV/0!</v>
      </c>
      <c r="CN55" s="10" t="e">
        <f t="shared" si="25"/>
        <v>#DIV/0!</v>
      </c>
      <c r="CP55" s="1" t="e">
        <f t="shared" si="26"/>
        <v>#DIV/0!</v>
      </c>
    </row>
    <row r="56" spans="2:94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 cm="1">
        <f t="array" ref="R56:AE56">_xlfn.XLOOKUP(D56, CR:CR, CS:DF)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57"/>
        <v>0</v>
      </c>
      <c r="AR56" s="1">
        <f t="shared" si="27"/>
        <v>0</v>
      </c>
      <c r="AS56" s="11" t="e">
        <f t="shared" si="28"/>
        <v>#DIV/0!</v>
      </c>
      <c r="AT56" s="11" t="e">
        <f t="shared" si="29"/>
        <v>#DIV/0!</v>
      </c>
      <c r="AU56" s="5" t="e">
        <f t="shared" si="30"/>
        <v>#DIV/0!</v>
      </c>
      <c r="AV56" s="5" t="e">
        <f t="shared" si="31"/>
        <v>#DIV/0!</v>
      </c>
      <c r="AW56" s="1" t="e">
        <f t="shared" si="32"/>
        <v>#DIV/0!</v>
      </c>
      <c r="AX56" s="1" t="e">
        <f t="shared" si="33"/>
        <v>#DIV/0!</v>
      </c>
      <c r="AY56" s="1" t="e">
        <f t="shared" si="34"/>
        <v>#DIV/0!</v>
      </c>
      <c r="AZ56" s="1" t="e">
        <f t="shared" si="35"/>
        <v>#DIV/0!</v>
      </c>
      <c r="BA56" s="1" t="e">
        <f t="shared" si="36"/>
        <v>#DIV/0!</v>
      </c>
      <c r="BB56" s="1" t="e">
        <f t="shared" si="37"/>
        <v>#DIV/0!</v>
      </c>
      <c r="BC56" s="1" t="e">
        <f t="shared" si="38"/>
        <v>#DIV/0!</v>
      </c>
      <c r="BD56" s="1" t="e">
        <f t="shared" si="39"/>
        <v>#DIV/0!</v>
      </c>
      <c r="BE56" s="1" t="e">
        <f t="shared" si="40"/>
        <v>#DIV/0!</v>
      </c>
      <c r="BF56" s="1" t="e">
        <f t="shared" si="41"/>
        <v>#DIV/0!</v>
      </c>
      <c r="BG56" s="1" t="e">
        <f t="shared" si="42"/>
        <v>#DIV/0!</v>
      </c>
      <c r="BH56" s="1" t="e">
        <f t="shared" si="43"/>
        <v>#DIV/0!</v>
      </c>
      <c r="BI56" s="1" t="e">
        <f t="shared" si="44"/>
        <v>#DIV/0!</v>
      </c>
      <c r="BJ56" s="1" t="e">
        <f t="shared" si="45"/>
        <v>#DIV/0!</v>
      </c>
      <c r="BK56" s="1" t="e">
        <f t="shared" si="46"/>
        <v>#DIV/0!</v>
      </c>
      <c r="BL56" s="1" t="e">
        <f t="shared" si="47"/>
        <v>#DIV/0!</v>
      </c>
      <c r="BM56" s="1" t="e">
        <f t="shared" si="48"/>
        <v>#DIV/0!</v>
      </c>
      <c r="BN56" s="1" t="e">
        <f t="shared" si="49"/>
        <v>#DIV/0!</v>
      </c>
      <c r="BP56" s="1" t="str">
        <f t="shared" si="50"/>
        <v>Drymill CCS Fermentation Exhaust</v>
      </c>
      <c r="BQ56" s="1" t="e">
        <f t="shared" si="51"/>
        <v>#DIV/0!</v>
      </c>
      <c r="BR56" s="1" t="e">
        <f t="shared" si="52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53"/>
        <v>#DIV/0!</v>
      </c>
      <c r="BU56" s="1" t="e">
        <f t="shared" si="54"/>
        <v>#DIV/0!</v>
      </c>
      <c r="BV56" s="1" t="e">
        <f t="shared" si="55"/>
        <v>#DIV/0!</v>
      </c>
      <c r="BW56" s="1" t="e">
        <f t="shared" si="56"/>
        <v>#DIV/0!</v>
      </c>
      <c r="BY56" s="9">
        <f t="shared" si="14"/>
        <v>3.1428571428571428</v>
      </c>
      <c r="BZ56" s="18">
        <f t="shared" si="15"/>
        <v>1.7588666580000001</v>
      </c>
      <c r="CA56" s="10">
        <v>0.1828908353</v>
      </c>
      <c r="CB56" s="9">
        <v>0.23037490999999999</v>
      </c>
      <c r="CD56" s="10" t="e">
        <f t="shared" si="16"/>
        <v>#DIV/0!</v>
      </c>
      <c r="CE56" s="10" t="e">
        <f t="shared" si="17"/>
        <v>#DIV/0!</v>
      </c>
      <c r="CF56" s="10" t="e">
        <f t="shared" si="18"/>
        <v>#DIV/0!</v>
      </c>
      <c r="CG56" s="10">
        <f t="shared" si="19"/>
        <v>0</v>
      </c>
      <c r="CH56" s="10" t="e">
        <f t="shared" si="20"/>
        <v>#DIV/0!</v>
      </c>
      <c r="CJ56" s="18" t="e">
        <f t="shared" si="21"/>
        <v>#DIV/0!</v>
      </c>
      <c r="CK56" s="18" t="e">
        <f t="shared" si="22"/>
        <v>#DIV/0!</v>
      </c>
      <c r="CL56" s="10">
        <f t="shared" si="23"/>
        <v>3.1428571428571428</v>
      </c>
      <c r="CM56" s="10" t="e">
        <f t="shared" si="24"/>
        <v>#DIV/0!</v>
      </c>
      <c r="CN56" s="10" t="e">
        <f t="shared" si="25"/>
        <v>#DIV/0!</v>
      </c>
      <c r="CP56" s="1" t="e">
        <f t="shared" si="26"/>
        <v>#DIV/0!</v>
      </c>
    </row>
    <row r="57" spans="2:94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 cm="1">
        <f t="array" ref="R57:AE57">_xlfn.XLOOKUP(D57, CR:CR, CS:DF)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57"/>
        <v>0</v>
      </c>
      <c r="AR57" s="1">
        <f t="shared" si="27"/>
        <v>0</v>
      </c>
      <c r="AS57" s="11" t="e">
        <f t="shared" si="28"/>
        <v>#DIV/0!</v>
      </c>
      <c r="AT57" s="11" t="e">
        <f t="shared" si="29"/>
        <v>#DIV/0!</v>
      </c>
      <c r="AU57" s="5" t="e">
        <f t="shared" si="30"/>
        <v>#DIV/0!</v>
      </c>
      <c r="AV57" s="5" t="e">
        <f t="shared" si="31"/>
        <v>#DIV/0!</v>
      </c>
      <c r="AW57" s="1" t="e">
        <f t="shared" si="32"/>
        <v>#DIV/0!</v>
      </c>
      <c r="AX57" s="1" t="e">
        <f t="shared" si="33"/>
        <v>#DIV/0!</v>
      </c>
      <c r="AY57" s="1" t="e">
        <f t="shared" si="34"/>
        <v>#DIV/0!</v>
      </c>
      <c r="AZ57" s="1" t="e">
        <f t="shared" si="35"/>
        <v>#DIV/0!</v>
      </c>
      <c r="BA57" s="1" t="e">
        <f t="shared" si="36"/>
        <v>#DIV/0!</v>
      </c>
      <c r="BB57" s="1" t="e">
        <f t="shared" si="37"/>
        <v>#DIV/0!</v>
      </c>
      <c r="BC57" s="1" t="e">
        <f t="shared" si="38"/>
        <v>#DIV/0!</v>
      </c>
      <c r="BD57" s="1" t="e">
        <f t="shared" si="39"/>
        <v>#DIV/0!</v>
      </c>
      <c r="BE57" s="1" t="e">
        <f t="shared" si="40"/>
        <v>#DIV/0!</v>
      </c>
      <c r="BF57" s="1" t="e">
        <f t="shared" si="41"/>
        <v>#DIV/0!</v>
      </c>
      <c r="BG57" s="1" t="e">
        <f t="shared" si="42"/>
        <v>#DIV/0!</v>
      </c>
      <c r="BH57" s="1" t="e">
        <f t="shared" si="43"/>
        <v>#DIV/0!</v>
      </c>
      <c r="BI57" s="1" t="e">
        <f t="shared" si="44"/>
        <v>#DIV/0!</v>
      </c>
      <c r="BJ57" s="1" t="e">
        <f t="shared" si="45"/>
        <v>#DIV/0!</v>
      </c>
      <c r="BK57" s="1" t="e">
        <f t="shared" si="46"/>
        <v>#DIV/0!</v>
      </c>
      <c r="BL57" s="1" t="e">
        <f t="shared" si="47"/>
        <v>#DIV/0!</v>
      </c>
      <c r="BM57" s="1" t="e">
        <f t="shared" si="48"/>
        <v>#DIV/0!</v>
      </c>
      <c r="BN57" s="1" t="e">
        <f t="shared" si="49"/>
        <v>#DIV/0!</v>
      </c>
      <c r="BP57" s="1" t="str">
        <f t="shared" si="50"/>
        <v>Drymill CCS Fermentation Exhaust</v>
      </c>
      <c r="BQ57" s="1" t="e">
        <f t="shared" si="51"/>
        <v>#DIV/0!</v>
      </c>
      <c r="BR57" s="1" t="e">
        <f t="shared" si="52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53"/>
        <v>#DIV/0!</v>
      </c>
      <c r="BU57" s="1" t="e">
        <f t="shared" si="54"/>
        <v>#DIV/0!</v>
      </c>
      <c r="BV57" s="1" t="e">
        <f t="shared" si="55"/>
        <v>#DIV/0!</v>
      </c>
      <c r="BW57" s="1" t="e">
        <f t="shared" si="56"/>
        <v>#DIV/0!</v>
      </c>
      <c r="BY57" s="9">
        <f t="shared" si="14"/>
        <v>3.1428571428571428</v>
      </c>
      <c r="BZ57" s="18">
        <f t="shared" si="15"/>
        <v>1.7588666580000001</v>
      </c>
      <c r="CA57" s="10">
        <v>0.1828908353</v>
      </c>
      <c r="CB57" s="9">
        <v>0.23037490999999999</v>
      </c>
      <c r="CD57" s="10" t="e">
        <f t="shared" si="16"/>
        <v>#DIV/0!</v>
      </c>
      <c r="CE57" s="10" t="e">
        <f t="shared" si="17"/>
        <v>#DIV/0!</v>
      </c>
      <c r="CF57" s="10" t="e">
        <f t="shared" si="18"/>
        <v>#DIV/0!</v>
      </c>
      <c r="CG57" s="10">
        <f t="shared" si="19"/>
        <v>0</v>
      </c>
      <c r="CH57" s="10" t="e">
        <f t="shared" si="20"/>
        <v>#DIV/0!</v>
      </c>
      <c r="CJ57" s="18" t="e">
        <f t="shared" si="21"/>
        <v>#DIV/0!</v>
      </c>
      <c r="CK57" s="18" t="e">
        <f t="shared" si="22"/>
        <v>#DIV/0!</v>
      </c>
      <c r="CL57" s="10">
        <f t="shared" si="23"/>
        <v>3.1428571428571428</v>
      </c>
      <c r="CM57" s="10" t="e">
        <f t="shared" si="24"/>
        <v>#DIV/0!</v>
      </c>
      <c r="CN57" s="10" t="e">
        <f t="shared" si="25"/>
        <v>#DIV/0!</v>
      </c>
      <c r="CP57" s="1" t="e">
        <f t="shared" si="26"/>
        <v>#DIV/0!</v>
      </c>
    </row>
    <row r="58" spans="2:94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 cm="1">
        <f t="array" ref="R58:AE58">_xlfn.XLOOKUP(D58, CR:CR, CS:DF)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57"/>
        <v>0</v>
      </c>
      <c r="AR58" s="1">
        <f t="shared" si="27"/>
        <v>0</v>
      </c>
      <c r="AS58" s="11" t="e">
        <f t="shared" si="28"/>
        <v>#DIV/0!</v>
      </c>
      <c r="AT58" s="11" t="e">
        <f t="shared" si="29"/>
        <v>#DIV/0!</v>
      </c>
      <c r="AU58" s="5" t="e">
        <f t="shared" si="30"/>
        <v>#DIV/0!</v>
      </c>
      <c r="AV58" s="5" t="e">
        <f t="shared" si="31"/>
        <v>#DIV/0!</v>
      </c>
      <c r="AW58" s="1" t="e">
        <f t="shared" si="32"/>
        <v>#DIV/0!</v>
      </c>
      <c r="AX58" s="1" t="e">
        <f t="shared" si="33"/>
        <v>#DIV/0!</v>
      </c>
      <c r="AY58" s="1" t="e">
        <f t="shared" si="34"/>
        <v>#DIV/0!</v>
      </c>
      <c r="AZ58" s="1" t="e">
        <f t="shared" si="35"/>
        <v>#DIV/0!</v>
      </c>
      <c r="BA58" s="1" t="e">
        <f t="shared" si="36"/>
        <v>#DIV/0!</v>
      </c>
      <c r="BB58" s="1" t="e">
        <f t="shared" si="37"/>
        <v>#DIV/0!</v>
      </c>
      <c r="BC58" s="1" t="e">
        <f t="shared" si="38"/>
        <v>#DIV/0!</v>
      </c>
      <c r="BD58" s="1" t="e">
        <f t="shared" si="39"/>
        <v>#DIV/0!</v>
      </c>
      <c r="BE58" s="1" t="e">
        <f t="shared" si="40"/>
        <v>#DIV/0!</v>
      </c>
      <c r="BF58" s="1" t="e">
        <f t="shared" si="41"/>
        <v>#DIV/0!</v>
      </c>
      <c r="BG58" s="1" t="e">
        <f t="shared" si="42"/>
        <v>#DIV/0!</v>
      </c>
      <c r="BH58" s="1" t="e">
        <f t="shared" si="43"/>
        <v>#DIV/0!</v>
      </c>
      <c r="BI58" s="1" t="e">
        <f t="shared" si="44"/>
        <v>#DIV/0!</v>
      </c>
      <c r="BJ58" s="1" t="e">
        <f t="shared" si="45"/>
        <v>#DIV/0!</v>
      </c>
      <c r="BK58" s="1" t="e">
        <f t="shared" si="46"/>
        <v>#DIV/0!</v>
      </c>
      <c r="BL58" s="1" t="e">
        <f t="shared" si="47"/>
        <v>#DIV/0!</v>
      </c>
      <c r="BM58" s="1" t="e">
        <f t="shared" si="48"/>
        <v>#DIV/0!</v>
      </c>
      <c r="BN58" s="1" t="e">
        <f t="shared" si="49"/>
        <v>#DIV/0!</v>
      </c>
      <c r="BP58" s="1" t="str">
        <f t="shared" si="50"/>
        <v>Drymill CCS Fermentation Exhaust</v>
      </c>
      <c r="BQ58" s="1" t="e">
        <f t="shared" si="51"/>
        <v>#DIV/0!</v>
      </c>
      <c r="BR58" s="1" t="e">
        <f t="shared" si="52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53"/>
        <v>#DIV/0!</v>
      </c>
      <c r="BU58" s="1" t="e">
        <f t="shared" si="54"/>
        <v>#DIV/0!</v>
      </c>
      <c r="BV58" s="1" t="e">
        <f t="shared" si="55"/>
        <v>#DIV/0!</v>
      </c>
      <c r="BW58" s="1" t="e">
        <f t="shared" si="56"/>
        <v>#DIV/0!</v>
      </c>
      <c r="BY58" s="9">
        <f t="shared" si="14"/>
        <v>3.1428571428571428</v>
      </c>
      <c r="BZ58" s="18">
        <f t="shared" si="15"/>
        <v>1.7588666580000001</v>
      </c>
      <c r="CA58" s="10">
        <v>0.1828908353</v>
      </c>
      <c r="CB58" s="9">
        <v>0.23037490999999999</v>
      </c>
      <c r="CD58" s="10" t="e">
        <f t="shared" si="16"/>
        <v>#DIV/0!</v>
      </c>
      <c r="CE58" s="10" t="e">
        <f t="shared" si="17"/>
        <v>#DIV/0!</v>
      </c>
      <c r="CF58" s="10" t="e">
        <f t="shared" si="18"/>
        <v>#DIV/0!</v>
      </c>
      <c r="CG58" s="10">
        <f t="shared" si="19"/>
        <v>0</v>
      </c>
      <c r="CH58" s="10" t="e">
        <f t="shared" si="20"/>
        <v>#DIV/0!</v>
      </c>
      <c r="CJ58" s="18" t="e">
        <f t="shared" si="21"/>
        <v>#DIV/0!</v>
      </c>
      <c r="CK58" s="18" t="e">
        <f t="shared" si="22"/>
        <v>#DIV/0!</v>
      </c>
      <c r="CL58" s="10">
        <f t="shared" si="23"/>
        <v>3.1428571428571428</v>
      </c>
      <c r="CM58" s="10" t="e">
        <f t="shared" si="24"/>
        <v>#DIV/0!</v>
      </c>
      <c r="CN58" s="10" t="e">
        <f t="shared" si="25"/>
        <v>#DIV/0!</v>
      </c>
      <c r="CP58" s="1" t="e">
        <f t="shared" si="26"/>
        <v>#DIV/0!</v>
      </c>
    </row>
    <row r="59" spans="2:94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 cm="1">
        <f t="array" ref="R59:AE59">_xlfn.XLOOKUP(D59, CR:CR, CS:DF)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57"/>
        <v>0</v>
      </c>
      <c r="AR59" s="1">
        <f t="shared" si="27"/>
        <v>0</v>
      </c>
      <c r="AS59" s="11" t="e">
        <f t="shared" si="28"/>
        <v>#DIV/0!</v>
      </c>
      <c r="AT59" s="11" t="e">
        <f t="shared" si="29"/>
        <v>#DIV/0!</v>
      </c>
      <c r="AU59" s="5" t="e">
        <f t="shared" si="30"/>
        <v>#DIV/0!</v>
      </c>
      <c r="AV59" s="5" t="e">
        <f t="shared" si="31"/>
        <v>#DIV/0!</v>
      </c>
      <c r="AW59" s="1" t="e">
        <f t="shared" si="32"/>
        <v>#DIV/0!</v>
      </c>
      <c r="AX59" s="1" t="e">
        <f t="shared" si="33"/>
        <v>#DIV/0!</v>
      </c>
      <c r="AY59" s="1" t="e">
        <f t="shared" si="34"/>
        <v>#DIV/0!</v>
      </c>
      <c r="AZ59" s="1" t="e">
        <f t="shared" si="35"/>
        <v>#DIV/0!</v>
      </c>
      <c r="BA59" s="1" t="e">
        <f t="shared" si="36"/>
        <v>#DIV/0!</v>
      </c>
      <c r="BB59" s="1" t="e">
        <f t="shared" si="37"/>
        <v>#DIV/0!</v>
      </c>
      <c r="BC59" s="1" t="e">
        <f t="shared" si="38"/>
        <v>#DIV/0!</v>
      </c>
      <c r="BD59" s="1" t="e">
        <f t="shared" si="39"/>
        <v>#DIV/0!</v>
      </c>
      <c r="BE59" s="1" t="e">
        <f t="shared" si="40"/>
        <v>#DIV/0!</v>
      </c>
      <c r="BF59" s="1" t="e">
        <f t="shared" si="41"/>
        <v>#DIV/0!</v>
      </c>
      <c r="BG59" s="1" t="e">
        <f t="shared" si="42"/>
        <v>#DIV/0!</v>
      </c>
      <c r="BH59" s="1" t="e">
        <f t="shared" si="43"/>
        <v>#DIV/0!</v>
      </c>
      <c r="BI59" s="1" t="e">
        <f t="shared" si="44"/>
        <v>#DIV/0!</v>
      </c>
      <c r="BJ59" s="1" t="e">
        <f t="shared" si="45"/>
        <v>#DIV/0!</v>
      </c>
      <c r="BK59" s="1" t="e">
        <f t="shared" si="46"/>
        <v>#DIV/0!</v>
      </c>
      <c r="BL59" s="1" t="e">
        <f t="shared" si="47"/>
        <v>#DIV/0!</v>
      </c>
      <c r="BM59" s="1" t="e">
        <f t="shared" si="48"/>
        <v>#DIV/0!</v>
      </c>
      <c r="BN59" s="1" t="e">
        <f t="shared" si="49"/>
        <v>#DIV/0!</v>
      </c>
      <c r="BP59" s="1" t="str">
        <f t="shared" si="50"/>
        <v>Drymill CCS Fermentation Exhaust</v>
      </c>
      <c r="BQ59" s="1" t="e">
        <f t="shared" si="51"/>
        <v>#DIV/0!</v>
      </c>
      <c r="BR59" s="1" t="e">
        <f t="shared" si="52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53"/>
        <v>#DIV/0!</v>
      </c>
      <c r="BU59" s="1" t="e">
        <f t="shared" si="54"/>
        <v>#DIV/0!</v>
      </c>
      <c r="BV59" s="1" t="e">
        <f t="shared" si="55"/>
        <v>#DIV/0!</v>
      </c>
      <c r="BW59" s="1" t="e">
        <f t="shared" si="56"/>
        <v>#DIV/0!</v>
      </c>
      <c r="BY59" s="9">
        <f t="shared" si="14"/>
        <v>3.1428571428571428</v>
      </c>
      <c r="BZ59" s="18">
        <f t="shared" si="15"/>
        <v>1.7588666580000001</v>
      </c>
      <c r="CA59" s="10">
        <v>0.1828908353</v>
      </c>
      <c r="CB59" s="9">
        <v>0.23037490999999999</v>
      </c>
      <c r="CD59" s="10" t="e">
        <f t="shared" si="16"/>
        <v>#DIV/0!</v>
      </c>
      <c r="CE59" s="10" t="e">
        <f t="shared" si="17"/>
        <v>#DIV/0!</v>
      </c>
      <c r="CF59" s="10" t="e">
        <f t="shared" si="18"/>
        <v>#DIV/0!</v>
      </c>
      <c r="CG59" s="10">
        <f t="shared" si="19"/>
        <v>0</v>
      </c>
      <c r="CH59" s="10" t="e">
        <f t="shared" si="20"/>
        <v>#DIV/0!</v>
      </c>
      <c r="CJ59" s="18" t="e">
        <f t="shared" si="21"/>
        <v>#DIV/0!</v>
      </c>
      <c r="CK59" s="18" t="e">
        <f t="shared" si="22"/>
        <v>#DIV/0!</v>
      </c>
      <c r="CL59" s="10">
        <f t="shared" si="23"/>
        <v>3.1428571428571428</v>
      </c>
      <c r="CM59" s="10" t="e">
        <f t="shared" si="24"/>
        <v>#DIV/0!</v>
      </c>
      <c r="CN59" s="10" t="e">
        <f t="shared" si="25"/>
        <v>#DIV/0!</v>
      </c>
      <c r="CP59" s="1" t="e">
        <f t="shared" si="26"/>
        <v>#DIV/0!</v>
      </c>
    </row>
    <row r="60" spans="2:94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 cm="1">
        <f t="array" ref="R60:AE60">_xlfn.XLOOKUP(D60, CR:CR, CS:DF)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57"/>
        <v>0</v>
      </c>
      <c r="AR60" s="1">
        <f t="shared" si="27"/>
        <v>0</v>
      </c>
      <c r="AS60" s="11" t="e">
        <f t="shared" si="28"/>
        <v>#DIV/0!</v>
      </c>
      <c r="AT60" s="11" t="e">
        <f t="shared" si="29"/>
        <v>#DIV/0!</v>
      </c>
      <c r="AU60" s="5" t="e">
        <f t="shared" si="30"/>
        <v>#DIV/0!</v>
      </c>
      <c r="AV60" s="5" t="e">
        <f t="shared" si="31"/>
        <v>#DIV/0!</v>
      </c>
      <c r="AW60" s="1" t="e">
        <f t="shared" si="32"/>
        <v>#DIV/0!</v>
      </c>
      <c r="AX60" s="1" t="e">
        <f t="shared" si="33"/>
        <v>#DIV/0!</v>
      </c>
      <c r="AY60" s="1" t="e">
        <f t="shared" si="34"/>
        <v>#DIV/0!</v>
      </c>
      <c r="AZ60" s="1" t="e">
        <f t="shared" si="35"/>
        <v>#DIV/0!</v>
      </c>
      <c r="BA60" s="1" t="e">
        <f t="shared" si="36"/>
        <v>#DIV/0!</v>
      </c>
      <c r="BB60" s="1" t="e">
        <f t="shared" si="37"/>
        <v>#DIV/0!</v>
      </c>
      <c r="BC60" s="1" t="e">
        <f t="shared" si="38"/>
        <v>#DIV/0!</v>
      </c>
      <c r="BD60" s="1" t="e">
        <f t="shared" si="39"/>
        <v>#DIV/0!</v>
      </c>
      <c r="BE60" s="1" t="e">
        <f t="shared" si="40"/>
        <v>#DIV/0!</v>
      </c>
      <c r="BF60" s="1" t="e">
        <f t="shared" si="41"/>
        <v>#DIV/0!</v>
      </c>
      <c r="BG60" s="1" t="e">
        <f t="shared" si="42"/>
        <v>#DIV/0!</v>
      </c>
      <c r="BH60" s="1" t="e">
        <f t="shared" si="43"/>
        <v>#DIV/0!</v>
      </c>
      <c r="BI60" s="1" t="e">
        <f t="shared" si="44"/>
        <v>#DIV/0!</v>
      </c>
      <c r="BJ60" s="1" t="e">
        <f t="shared" si="45"/>
        <v>#DIV/0!</v>
      </c>
      <c r="BK60" s="1" t="e">
        <f t="shared" si="46"/>
        <v>#DIV/0!</v>
      </c>
      <c r="BL60" s="1" t="e">
        <f t="shared" si="47"/>
        <v>#DIV/0!</v>
      </c>
      <c r="BM60" s="1" t="e">
        <f t="shared" si="48"/>
        <v>#DIV/0!</v>
      </c>
      <c r="BN60" s="1" t="e">
        <f t="shared" si="49"/>
        <v>#DIV/0!</v>
      </c>
      <c r="BP60" s="1" t="str">
        <f t="shared" si="50"/>
        <v>Drymill CCS Fermentation Exhaust</v>
      </c>
      <c r="BQ60" s="1" t="e">
        <f t="shared" si="51"/>
        <v>#DIV/0!</v>
      </c>
      <c r="BR60" s="1" t="e">
        <f t="shared" si="52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53"/>
        <v>#DIV/0!</v>
      </c>
      <c r="BU60" s="1" t="e">
        <f t="shared" si="54"/>
        <v>#DIV/0!</v>
      </c>
      <c r="BV60" s="1" t="e">
        <f t="shared" si="55"/>
        <v>#DIV/0!</v>
      </c>
      <c r="BW60" s="1" t="e">
        <f t="shared" si="56"/>
        <v>#DIV/0!</v>
      </c>
      <c r="BY60" s="9">
        <f t="shared" si="14"/>
        <v>3.1428571428571428</v>
      </c>
      <c r="BZ60" s="18">
        <f t="shared" si="15"/>
        <v>1.7588666580000001</v>
      </c>
      <c r="CA60" s="10">
        <v>0.1828908353</v>
      </c>
      <c r="CB60" s="9">
        <v>0.23037490999999999</v>
      </c>
      <c r="CD60" s="10" t="e">
        <f t="shared" si="16"/>
        <v>#DIV/0!</v>
      </c>
      <c r="CE60" s="10" t="e">
        <f t="shared" si="17"/>
        <v>#DIV/0!</v>
      </c>
      <c r="CF60" s="10" t="e">
        <f t="shared" si="18"/>
        <v>#DIV/0!</v>
      </c>
      <c r="CG60" s="10">
        <f t="shared" si="19"/>
        <v>0</v>
      </c>
      <c r="CH60" s="10" t="e">
        <f t="shared" si="20"/>
        <v>#DIV/0!</v>
      </c>
      <c r="CJ60" s="18" t="e">
        <f t="shared" si="21"/>
        <v>#DIV/0!</v>
      </c>
      <c r="CK60" s="18" t="e">
        <f t="shared" si="22"/>
        <v>#DIV/0!</v>
      </c>
      <c r="CL60" s="10">
        <f t="shared" si="23"/>
        <v>3.1428571428571428</v>
      </c>
      <c r="CM60" s="10" t="e">
        <f t="shared" si="24"/>
        <v>#DIV/0!</v>
      </c>
      <c r="CN60" s="10" t="e">
        <f t="shared" si="25"/>
        <v>#DIV/0!</v>
      </c>
      <c r="CP60" s="1" t="e">
        <f t="shared" si="26"/>
        <v>#DIV/0!</v>
      </c>
    </row>
    <row r="61" spans="2:94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 cm="1">
        <f t="array" ref="R61:AE61">_xlfn.XLOOKUP(D61, CR:CR, CS:DF)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57"/>
        <v>0</v>
      </c>
      <c r="AR61" s="1">
        <f t="shared" si="27"/>
        <v>0</v>
      </c>
      <c r="AS61" s="11" t="e">
        <f t="shared" si="28"/>
        <v>#DIV/0!</v>
      </c>
      <c r="AT61" s="11" t="e">
        <f t="shared" si="29"/>
        <v>#DIV/0!</v>
      </c>
      <c r="AU61" s="5" t="e">
        <f t="shared" si="30"/>
        <v>#DIV/0!</v>
      </c>
      <c r="AV61" s="5" t="e">
        <f t="shared" si="31"/>
        <v>#DIV/0!</v>
      </c>
      <c r="AW61" s="1" t="e">
        <f t="shared" si="32"/>
        <v>#DIV/0!</v>
      </c>
      <c r="AX61" s="1" t="e">
        <f t="shared" si="33"/>
        <v>#DIV/0!</v>
      </c>
      <c r="AY61" s="1" t="e">
        <f t="shared" si="34"/>
        <v>#DIV/0!</v>
      </c>
      <c r="AZ61" s="1" t="e">
        <f t="shared" si="35"/>
        <v>#DIV/0!</v>
      </c>
      <c r="BA61" s="1" t="e">
        <f t="shared" si="36"/>
        <v>#DIV/0!</v>
      </c>
      <c r="BB61" s="1" t="e">
        <f t="shared" si="37"/>
        <v>#DIV/0!</v>
      </c>
      <c r="BC61" s="1" t="e">
        <f t="shared" si="38"/>
        <v>#DIV/0!</v>
      </c>
      <c r="BD61" s="1" t="e">
        <f t="shared" si="39"/>
        <v>#DIV/0!</v>
      </c>
      <c r="BE61" s="1" t="e">
        <f t="shared" si="40"/>
        <v>#DIV/0!</v>
      </c>
      <c r="BF61" s="1" t="e">
        <f t="shared" si="41"/>
        <v>#DIV/0!</v>
      </c>
      <c r="BG61" s="1" t="e">
        <f t="shared" si="42"/>
        <v>#DIV/0!</v>
      </c>
      <c r="BH61" s="1" t="e">
        <f t="shared" si="43"/>
        <v>#DIV/0!</v>
      </c>
      <c r="BI61" s="1" t="e">
        <f t="shared" si="44"/>
        <v>#DIV/0!</v>
      </c>
      <c r="BJ61" s="1" t="e">
        <f t="shared" si="45"/>
        <v>#DIV/0!</v>
      </c>
      <c r="BK61" s="1" t="e">
        <f t="shared" si="46"/>
        <v>#DIV/0!</v>
      </c>
      <c r="BL61" s="1" t="e">
        <f t="shared" si="47"/>
        <v>#DIV/0!</v>
      </c>
      <c r="BM61" s="1" t="e">
        <f t="shared" si="48"/>
        <v>#DIV/0!</v>
      </c>
      <c r="BN61" s="1" t="e">
        <f t="shared" si="49"/>
        <v>#DIV/0!</v>
      </c>
      <c r="BP61" s="1" t="str">
        <f t="shared" si="50"/>
        <v>Drymill CCS Fermentation Exhaust</v>
      </c>
      <c r="BQ61" s="1" t="e">
        <f t="shared" si="51"/>
        <v>#DIV/0!</v>
      </c>
      <c r="BR61" s="1" t="e">
        <f t="shared" si="52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53"/>
        <v>#DIV/0!</v>
      </c>
      <c r="BU61" s="1" t="e">
        <f t="shared" si="54"/>
        <v>#DIV/0!</v>
      </c>
      <c r="BV61" s="1" t="e">
        <f t="shared" si="55"/>
        <v>#DIV/0!</v>
      </c>
      <c r="BW61" s="1" t="e">
        <f t="shared" si="56"/>
        <v>#DIV/0!</v>
      </c>
      <c r="BY61" s="9">
        <f t="shared" si="14"/>
        <v>3.1428571428571428</v>
      </c>
      <c r="BZ61" s="18">
        <f t="shared" si="15"/>
        <v>1.7588666580000001</v>
      </c>
      <c r="CA61" s="10">
        <v>0.1828908353</v>
      </c>
      <c r="CB61" s="9">
        <v>0.23037490999999999</v>
      </c>
      <c r="CD61" s="10" t="e">
        <f t="shared" si="16"/>
        <v>#DIV/0!</v>
      </c>
      <c r="CE61" s="10" t="e">
        <f t="shared" si="17"/>
        <v>#DIV/0!</v>
      </c>
      <c r="CF61" s="10" t="e">
        <f t="shared" si="18"/>
        <v>#DIV/0!</v>
      </c>
      <c r="CG61" s="10">
        <f t="shared" si="19"/>
        <v>0</v>
      </c>
      <c r="CH61" s="10" t="e">
        <f t="shared" si="20"/>
        <v>#DIV/0!</v>
      </c>
      <c r="CJ61" s="18" t="e">
        <f t="shared" si="21"/>
        <v>#DIV/0!</v>
      </c>
      <c r="CK61" s="18" t="e">
        <f t="shared" si="22"/>
        <v>#DIV/0!</v>
      </c>
      <c r="CL61" s="10">
        <f t="shared" si="23"/>
        <v>3.1428571428571428</v>
      </c>
      <c r="CM61" s="10" t="e">
        <f t="shared" si="24"/>
        <v>#DIV/0!</v>
      </c>
      <c r="CN61" s="10" t="e">
        <f t="shared" si="25"/>
        <v>#DIV/0!</v>
      </c>
      <c r="CP61" s="1" t="e">
        <f t="shared" si="26"/>
        <v>#DIV/0!</v>
      </c>
    </row>
    <row r="62" spans="2:94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 cm="1">
        <f t="array" ref="R62:AE62">_xlfn.XLOOKUP(D62, CR:CR, CS:DF)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57"/>
        <v>0</v>
      </c>
      <c r="AR62" s="1">
        <f t="shared" si="27"/>
        <v>0</v>
      </c>
      <c r="AS62" s="11" t="e">
        <f t="shared" si="28"/>
        <v>#DIV/0!</v>
      </c>
      <c r="AT62" s="11" t="e">
        <f t="shared" si="29"/>
        <v>#DIV/0!</v>
      </c>
      <c r="AU62" s="5" t="e">
        <f t="shared" si="30"/>
        <v>#DIV/0!</v>
      </c>
      <c r="AV62" s="5" t="e">
        <f t="shared" si="31"/>
        <v>#DIV/0!</v>
      </c>
      <c r="AW62" s="1" t="e">
        <f t="shared" si="32"/>
        <v>#DIV/0!</v>
      </c>
      <c r="AX62" s="1" t="e">
        <f t="shared" si="33"/>
        <v>#DIV/0!</v>
      </c>
      <c r="AY62" s="1" t="e">
        <f t="shared" si="34"/>
        <v>#DIV/0!</v>
      </c>
      <c r="AZ62" s="1" t="e">
        <f t="shared" si="35"/>
        <v>#DIV/0!</v>
      </c>
      <c r="BA62" s="1" t="e">
        <f t="shared" si="36"/>
        <v>#DIV/0!</v>
      </c>
      <c r="BB62" s="1" t="e">
        <f t="shared" si="37"/>
        <v>#DIV/0!</v>
      </c>
      <c r="BC62" s="1" t="e">
        <f t="shared" si="38"/>
        <v>#DIV/0!</v>
      </c>
      <c r="BD62" s="1" t="e">
        <f t="shared" si="39"/>
        <v>#DIV/0!</v>
      </c>
      <c r="BE62" s="1" t="e">
        <f t="shared" si="40"/>
        <v>#DIV/0!</v>
      </c>
      <c r="BF62" s="1" t="e">
        <f t="shared" si="41"/>
        <v>#DIV/0!</v>
      </c>
      <c r="BG62" s="1" t="e">
        <f t="shared" si="42"/>
        <v>#DIV/0!</v>
      </c>
      <c r="BH62" s="1" t="e">
        <f t="shared" si="43"/>
        <v>#DIV/0!</v>
      </c>
      <c r="BI62" s="1" t="e">
        <f t="shared" si="44"/>
        <v>#DIV/0!</v>
      </c>
      <c r="BJ62" s="1" t="e">
        <f t="shared" si="45"/>
        <v>#DIV/0!</v>
      </c>
      <c r="BK62" s="1" t="e">
        <f t="shared" si="46"/>
        <v>#DIV/0!</v>
      </c>
      <c r="BL62" s="1" t="e">
        <f t="shared" si="47"/>
        <v>#DIV/0!</v>
      </c>
      <c r="BM62" s="1" t="e">
        <f t="shared" si="48"/>
        <v>#DIV/0!</v>
      </c>
      <c r="BN62" s="1" t="e">
        <f t="shared" si="49"/>
        <v>#DIV/0!</v>
      </c>
      <c r="BP62" s="1" t="str">
        <f t="shared" si="50"/>
        <v>Drymill CCS Fermentation Exhaust</v>
      </c>
      <c r="BQ62" s="1" t="e">
        <f t="shared" si="51"/>
        <v>#DIV/0!</v>
      </c>
      <c r="BR62" s="1" t="e">
        <f t="shared" si="52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53"/>
        <v>#DIV/0!</v>
      </c>
      <c r="BU62" s="1" t="e">
        <f t="shared" si="54"/>
        <v>#DIV/0!</v>
      </c>
      <c r="BV62" s="1" t="e">
        <f t="shared" si="55"/>
        <v>#DIV/0!</v>
      </c>
      <c r="BW62" s="1" t="e">
        <f t="shared" si="56"/>
        <v>#DIV/0!</v>
      </c>
      <c r="BY62" s="9">
        <f t="shared" si="14"/>
        <v>3.1428571428571428</v>
      </c>
      <c r="BZ62" s="18">
        <f t="shared" si="15"/>
        <v>1.7588666580000001</v>
      </c>
      <c r="CA62" s="10">
        <v>0.1828908353</v>
      </c>
      <c r="CB62" s="9">
        <v>0.23037490999999999</v>
      </c>
      <c r="CD62" s="10" t="e">
        <f t="shared" si="16"/>
        <v>#DIV/0!</v>
      </c>
      <c r="CE62" s="10" t="e">
        <f t="shared" si="17"/>
        <v>#DIV/0!</v>
      </c>
      <c r="CF62" s="10" t="e">
        <f t="shared" si="18"/>
        <v>#DIV/0!</v>
      </c>
      <c r="CG62" s="10">
        <f t="shared" si="19"/>
        <v>0</v>
      </c>
      <c r="CH62" s="10" t="e">
        <f t="shared" si="20"/>
        <v>#DIV/0!</v>
      </c>
      <c r="CJ62" s="18" t="e">
        <f t="shared" si="21"/>
        <v>#DIV/0!</v>
      </c>
      <c r="CK62" s="18" t="e">
        <f t="shared" si="22"/>
        <v>#DIV/0!</v>
      </c>
      <c r="CL62" s="10">
        <f t="shared" si="23"/>
        <v>3.1428571428571428</v>
      </c>
      <c r="CM62" s="10" t="e">
        <f t="shared" si="24"/>
        <v>#DIV/0!</v>
      </c>
      <c r="CN62" s="10" t="e">
        <f t="shared" si="25"/>
        <v>#DIV/0!</v>
      </c>
      <c r="CP62" s="1" t="e">
        <f t="shared" si="26"/>
        <v>#DIV/0!</v>
      </c>
    </row>
    <row r="63" spans="2:94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 cm="1">
        <f t="array" ref="R63:AE63">_xlfn.XLOOKUP(D63, CR:CR, CS:DF)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57"/>
        <v>0</v>
      </c>
      <c r="AR63" s="1">
        <f t="shared" si="27"/>
        <v>0</v>
      </c>
      <c r="AS63" s="11" t="e">
        <f t="shared" si="28"/>
        <v>#DIV/0!</v>
      </c>
      <c r="AT63" s="11" t="e">
        <f t="shared" si="29"/>
        <v>#DIV/0!</v>
      </c>
      <c r="AU63" s="5" t="e">
        <f t="shared" si="30"/>
        <v>#DIV/0!</v>
      </c>
      <c r="AV63" s="5" t="e">
        <f t="shared" si="31"/>
        <v>#DIV/0!</v>
      </c>
      <c r="AW63" s="1" t="e">
        <f t="shared" si="32"/>
        <v>#DIV/0!</v>
      </c>
      <c r="AX63" s="1" t="e">
        <f t="shared" si="33"/>
        <v>#DIV/0!</v>
      </c>
      <c r="AY63" s="1" t="e">
        <f t="shared" si="34"/>
        <v>#DIV/0!</v>
      </c>
      <c r="AZ63" s="1" t="e">
        <f t="shared" si="35"/>
        <v>#DIV/0!</v>
      </c>
      <c r="BA63" s="1" t="e">
        <f t="shared" si="36"/>
        <v>#DIV/0!</v>
      </c>
      <c r="BB63" s="1" t="e">
        <f t="shared" si="37"/>
        <v>#DIV/0!</v>
      </c>
      <c r="BC63" s="1" t="e">
        <f t="shared" si="38"/>
        <v>#DIV/0!</v>
      </c>
      <c r="BD63" s="1" t="e">
        <f t="shared" si="39"/>
        <v>#DIV/0!</v>
      </c>
      <c r="BE63" s="1" t="e">
        <f t="shared" si="40"/>
        <v>#DIV/0!</v>
      </c>
      <c r="BF63" s="1" t="e">
        <f t="shared" si="41"/>
        <v>#DIV/0!</v>
      </c>
      <c r="BG63" s="1" t="e">
        <f t="shared" si="42"/>
        <v>#DIV/0!</v>
      </c>
      <c r="BH63" s="1" t="e">
        <f t="shared" si="43"/>
        <v>#DIV/0!</v>
      </c>
      <c r="BI63" s="1" t="e">
        <f t="shared" si="44"/>
        <v>#DIV/0!</v>
      </c>
      <c r="BJ63" s="1" t="e">
        <f t="shared" si="45"/>
        <v>#DIV/0!</v>
      </c>
      <c r="BK63" s="1" t="e">
        <f t="shared" si="46"/>
        <v>#DIV/0!</v>
      </c>
      <c r="BL63" s="1" t="e">
        <f t="shared" si="47"/>
        <v>#DIV/0!</v>
      </c>
      <c r="BM63" s="1" t="e">
        <f t="shared" si="48"/>
        <v>#DIV/0!</v>
      </c>
      <c r="BN63" s="1" t="e">
        <f t="shared" si="49"/>
        <v>#DIV/0!</v>
      </c>
      <c r="BP63" s="1" t="str">
        <f t="shared" si="50"/>
        <v>Drymill CCS Fermentation Exhaust</v>
      </c>
      <c r="BQ63" s="1" t="e">
        <f t="shared" si="51"/>
        <v>#DIV/0!</v>
      </c>
      <c r="BR63" s="1" t="e">
        <f t="shared" si="52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53"/>
        <v>#DIV/0!</v>
      </c>
      <c r="BU63" s="1" t="e">
        <f t="shared" si="54"/>
        <v>#DIV/0!</v>
      </c>
      <c r="BV63" s="1" t="e">
        <f t="shared" si="55"/>
        <v>#DIV/0!</v>
      </c>
      <c r="BW63" s="1" t="e">
        <f t="shared" si="56"/>
        <v>#DIV/0!</v>
      </c>
      <c r="BY63" s="9">
        <f t="shared" si="14"/>
        <v>3.1428571428571428</v>
      </c>
      <c r="BZ63" s="18">
        <f t="shared" si="15"/>
        <v>1.7588666580000001</v>
      </c>
      <c r="CA63" s="10">
        <v>0.1828908353</v>
      </c>
      <c r="CB63" s="9">
        <v>0.23037490999999999</v>
      </c>
      <c r="CD63" s="10" t="e">
        <f t="shared" si="16"/>
        <v>#DIV/0!</v>
      </c>
      <c r="CE63" s="10" t="e">
        <f t="shared" si="17"/>
        <v>#DIV/0!</v>
      </c>
      <c r="CF63" s="10" t="e">
        <f t="shared" si="18"/>
        <v>#DIV/0!</v>
      </c>
      <c r="CG63" s="10">
        <f t="shared" si="19"/>
        <v>0</v>
      </c>
      <c r="CH63" s="10" t="e">
        <f t="shared" si="20"/>
        <v>#DIV/0!</v>
      </c>
      <c r="CJ63" s="18" t="e">
        <f t="shared" si="21"/>
        <v>#DIV/0!</v>
      </c>
      <c r="CK63" s="18" t="e">
        <f t="shared" si="22"/>
        <v>#DIV/0!</v>
      </c>
      <c r="CL63" s="10">
        <f t="shared" si="23"/>
        <v>3.1428571428571428</v>
      </c>
      <c r="CM63" s="10" t="e">
        <f t="shared" si="24"/>
        <v>#DIV/0!</v>
      </c>
      <c r="CN63" s="10" t="e">
        <f t="shared" si="25"/>
        <v>#DIV/0!</v>
      </c>
      <c r="CP63" s="1" t="e">
        <f t="shared" si="26"/>
        <v>#DIV/0!</v>
      </c>
    </row>
    <row r="64" spans="2:94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 cm="1">
        <f t="array" ref="R64:AE64">_xlfn.XLOOKUP(D64, CR:CR, CS:DF)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57"/>
        <v>0</v>
      </c>
      <c r="AR64" s="1">
        <f t="shared" si="27"/>
        <v>0</v>
      </c>
      <c r="AS64" s="11" t="e">
        <f t="shared" si="28"/>
        <v>#DIV/0!</v>
      </c>
      <c r="AT64" s="11" t="e">
        <f t="shared" si="29"/>
        <v>#DIV/0!</v>
      </c>
      <c r="AU64" s="5" t="e">
        <f t="shared" si="30"/>
        <v>#DIV/0!</v>
      </c>
      <c r="AV64" s="5" t="e">
        <f t="shared" si="31"/>
        <v>#DIV/0!</v>
      </c>
      <c r="AW64" s="1" t="e">
        <f t="shared" si="32"/>
        <v>#DIV/0!</v>
      </c>
      <c r="AX64" s="1" t="e">
        <f t="shared" si="33"/>
        <v>#DIV/0!</v>
      </c>
      <c r="AY64" s="1" t="e">
        <f t="shared" si="34"/>
        <v>#DIV/0!</v>
      </c>
      <c r="AZ64" s="1" t="e">
        <f t="shared" si="35"/>
        <v>#DIV/0!</v>
      </c>
      <c r="BA64" s="1" t="e">
        <f t="shared" si="36"/>
        <v>#DIV/0!</v>
      </c>
      <c r="BB64" s="1" t="e">
        <f t="shared" si="37"/>
        <v>#DIV/0!</v>
      </c>
      <c r="BC64" s="1" t="e">
        <f t="shared" si="38"/>
        <v>#DIV/0!</v>
      </c>
      <c r="BD64" s="1" t="e">
        <f t="shared" si="39"/>
        <v>#DIV/0!</v>
      </c>
      <c r="BE64" s="1" t="e">
        <f t="shared" si="40"/>
        <v>#DIV/0!</v>
      </c>
      <c r="BF64" s="1" t="e">
        <f t="shared" si="41"/>
        <v>#DIV/0!</v>
      </c>
      <c r="BG64" s="1" t="e">
        <f t="shared" si="42"/>
        <v>#DIV/0!</v>
      </c>
      <c r="BH64" s="1" t="e">
        <f t="shared" si="43"/>
        <v>#DIV/0!</v>
      </c>
      <c r="BI64" s="1" t="e">
        <f t="shared" si="44"/>
        <v>#DIV/0!</v>
      </c>
      <c r="BJ64" s="1" t="e">
        <f t="shared" si="45"/>
        <v>#DIV/0!</v>
      </c>
      <c r="BK64" s="1" t="e">
        <f t="shared" si="46"/>
        <v>#DIV/0!</v>
      </c>
      <c r="BL64" s="1" t="e">
        <f t="shared" si="47"/>
        <v>#DIV/0!</v>
      </c>
      <c r="BM64" s="1" t="e">
        <f t="shared" si="48"/>
        <v>#DIV/0!</v>
      </c>
      <c r="BN64" s="1" t="e">
        <f t="shared" si="49"/>
        <v>#DIV/0!</v>
      </c>
      <c r="BP64" s="1" t="str">
        <f t="shared" si="50"/>
        <v>Drymill CCS Fermentation Exhaust</v>
      </c>
      <c r="BQ64" s="1" t="e">
        <f t="shared" si="51"/>
        <v>#DIV/0!</v>
      </c>
      <c r="BR64" s="1" t="e">
        <f t="shared" si="52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53"/>
        <v>#DIV/0!</v>
      </c>
      <c r="BU64" s="1" t="e">
        <f t="shared" si="54"/>
        <v>#DIV/0!</v>
      </c>
      <c r="BV64" s="1" t="e">
        <f t="shared" si="55"/>
        <v>#DIV/0!</v>
      </c>
      <c r="BW64" s="1" t="e">
        <f t="shared" si="56"/>
        <v>#DIV/0!</v>
      </c>
      <c r="BY64" s="9">
        <f t="shared" si="14"/>
        <v>3.1428571428571428</v>
      </c>
      <c r="BZ64" s="18">
        <f t="shared" si="15"/>
        <v>1.7588666580000001</v>
      </c>
      <c r="CA64" s="10">
        <v>0.1828908353</v>
      </c>
      <c r="CB64" s="9">
        <v>0.23037490999999999</v>
      </c>
      <c r="CD64" s="10" t="e">
        <f t="shared" si="16"/>
        <v>#DIV/0!</v>
      </c>
      <c r="CE64" s="10" t="e">
        <f t="shared" si="17"/>
        <v>#DIV/0!</v>
      </c>
      <c r="CF64" s="10" t="e">
        <f t="shared" si="18"/>
        <v>#DIV/0!</v>
      </c>
      <c r="CG64" s="10">
        <f t="shared" si="19"/>
        <v>0</v>
      </c>
      <c r="CH64" s="10" t="e">
        <f t="shared" si="20"/>
        <v>#DIV/0!</v>
      </c>
      <c r="CJ64" s="18" t="e">
        <f t="shared" si="21"/>
        <v>#DIV/0!</v>
      </c>
      <c r="CK64" s="18" t="e">
        <f t="shared" si="22"/>
        <v>#DIV/0!</v>
      </c>
      <c r="CL64" s="10">
        <f t="shared" si="23"/>
        <v>3.1428571428571428</v>
      </c>
      <c r="CM64" s="10" t="e">
        <f t="shared" si="24"/>
        <v>#DIV/0!</v>
      </c>
      <c r="CN64" s="10" t="e">
        <f t="shared" si="25"/>
        <v>#DIV/0!</v>
      </c>
      <c r="CP64" s="1" t="e">
        <f t="shared" si="26"/>
        <v>#DIV/0!</v>
      </c>
    </row>
    <row r="65" spans="2:94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 cm="1">
        <f t="array" ref="R65:AE65">_xlfn.XLOOKUP(D65, CR:CR, CS:DF)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57"/>
        <v>0</v>
      </c>
      <c r="AR65" s="1">
        <f t="shared" si="27"/>
        <v>0</v>
      </c>
      <c r="AS65" s="11" t="e">
        <f t="shared" si="28"/>
        <v>#DIV/0!</v>
      </c>
      <c r="AT65" s="11" t="e">
        <f t="shared" si="29"/>
        <v>#DIV/0!</v>
      </c>
      <c r="AU65" s="5" t="e">
        <f t="shared" si="30"/>
        <v>#DIV/0!</v>
      </c>
      <c r="AV65" s="5" t="e">
        <f t="shared" si="31"/>
        <v>#DIV/0!</v>
      </c>
      <c r="AW65" s="1" t="e">
        <f t="shared" si="32"/>
        <v>#DIV/0!</v>
      </c>
      <c r="AX65" s="1" t="e">
        <f t="shared" si="33"/>
        <v>#DIV/0!</v>
      </c>
      <c r="AY65" s="1" t="e">
        <f t="shared" si="34"/>
        <v>#DIV/0!</v>
      </c>
      <c r="AZ65" s="1" t="e">
        <f t="shared" si="35"/>
        <v>#DIV/0!</v>
      </c>
      <c r="BA65" s="1" t="e">
        <f t="shared" si="36"/>
        <v>#DIV/0!</v>
      </c>
      <c r="BB65" s="1" t="e">
        <f t="shared" si="37"/>
        <v>#DIV/0!</v>
      </c>
      <c r="BC65" s="1" t="e">
        <f t="shared" si="38"/>
        <v>#DIV/0!</v>
      </c>
      <c r="BD65" s="1" t="e">
        <f t="shared" si="39"/>
        <v>#DIV/0!</v>
      </c>
      <c r="BE65" s="1" t="e">
        <f t="shared" si="40"/>
        <v>#DIV/0!</v>
      </c>
      <c r="BF65" s="1" t="e">
        <f t="shared" si="41"/>
        <v>#DIV/0!</v>
      </c>
      <c r="BG65" s="1" t="e">
        <f t="shared" si="42"/>
        <v>#DIV/0!</v>
      </c>
      <c r="BH65" s="1" t="e">
        <f t="shared" si="43"/>
        <v>#DIV/0!</v>
      </c>
      <c r="BI65" s="1" t="e">
        <f t="shared" si="44"/>
        <v>#DIV/0!</v>
      </c>
      <c r="BJ65" s="1" t="e">
        <f t="shared" si="45"/>
        <v>#DIV/0!</v>
      </c>
      <c r="BK65" s="1" t="e">
        <f t="shared" si="46"/>
        <v>#DIV/0!</v>
      </c>
      <c r="BL65" s="1" t="e">
        <f t="shared" si="47"/>
        <v>#DIV/0!</v>
      </c>
      <c r="BM65" s="1" t="e">
        <f t="shared" si="48"/>
        <v>#DIV/0!</v>
      </c>
      <c r="BN65" s="1" t="e">
        <f t="shared" si="49"/>
        <v>#DIV/0!</v>
      </c>
      <c r="BP65" s="1" t="str">
        <f t="shared" si="50"/>
        <v>Drymill CCS Fermentation Exhaust</v>
      </c>
      <c r="BQ65" s="1" t="e">
        <f t="shared" si="51"/>
        <v>#DIV/0!</v>
      </c>
      <c r="BR65" s="1" t="e">
        <f t="shared" si="52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53"/>
        <v>#DIV/0!</v>
      </c>
      <c r="BU65" s="1" t="e">
        <f t="shared" si="54"/>
        <v>#DIV/0!</v>
      </c>
      <c r="BV65" s="1" t="e">
        <f t="shared" si="55"/>
        <v>#DIV/0!</v>
      </c>
      <c r="BW65" s="1" t="e">
        <f t="shared" si="56"/>
        <v>#DIV/0!</v>
      </c>
      <c r="BY65" s="9">
        <f t="shared" si="14"/>
        <v>3.1428571428571428</v>
      </c>
      <c r="BZ65" s="18">
        <f t="shared" si="15"/>
        <v>1.7588666580000001</v>
      </c>
      <c r="CA65" s="10">
        <v>0.1828908353</v>
      </c>
      <c r="CB65" s="9">
        <v>0.23037490999999999</v>
      </c>
      <c r="CD65" s="10" t="e">
        <f t="shared" si="16"/>
        <v>#DIV/0!</v>
      </c>
      <c r="CE65" s="10" t="e">
        <f t="shared" si="17"/>
        <v>#DIV/0!</v>
      </c>
      <c r="CF65" s="10" t="e">
        <f t="shared" si="18"/>
        <v>#DIV/0!</v>
      </c>
      <c r="CG65" s="10">
        <f t="shared" si="19"/>
        <v>0</v>
      </c>
      <c r="CH65" s="10" t="e">
        <f t="shared" si="20"/>
        <v>#DIV/0!</v>
      </c>
      <c r="CJ65" s="18" t="e">
        <f t="shared" si="21"/>
        <v>#DIV/0!</v>
      </c>
      <c r="CK65" s="18" t="e">
        <f t="shared" si="22"/>
        <v>#DIV/0!</v>
      </c>
      <c r="CL65" s="10">
        <f t="shared" si="23"/>
        <v>3.1428571428571428</v>
      </c>
      <c r="CM65" s="10" t="e">
        <f t="shared" si="24"/>
        <v>#DIV/0!</v>
      </c>
      <c r="CN65" s="10" t="e">
        <f t="shared" si="25"/>
        <v>#DIV/0!</v>
      </c>
      <c r="CP65" s="1" t="e">
        <f t="shared" si="26"/>
        <v>#DIV/0!</v>
      </c>
    </row>
    <row r="66" spans="2:94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 cm="1">
        <f t="array" ref="R66:AE66">_xlfn.XLOOKUP(D66, CR:CR, CS:DF)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57"/>
        <v>0</v>
      </c>
      <c r="AR66" s="1">
        <f t="shared" si="27"/>
        <v>0</v>
      </c>
      <c r="AS66" s="11" t="e">
        <f t="shared" si="28"/>
        <v>#DIV/0!</v>
      </c>
      <c r="AT66" s="11" t="e">
        <f t="shared" si="29"/>
        <v>#DIV/0!</v>
      </c>
      <c r="AU66" s="5" t="e">
        <f t="shared" si="30"/>
        <v>#DIV/0!</v>
      </c>
      <c r="AV66" s="5" t="e">
        <f t="shared" si="31"/>
        <v>#DIV/0!</v>
      </c>
      <c r="AW66" s="1" t="e">
        <f t="shared" si="32"/>
        <v>#DIV/0!</v>
      </c>
      <c r="AX66" s="1" t="e">
        <f t="shared" si="33"/>
        <v>#DIV/0!</v>
      </c>
      <c r="AY66" s="1" t="e">
        <f t="shared" si="34"/>
        <v>#DIV/0!</v>
      </c>
      <c r="AZ66" s="1" t="e">
        <f t="shared" si="35"/>
        <v>#DIV/0!</v>
      </c>
      <c r="BA66" s="1" t="e">
        <f t="shared" si="36"/>
        <v>#DIV/0!</v>
      </c>
      <c r="BB66" s="1" t="e">
        <f t="shared" si="37"/>
        <v>#DIV/0!</v>
      </c>
      <c r="BC66" s="1" t="e">
        <f t="shared" si="38"/>
        <v>#DIV/0!</v>
      </c>
      <c r="BD66" s="1" t="e">
        <f t="shared" si="39"/>
        <v>#DIV/0!</v>
      </c>
      <c r="BE66" s="1" t="e">
        <f t="shared" si="40"/>
        <v>#DIV/0!</v>
      </c>
      <c r="BF66" s="1" t="e">
        <f t="shared" si="41"/>
        <v>#DIV/0!</v>
      </c>
      <c r="BG66" s="1" t="e">
        <f t="shared" si="42"/>
        <v>#DIV/0!</v>
      </c>
      <c r="BH66" s="1" t="e">
        <f t="shared" si="43"/>
        <v>#DIV/0!</v>
      </c>
      <c r="BI66" s="1" t="e">
        <f t="shared" si="44"/>
        <v>#DIV/0!</v>
      </c>
      <c r="BJ66" s="1" t="e">
        <f t="shared" si="45"/>
        <v>#DIV/0!</v>
      </c>
      <c r="BK66" s="1" t="e">
        <f t="shared" si="46"/>
        <v>#DIV/0!</v>
      </c>
      <c r="BL66" s="1" t="e">
        <f t="shared" si="47"/>
        <v>#DIV/0!</v>
      </c>
      <c r="BM66" s="1" t="e">
        <f t="shared" si="48"/>
        <v>#DIV/0!</v>
      </c>
      <c r="BN66" s="1" t="e">
        <f t="shared" si="49"/>
        <v>#DIV/0!</v>
      </c>
      <c r="BP66" s="1" t="str">
        <f t="shared" si="50"/>
        <v>Drymill CCS Fermentation Exhaust</v>
      </c>
      <c r="BQ66" s="1" t="e">
        <f t="shared" si="51"/>
        <v>#DIV/0!</v>
      </c>
      <c r="BR66" s="1" t="e">
        <f t="shared" si="52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53"/>
        <v>#DIV/0!</v>
      </c>
      <c r="BU66" s="1" t="e">
        <f t="shared" si="54"/>
        <v>#DIV/0!</v>
      </c>
      <c r="BV66" s="1" t="e">
        <f t="shared" si="55"/>
        <v>#DIV/0!</v>
      </c>
      <c r="BW66" s="1" t="e">
        <f t="shared" si="56"/>
        <v>#DIV/0!</v>
      </c>
      <c r="BY66" s="9">
        <f t="shared" si="14"/>
        <v>3.1428571428571428</v>
      </c>
      <c r="BZ66" s="18">
        <f t="shared" si="15"/>
        <v>1.7588666580000001</v>
      </c>
      <c r="CA66" s="10">
        <v>0.1828908353</v>
      </c>
      <c r="CB66" s="9">
        <v>0.23037490999999999</v>
      </c>
      <c r="CD66" s="10" t="e">
        <f t="shared" si="16"/>
        <v>#DIV/0!</v>
      </c>
      <c r="CE66" s="10" t="e">
        <f t="shared" si="17"/>
        <v>#DIV/0!</v>
      </c>
      <c r="CF66" s="10" t="e">
        <f t="shared" si="18"/>
        <v>#DIV/0!</v>
      </c>
      <c r="CG66" s="10">
        <f t="shared" si="19"/>
        <v>0</v>
      </c>
      <c r="CH66" s="10" t="e">
        <f t="shared" si="20"/>
        <v>#DIV/0!</v>
      </c>
      <c r="CJ66" s="18" t="e">
        <f t="shared" si="21"/>
        <v>#DIV/0!</v>
      </c>
      <c r="CK66" s="18" t="e">
        <f t="shared" si="22"/>
        <v>#DIV/0!</v>
      </c>
      <c r="CL66" s="10">
        <f t="shared" si="23"/>
        <v>3.1428571428571428</v>
      </c>
      <c r="CM66" s="10" t="e">
        <f t="shared" si="24"/>
        <v>#DIV/0!</v>
      </c>
      <c r="CN66" s="10" t="e">
        <f t="shared" si="25"/>
        <v>#DIV/0!</v>
      </c>
      <c r="CP66" s="1" t="e">
        <f t="shared" si="26"/>
        <v>#DIV/0!</v>
      </c>
    </row>
    <row r="67" spans="2:94" x14ac:dyDescent="0.2">
      <c r="AS67" s="5"/>
      <c r="AT67" s="5"/>
      <c r="AU67" s="5"/>
      <c r="AV67" s="5"/>
      <c r="BY67" s="8"/>
      <c r="CA67" s="8"/>
      <c r="CB67" s="8"/>
    </row>
    <row r="68" spans="2:94" x14ac:dyDescent="0.2">
      <c r="AS68" s="5"/>
      <c r="AT68" s="5"/>
      <c r="AU68" s="5"/>
      <c r="AV68" s="5"/>
      <c r="BY68" s="8"/>
      <c r="CA68" s="8"/>
      <c r="CB68" s="8"/>
    </row>
    <row r="69" spans="2:94" x14ac:dyDescent="0.2">
      <c r="AS69" s="5"/>
      <c r="AT69" s="5"/>
      <c r="AU69" s="5"/>
      <c r="AV69" s="5"/>
      <c r="BY69" s="8"/>
      <c r="CA69" s="8"/>
      <c r="CB69" s="8"/>
    </row>
    <row r="70" spans="2:94" x14ac:dyDescent="0.2">
      <c r="AS70" s="5"/>
      <c r="AT70" s="5"/>
      <c r="AU70" s="5"/>
      <c r="AV70" s="5"/>
      <c r="BY70" s="8"/>
      <c r="CA70" s="8"/>
      <c r="CB70" s="8"/>
    </row>
    <row r="71" spans="2:94" x14ac:dyDescent="0.2">
      <c r="AS71" s="5"/>
      <c r="AT71" s="5"/>
      <c r="AU71" s="5"/>
      <c r="AV71" s="5"/>
      <c r="BY71" s="8"/>
      <c r="CA71" s="8"/>
      <c r="CB71" s="8"/>
    </row>
    <row r="72" spans="2:94" x14ac:dyDescent="0.2">
      <c r="AS72" s="5"/>
      <c r="AT72" s="5"/>
      <c r="AU72" s="5"/>
      <c r="AV72" s="5"/>
      <c r="BY72" s="8"/>
      <c r="CA72" s="8"/>
      <c r="CB72" s="8"/>
    </row>
    <row r="73" spans="2:94" x14ac:dyDescent="0.2">
      <c r="AS73" s="5"/>
      <c r="AT73" s="5"/>
      <c r="AU73" s="5"/>
      <c r="AV73" s="5"/>
      <c r="BY73" s="8"/>
      <c r="CA73" s="8"/>
      <c r="CB73" s="8"/>
    </row>
    <row r="74" spans="2:94" x14ac:dyDescent="0.2">
      <c r="AS74" s="5"/>
      <c r="AT74" s="5"/>
      <c r="AU74" s="5"/>
      <c r="AV74" s="5"/>
      <c r="BY74" s="8"/>
      <c r="CA74" s="8"/>
      <c r="CB74" s="8"/>
    </row>
    <row r="75" spans="2:94" x14ac:dyDescent="0.2">
      <c r="AS75" s="5"/>
      <c r="AT75" s="5"/>
      <c r="AU75" s="5"/>
      <c r="AV75" s="5"/>
      <c r="BY75" s="8"/>
      <c r="CA75" s="8"/>
      <c r="CB75" s="8"/>
    </row>
    <row r="76" spans="2:94" x14ac:dyDescent="0.2">
      <c r="AS76" s="5"/>
      <c r="AT76" s="5"/>
      <c r="AU76" s="5"/>
      <c r="AV76" s="5"/>
      <c r="BY76" s="8"/>
      <c r="CA76" s="8"/>
      <c r="CB76" s="8"/>
    </row>
    <row r="77" spans="2:94" x14ac:dyDescent="0.2">
      <c r="AS77" s="5"/>
      <c r="AT77" s="5"/>
      <c r="AU77" s="5"/>
      <c r="AV77" s="5"/>
      <c r="BY77" s="8"/>
      <c r="CA77" s="8"/>
      <c r="CB77" s="8"/>
    </row>
    <row r="78" spans="2:94" x14ac:dyDescent="0.2">
      <c r="AS78" s="5"/>
      <c r="AT78" s="5"/>
      <c r="AU78" s="5"/>
      <c r="AV78" s="5"/>
      <c r="BY78" s="8"/>
      <c r="CA78" s="8"/>
      <c r="CB78" s="8"/>
    </row>
    <row r="79" spans="2:94" x14ac:dyDescent="0.2">
      <c r="AS79" s="5"/>
      <c r="AT79" s="5"/>
      <c r="AU79" s="5"/>
      <c r="AV79" s="5"/>
      <c r="BY79" s="8"/>
      <c r="CA79" s="8"/>
      <c r="CB79" s="8"/>
    </row>
    <row r="80" spans="2:94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3"/>
  <sheetViews>
    <sheetView tabSelected="1" topLeftCell="J1" workbookViewId="0">
      <selection activeCell="S4" sqref="S4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  <col min="19" max="19" width="52" customWidth="1"/>
  </cols>
  <sheetData>
    <row r="1" spans="1:35" x14ac:dyDescent="0.2">
      <c r="A1" s="19" t="s">
        <v>87</v>
      </c>
      <c r="S1" s="19" t="s">
        <v>87</v>
      </c>
    </row>
    <row r="2" spans="1:35" ht="32" customHeight="1" x14ac:dyDescent="0.2">
      <c r="A2" s="20" t="s">
        <v>42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20" t="s">
        <v>52</v>
      </c>
      <c r="I2" s="20" t="s">
        <v>53</v>
      </c>
      <c r="J2" s="20" t="s">
        <v>54</v>
      </c>
      <c r="K2" s="20" t="s">
        <v>55</v>
      </c>
      <c r="L2" s="20" t="s">
        <v>56</v>
      </c>
      <c r="M2" s="20" t="s">
        <v>57</v>
      </c>
      <c r="N2" s="20" t="s">
        <v>58</v>
      </c>
      <c r="O2" s="21" t="s">
        <v>60</v>
      </c>
      <c r="P2" s="21" t="s">
        <v>61</v>
      </c>
      <c r="Q2" s="22" t="s">
        <v>44</v>
      </c>
      <c r="S2" s="20" t="s">
        <v>42</v>
      </c>
      <c r="T2" s="20" t="s">
        <v>46</v>
      </c>
      <c r="U2" s="20" t="s">
        <v>47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52</v>
      </c>
      <c r="AA2" s="20" t="s">
        <v>53</v>
      </c>
      <c r="AB2" s="20" t="s">
        <v>54</v>
      </c>
      <c r="AC2" s="20" t="s">
        <v>55</v>
      </c>
      <c r="AD2" s="20" t="s">
        <v>56</v>
      </c>
      <c r="AE2" s="20" t="s">
        <v>57</v>
      </c>
      <c r="AF2" s="20" t="s">
        <v>58</v>
      </c>
      <c r="AG2" s="21" t="s">
        <v>60</v>
      </c>
      <c r="AH2" s="21" t="s">
        <v>61</v>
      </c>
      <c r="AI2" s="22" t="s">
        <v>44</v>
      </c>
    </row>
    <row r="3" spans="1:35" x14ac:dyDescent="0.2">
      <c r="A3" t="str">
        <f>lc_detailed!AQ4</f>
        <v>NCEN_Ethanol_Dehydration_NGfuel</v>
      </c>
      <c r="B3" s="25">
        <f>lc_detailed!AV4</f>
        <v>0</v>
      </c>
      <c r="C3" s="25">
        <f>lc_detailed!AW4</f>
        <v>5.277701376988464</v>
      </c>
      <c r="D3" s="25">
        <f>lc_detailed!AX4</f>
        <v>8.9389265026015838</v>
      </c>
      <c r="E3" s="25">
        <f>lc_detailed!AY4</f>
        <v>0</v>
      </c>
      <c r="F3" s="25">
        <f>lc_detailed!AZ4</f>
        <v>708.74125202212304</v>
      </c>
      <c r="G3" s="25">
        <f>lc_detailed!BA4</f>
        <v>24.31889749231679</v>
      </c>
      <c r="H3" s="25">
        <f>lc_detailed!BB4</f>
        <v>69.293050880640109</v>
      </c>
      <c r="I3" s="25">
        <f>lc_detailed!BC4</f>
        <v>11.843235666463674</v>
      </c>
      <c r="J3" s="25">
        <f>lc_detailed!BD4</f>
        <v>8.8681928020199641E-5</v>
      </c>
      <c r="K3" s="25">
        <f>lc_detailed!BE4</f>
        <v>11.38621511864168</v>
      </c>
      <c r="L3" s="25">
        <f>lc_detailed!BF4</f>
        <v>1.8811318187915865E-5</v>
      </c>
      <c r="M3" s="25">
        <f>lc_detailed!BG4</f>
        <v>1.5799999994038241</v>
      </c>
      <c r="N3" s="25">
        <f>lc_detailed!BH4</f>
        <v>-115.59341194270499</v>
      </c>
      <c r="O3" s="25">
        <f>lc_detailed!BJ4</f>
        <v>-157.87623771256997</v>
      </c>
      <c r="P3" s="25">
        <f>lc_detailed!BK4</f>
        <v>-250.68516401947099</v>
      </c>
      <c r="Q3" s="25">
        <f>lc_detailed!AS4</f>
        <v>317.22457287767941</v>
      </c>
      <c r="R3" s="25"/>
      <c r="S3" t="str" cm="1">
        <f t="array" ref="S3:AI34">_xlfn._xlws.SORT(A3:Q34, 17, 1)</f>
        <v>NCEN_Ethanol_Dehydration_H2fuel</v>
      </c>
      <c r="T3">
        <v>21.04417908178743</v>
      </c>
      <c r="U3">
        <v>5.277701376988464</v>
      </c>
      <c r="V3">
        <v>8.9389265026015838</v>
      </c>
      <c r="W3">
        <v>0</v>
      </c>
      <c r="X3">
        <v>708.74125202212304</v>
      </c>
      <c r="Y3">
        <v>0</v>
      </c>
      <c r="Z3">
        <v>69.293050880640109</v>
      </c>
      <c r="AA3">
        <v>11.843235666463674</v>
      </c>
      <c r="AB3">
        <v>8.8681928020199641E-5</v>
      </c>
      <c r="AC3">
        <v>11.38621511864168</v>
      </c>
      <c r="AD3">
        <v>1.8811318187915865E-5</v>
      </c>
      <c r="AE3">
        <v>1.5799999994038241</v>
      </c>
      <c r="AF3">
        <v>-115.59341194270499</v>
      </c>
      <c r="AG3">
        <v>-157.87623771256997</v>
      </c>
      <c r="AH3">
        <v>-267.51460042975128</v>
      </c>
      <c r="AI3">
        <v>297.12041805686982</v>
      </c>
    </row>
    <row r="4" spans="1:35" x14ac:dyDescent="0.2">
      <c r="A4" t="str">
        <f>lc_detailed!AQ5</f>
        <v>NCEN_Ethanol_Dehydration_H2fuel</v>
      </c>
      <c r="B4" s="25">
        <f>lc_detailed!AV5</f>
        <v>21.04417908178743</v>
      </c>
      <c r="C4" s="25">
        <f>lc_detailed!AW5</f>
        <v>5.277701376988464</v>
      </c>
      <c r="D4" s="25">
        <f>lc_detailed!AX5</f>
        <v>8.9389265026015838</v>
      </c>
      <c r="E4" s="25">
        <f>lc_detailed!AY5</f>
        <v>0</v>
      </c>
      <c r="F4" s="25">
        <f>lc_detailed!AZ5</f>
        <v>708.74125202212304</v>
      </c>
      <c r="G4" s="25">
        <f>lc_detailed!BA5</f>
        <v>0</v>
      </c>
      <c r="H4" s="25">
        <f>lc_detailed!BB5</f>
        <v>69.293050880640109</v>
      </c>
      <c r="I4" s="25">
        <f>lc_detailed!BC5</f>
        <v>11.843235666463674</v>
      </c>
      <c r="J4" s="25">
        <f>lc_detailed!BD5</f>
        <v>8.8681928020199641E-5</v>
      </c>
      <c r="K4" s="25">
        <f>lc_detailed!BE5</f>
        <v>11.38621511864168</v>
      </c>
      <c r="L4" s="25">
        <f>lc_detailed!BF5</f>
        <v>1.8811318187915865E-5</v>
      </c>
      <c r="M4" s="25">
        <f>lc_detailed!BG5</f>
        <v>1.5799999994038241</v>
      </c>
      <c r="N4" s="25">
        <f>lc_detailed!BH5</f>
        <v>-115.59341194270499</v>
      </c>
      <c r="O4" s="25">
        <f>lc_detailed!BJ5</f>
        <v>-157.87623771256997</v>
      </c>
      <c r="P4" s="25">
        <f>lc_detailed!BK5</f>
        <v>-267.51460042975128</v>
      </c>
      <c r="Q4" s="25">
        <f>lc_detailed!AS5</f>
        <v>297.12041805686982</v>
      </c>
      <c r="R4" s="25"/>
      <c r="S4" t="str">
        <v>CEN_Ethanol_Dehydration_H2fuel</v>
      </c>
      <c r="T4">
        <v>21.185416959553866</v>
      </c>
      <c r="U4">
        <v>5.1759687177694103</v>
      </c>
      <c r="V4">
        <v>8.7666202846639099</v>
      </c>
      <c r="W4">
        <v>0</v>
      </c>
      <c r="X4">
        <v>708.74125202212304</v>
      </c>
      <c r="Y4">
        <v>0</v>
      </c>
      <c r="Z4">
        <v>69.723395098262856</v>
      </c>
      <c r="AA4">
        <v>11.843235666463674</v>
      </c>
      <c r="AB4">
        <v>8.8681928020199641E-5</v>
      </c>
      <c r="AC4">
        <v>11.38621511864168</v>
      </c>
      <c r="AD4">
        <v>1.8811318187915865E-5</v>
      </c>
      <c r="AE4">
        <v>1.5799999994038241</v>
      </c>
      <c r="AF4">
        <v>-115.59341194270499</v>
      </c>
      <c r="AG4">
        <v>-157.63823800117009</v>
      </c>
      <c r="AH4">
        <v>-267.51460042975128</v>
      </c>
      <c r="AI4">
        <v>297.65596098650207</v>
      </c>
    </row>
    <row r="5" spans="1:35" x14ac:dyDescent="0.2">
      <c r="A5" t="str">
        <f>lc_detailed!AQ6</f>
        <v>CEN_Ethanol_Dehydration_NGfuel</v>
      </c>
      <c r="B5" s="25">
        <f>lc_detailed!AV6</f>
        <v>0</v>
      </c>
      <c r="C5" s="25">
        <f>lc_detailed!AW6</f>
        <v>5.1759687177694103</v>
      </c>
      <c r="D5" s="25">
        <f>lc_detailed!AX6</f>
        <v>8.7666202846639099</v>
      </c>
      <c r="E5" s="25">
        <f>lc_detailed!AY6</f>
        <v>0</v>
      </c>
      <c r="F5" s="25">
        <f>lc_detailed!AZ6</f>
        <v>708.74125202212304</v>
      </c>
      <c r="G5" s="25">
        <f>lc_detailed!BA6</f>
        <v>24.469929908724691</v>
      </c>
      <c r="H5" s="25">
        <f>lc_detailed!BB6</f>
        <v>69.723395098262856</v>
      </c>
      <c r="I5" s="25">
        <f>lc_detailed!BC6</f>
        <v>11.843235666463674</v>
      </c>
      <c r="J5" s="25">
        <f>lc_detailed!BD6</f>
        <v>8.8681928020199641E-5</v>
      </c>
      <c r="K5" s="25">
        <f>lc_detailed!BE6</f>
        <v>11.38621511864168</v>
      </c>
      <c r="L5" s="25">
        <f>lc_detailed!BF6</f>
        <v>1.8811318187915865E-5</v>
      </c>
      <c r="M5" s="25">
        <f>lc_detailed!BG6</f>
        <v>1.5799999994038241</v>
      </c>
      <c r="N5" s="25">
        <f>lc_detailed!BH6</f>
        <v>-115.59341194270499</v>
      </c>
      <c r="O5" s="25">
        <f>lc_detailed!BJ6</f>
        <v>-157.63823800117009</v>
      </c>
      <c r="P5" s="25">
        <f>lc_detailed!BK6</f>
        <v>-250.68516401947099</v>
      </c>
      <c r="Q5" s="25">
        <f>lc_detailed!AS6</f>
        <v>317.76991034595324</v>
      </c>
      <c r="R5" s="25"/>
      <c r="S5" t="str">
        <v>NCEN_Ethanol_Dehydration_NGfuel</v>
      </c>
      <c r="T5">
        <v>0</v>
      </c>
      <c r="U5">
        <v>5.277701376988464</v>
      </c>
      <c r="V5">
        <v>8.9389265026015838</v>
      </c>
      <c r="W5">
        <v>0</v>
      </c>
      <c r="X5">
        <v>708.74125202212304</v>
      </c>
      <c r="Y5">
        <v>24.31889749231679</v>
      </c>
      <c r="Z5">
        <v>69.293050880640109</v>
      </c>
      <c r="AA5">
        <v>11.843235666463674</v>
      </c>
      <c r="AB5">
        <v>8.8681928020199641E-5</v>
      </c>
      <c r="AC5">
        <v>11.38621511864168</v>
      </c>
      <c r="AD5">
        <v>1.8811318187915865E-5</v>
      </c>
      <c r="AE5">
        <v>1.5799999994038241</v>
      </c>
      <c r="AF5">
        <v>-115.59341194270499</v>
      </c>
      <c r="AG5">
        <v>-157.87623771256997</v>
      </c>
      <c r="AH5">
        <v>-250.68516401947099</v>
      </c>
      <c r="AI5">
        <v>317.22457287767941</v>
      </c>
    </row>
    <row r="6" spans="1:35" x14ac:dyDescent="0.2">
      <c r="A6" t="str">
        <f>lc_detailed!AQ7</f>
        <v>CEN_Ethanol_Dehydration_H2fuel</v>
      </c>
      <c r="B6" s="25">
        <f>lc_detailed!AV7</f>
        <v>21.185416959553866</v>
      </c>
      <c r="C6" s="25">
        <f>lc_detailed!AW7</f>
        <v>5.1759687177694103</v>
      </c>
      <c r="D6" s="25">
        <f>lc_detailed!AX7</f>
        <v>8.7666202846639099</v>
      </c>
      <c r="E6" s="25">
        <f>lc_detailed!AY7</f>
        <v>0</v>
      </c>
      <c r="F6" s="25">
        <f>lc_detailed!AZ7</f>
        <v>708.74125202212304</v>
      </c>
      <c r="G6" s="25">
        <f>lc_detailed!BA7</f>
        <v>0</v>
      </c>
      <c r="H6" s="25">
        <f>lc_detailed!BB7</f>
        <v>69.723395098262856</v>
      </c>
      <c r="I6" s="25">
        <f>lc_detailed!BC7</f>
        <v>11.843235666463674</v>
      </c>
      <c r="J6" s="25">
        <f>lc_detailed!BD7</f>
        <v>8.8681928020199641E-5</v>
      </c>
      <c r="K6" s="25">
        <f>lc_detailed!BE7</f>
        <v>11.38621511864168</v>
      </c>
      <c r="L6" s="25">
        <f>lc_detailed!BF7</f>
        <v>1.8811318187915865E-5</v>
      </c>
      <c r="M6" s="25">
        <f>lc_detailed!BG7</f>
        <v>1.5799999994038241</v>
      </c>
      <c r="N6" s="25">
        <f>lc_detailed!BH7</f>
        <v>-115.59341194270499</v>
      </c>
      <c r="O6" s="25">
        <f>lc_detailed!BJ7</f>
        <v>-157.63823800117009</v>
      </c>
      <c r="P6" s="25">
        <f>lc_detailed!BK7</f>
        <v>-267.51460042975128</v>
      </c>
      <c r="Q6" s="25">
        <f>lc_detailed!AS7</f>
        <v>297.65596098650207</v>
      </c>
      <c r="R6" s="25"/>
      <c r="S6" t="str">
        <v>CEN_Ethanol_Dehydration_NGfuel</v>
      </c>
      <c r="T6">
        <v>0</v>
      </c>
      <c r="U6">
        <v>5.1759687177694103</v>
      </c>
      <c r="V6">
        <v>8.7666202846639099</v>
      </c>
      <c r="W6">
        <v>0</v>
      </c>
      <c r="X6">
        <v>708.74125202212304</v>
      </c>
      <c r="Y6">
        <v>24.469929908724691</v>
      </c>
      <c r="Z6">
        <v>69.723395098262856</v>
      </c>
      <c r="AA6">
        <v>11.843235666463674</v>
      </c>
      <c r="AB6">
        <v>8.8681928020199641E-5</v>
      </c>
      <c r="AC6">
        <v>11.38621511864168</v>
      </c>
      <c r="AD6">
        <v>1.8811318187915865E-5</v>
      </c>
      <c r="AE6">
        <v>1.5799999994038241</v>
      </c>
      <c r="AF6">
        <v>-115.59341194270499</v>
      </c>
      <c r="AG6">
        <v>-157.63823800117009</v>
      </c>
      <c r="AH6">
        <v>-250.68516401947099</v>
      </c>
      <c r="AI6">
        <v>317.76991034595324</v>
      </c>
    </row>
    <row r="7" spans="1:35" x14ac:dyDescent="0.2">
      <c r="A7">
        <f>lc_detailed!AQ8</f>
        <v>0</v>
      </c>
      <c r="B7" s="25" t="e">
        <f>lc_detailed!AV8</f>
        <v>#DIV/0!</v>
      </c>
      <c r="C7" s="25" t="e">
        <f>lc_detailed!AW8</f>
        <v>#DIV/0!</v>
      </c>
      <c r="D7" s="25" t="e">
        <f>lc_detailed!AX8</f>
        <v>#DIV/0!</v>
      </c>
      <c r="E7" s="25" t="e">
        <f>lc_detailed!AY8</f>
        <v>#DIV/0!</v>
      </c>
      <c r="F7" s="25" t="e">
        <f>lc_detailed!AZ8</f>
        <v>#DIV/0!</v>
      </c>
      <c r="G7" s="25" t="e">
        <f>lc_detailed!BA8</f>
        <v>#DIV/0!</v>
      </c>
      <c r="H7" s="25" t="e">
        <f>lc_detailed!BB8</f>
        <v>#DIV/0!</v>
      </c>
      <c r="I7" s="25" t="e">
        <f>lc_detailed!BC8</f>
        <v>#DIV/0!</v>
      </c>
      <c r="J7" s="25" t="e">
        <f>lc_detailed!BD8</f>
        <v>#DIV/0!</v>
      </c>
      <c r="K7" s="25" t="e">
        <f>lc_detailed!BE8</f>
        <v>#DIV/0!</v>
      </c>
      <c r="L7" s="25" t="e">
        <f>lc_detailed!BF8</f>
        <v>#DIV/0!</v>
      </c>
      <c r="M7" s="25" t="e">
        <f>lc_detailed!BG8</f>
        <v>#DIV/0!</v>
      </c>
      <c r="N7" s="25" t="e">
        <f>lc_detailed!BH8</f>
        <v>#DIV/0!</v>
      </c>
      <c r="O7" s="25" t="e">
        <f>lc_detailed!BJ8</f>
        <v>#DIV/0!</v>
      </c>
      <c r="P7" s="25" t="e">
        <f>lc_detailed!BK8</f>
        <v>#DIV/0!</v>
      </c>
      <c r="Q7" s="25" t="e">
        <f>lc_detailed!AS8</f>
        <v>#DIV/0!</v>
      </c>
      <c r="R7" s="25"/>
      <c r="S7">
        <v>0</v>
      </c>
      <c r="T7" t="e">
        <v>#DIV/0!</v>
      </c>
      <c r="U7" t="e">
        <v>#DIV/0!</v>
      </c>
      <c r="V7" t="e">
        <v>#DIV/0!</v>
      </c>
      <c r="W7" t="e">
        <v>#DIV/0!</v>
      </c>
      <c r="X7" t="e">
        <v>#DIV/0!</v>
      </c>
      <c r="Y7" t="e">
        <v>#DIV/0!</v>
      </c>
      <c r="Z7" t="e">
        <v>#DIV/0!</v>
      </c>
      <c r="AA7" t="e">
        <v>#DIV/0!</v>
      </c>
      <c r="AB7" t="e">
        <v>#DIV/0!</v>
      </c>
      <c r="AC7" t="e">
        <v>#DIV/0!</v>
      </c>
      <c r="AD7" t="e">
        <v>#DIV/0!</v>
      </c>
      <c r="AE7" t="e">
        <v>#DIV/0!</v>
      </c>
      <c r="AF7" t="e">
        <v>#DIV/0!</v>
      </c>
      <c r="AG7" t="e">
        <v>#DIV/0!</v>
      </c>
      <c r="AH7" t="e">
        <v>#DIV/0!</v>
      </c>
      <c r="AI7" t="e">
        <v>#DIV/0!</v>
      </c>
    </row>
    <row r="8" spans="1:35" x14ac:dyDescent="0.2">
      <c r="A8">
        <f>lc_detailed!AQ9</f>
        <v>0</v>
      </c>
      <c r="B8" s="25" t="e">
        <f>lc_detailed!AV9</f>
        <v>#DIV/0!</v>
      </c>
      <c r="C8" s="25" t="e">
        <f>lc_detailed!AW9</f>
        <v>#DIV/0!</v>
      </c>
      <c r="D8" s="25" t="e">
        <f>lc_detailed!AX9</f>
        <v>#DIV/0!</v>
      </c>
      <c r="E8" s="25" t="e">
        <f>lc_detailed!AY9</f>
        <v>#DIV/0!</v>
      </c>
      <c r="F8" s="25" t="e">
        <f>lc_detailed!AZ9</f>
        <v>#DIV/0!</v>
      </c>
      <c r="G8" s="25" t="e">
        <f>lc_detailed!BA9</f>
        <v>#DIV/0!</v>
      </c>
      <c r="H8" s="25" t="e">
        <f>lc_detailed!BB9</f>
        <v>#DIV/0!</v>
      </c>
      <c r="I8" s="25" t="e">
        <f>lc_detailed!BC9</f>
        <v>#DIV/0!</v>
      </c>
      <c r="J8" s="25" t="e">
        <f>lc_detailed!BD9</f>
        <v>#DIV/0!</v>
      </c>
      <c r="K8" s="25" t="e">
        <f>lc_detailed!BE9</f>
        <v>#DIV/0!</v>
      </c>
      <c r="L8" s="25" t="e">
        <f>lc_detailed!BF9</f>
        <v>#DIV/0!</v>
      </c>
      <c r="M8" s="25" t="e">
        <f>lc_detailed!BG9</f>
        <v>#DIV/0!</v>
      </c>
      <c r="N8" s="25" t="e">
        <f>lc_detailed!BH9</f>
        <v>#DIV/0!</v>
      </c>
      <c r="O8" s="25" t="e">
        <f>lc_detailed!BJ9</f>
        <v>#DIV/0!</v>
      </c>
      <c r="P8" s="25" t="e">
        <f>lc_detailed!BK9</f>
        <v>#DIV/0!</v>
      </c>
      <c r="Q8" s="25" t="e">
        <f>lc_detailed!AS9</f>
        <v>#DIV/0!</v>
      </c>
      <c r="R8" s="25"/>
      <c r="S8">
        <v>0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 t="e">
        <v>#DIV/0!</v>
      </c>
      <c r="AC8" t="e">
        <v>#DIV/0!</v>
      </c>
      <c r="AD8" t="e">
        <v>#DIV/0!</v>
      </c>
      <c r="AE8" t="e">
        <v>#DIV/0!</v>
      </c>
      <c r="AF8" t="e">
        <v>#DIV/0!</v>
      </c>
      <c r="AG8" t="e">
        <v>#DIV/0!</v>
      </c>
      <c r="AH8" t="e">
        <v>#DIV/0!</v>
      </c>
      <c r="AI8" t="e">
        <v>#DIV/0!</v>
      </c>
    </row>
    <row r="9" spans="1:35" x14ac:dyDescent="0.2">
      <c r="A9">
        <f>lc_detailed!AQ10</f>
        <v>0</v>
      </c>
      <c r="B9" s="25" t="e">
        <f>lc_detailed!AV10</f>
        <v>#DIV/0!</v>
      </c>
      <c r="C9" s="25" t="e">
        <f>lc_detailed!AW10</f>
        <v>#DIV/0!</v>
      </c>
      <c r="D9" s="25" t="e">
        <f>lc_detailed!AX10</f>
        <v>#DIV/0!</v>
      </c>
      <c r="E9" s="25" t="e">
        <f>lc_detailed!AY10</f>
        <v>#DIV/0!</v>
      </c>
      <c r="F9" s="25" t="e">
        <f>lc_detailed!AZ10</f>
        <v>#DIV/0!</v>
      </c>
      <c r="G9" s="25" t="e">
        <f>lc_detailed!BA10</f>
        <v>#DIV/0!</v>
      </c>
      <c r="H9" s="25" t="e">
        <f>lc_detailed!BB10</f>
        <v>#DIV/0!</v>
      </c>
      <c r="I9" s="25" t="e">
        <f>lc_detailed!BC10</f>
        <v>#DIV/0!</v>
      </c>
      <c r="J9" s="25" t="e">
        <f>lc_detailed!BD10</f>
        <v>#DIV/0!</v>
      </c>
      <c r="K9" s="25" t="e">
        <f>lc_detailed!BE10</f>
        <v>#DIV/0!</v>
      </c>
      <c r="L9" s="25" t="e">
        <f>lc_detailed!BF10</f>
        <v>#DIV/0!</v>
      </c>
      <c r="M9" s="25" t="e">
        <f>lc_detailed!BG10</f>
        <v>#DIV/0!</v>
      </c>
      <c r="N9" s="25" t="e">
        <f>lc_detailed!BH10</f>
        <v>#DIV/0!</v>
      </c>
      <c r="O9" s="25" t="e">
        <f>lc_detailed!BJ10</f>
        <v>#DIV/0!</v>
      </c>
      <c r="P9" s="25" t="e">
        <f>lc_detailed!BK10</f>
        <v>#DIV/0!</v>
      </c>
      <c r="Q9" s="25" t="e">
        <f>lc_detailed!AS10</f>
        <v>#DIV/0!</v>
      </c>
      <c r="R9" s="25"/>
      <c r="S9">
        <v>0</v>
      </c>
      <c r="T9" t="e">
        <v>#DIV/0!</v>
      </c>
      <c r="U9" t="e">
        <v>#DIV/0!</v>
      </c>
      <c r="V9" t="e">
        <v>#DIV/0!</v>
      </c>
      <c r="W9" t="e">
        <v>#DIV/0!</v>
      </c>
      <c r="X9" t="e">
        <v>#DIV/0!</v>
      </c>
      <c r="Y9" t="e">
        <v>#DIV/0!</v>
      </c>
      <c r="Z9" t="e">
        <v>#DIV/0!</v>
      </c>
      <c r="AA9" t="e">
        <v>#DIV/0!</v>
      </c>
      <c r="AB9" t="e">
        <v>#DIV/0!</v>
      </c>
      <c r="AC9" t="e">
        <v>#DIV/0!</v>
      </c>
      <c r="AD9" t="e">
        <v>#DIV/0!</v>
      </c>
      <c r="AE9" t="e">
        <v>#DIV/0!</v>
      </c>
      <c r="AF9" t="e">
        <v>#DIV/0!</v>
      </c>
      <c r="AG9" t="e">
        <v>#DIV/0!</v>
      </c>
      <c r="AH9" t="e">
        <v>#DIV/0!</v>
      </c>
      <c r="AI9" t="e">
        <v>#DIV/0!</v>
      </c>
    </row>
    <row r="10" spans="1:35" x14ac:dyDescent="0.2">
      <c r="A10">
        <f>lc_detailed!AQ11</f>
        <v>0</v>
      </c>
      <c r="B10" s="25" t="e">
        <f>lc_detailed!AV11</f>
        <v>#DIV/0!</v>
      </c>
      <c r="C10" s="25" t="e">
        <f>lc_detailed!AW11</f>
        <v>#DIV/0!</v>
      </c>
      <c r="D10" s="25" t="e">
        <f>lc_detailed!AX11</f>
        <v>#DIV/0!</v>
      </c>
      <c r="E10" s="25" t="e">
        <f>lc_detailed!AY11</f>
        <v>#DIV/0!</v>
      </c>
      <c r="F10" s="25" t="e">
        <f>lc_detailed!AZ11</f>
        <v>#DIV/0!</v>
      </c>
      <c r="G10" s="25" t="e">
        <f>lc_detailed!BA11</f>
        <v>#DIV/0!</v>
      </c>
      <c r="H10" s="25" t="e">
        <f>lc_detailed!BB11</f>
        <v>#DIV/0!</v>
      </c>
      <c r="I10" s="25" t="e">
        <f>lc_detailed!BC11</f>
        <v>#DIV/0!</v>
      </c>
      <c r="J10" s="25" t="e">
        <f>lc_detailed!BD11</f>
        <v>#DIV/0!</v>
      </c>
      <c r="K10" s="25" t="e">
        <f>lc_detailed!BE11</f>
        <v>#DIV/0!</v>
      </c>
      <c r="L10" s="25" t="e">
        <f>lc_detailed!BF11</f>
        <v>#DIV/0!</v>
      </c>
      <c r="M10" s="25" t="e">
        <f>lc_detailed!BG11</f>
        <v>#DIV/0!</v>
      </c>
      <c r="N10" s="25" t="e">
        <f>lc_detailed!BH11</f>
        <v>#DIV/0!</v>
      </c>
      <c r="O10" s="25" t="e">
        <f>lc_detailed!BJ11</f>
        <v>#DIV/0!</v>
      </c>
      <c r="P10" s="25" t="e">
        <f>lc_detailed!BK11</f>
        <v>#DIV/0!</v>
      </c>
      <c r="Q10" s="25" t="e">
        <f>lc_detailed!AS11</f>
        <v>#DIV/0!</v>
      </c>
      <c r="R10" s="25"/>
      <c r="S10">
        <v>0</v>
      </c>
      <c r="T10" t="e">
        <v>#DIV/0!</v>
      </c>
      <c r="U10" t="e">
        <v>#DIV/0!</v>
      </c>
      <c r="V10" t="e">
        <v>#DIV/0!</v>
      </c>
      <c r="W10" t="e">
        <v>#DIV/0!</v>
      </c>
      <c r="X10" t="e">
        <v>#DIV/0!</v>
      </c>
      <c r="Y10" t="e">
        <v>#DIV/0!</v>
      </c>
      <c r="Z10" t="e">
        <v>#DIV/0!</v>
      </c>
      <c r="AA10" t="e">
        <v>#DIV/0!</v>
      </c>
      <c r="AB10" t="e">
        <v>#DIV/0!</v>
      </c>
      <c r="AC10" t="e">
        <v>#DIV/0!</v>
      </c>
      <c r="AD10" t="e">
        <v>#DIV/0!</v>
      </c>
      <c r="AE10" t="e">
        <v>#DIV/0!</v>
      </c>
      <c r="AF10" t="e">
        <v>#DIV/0!</v>
      </c>
      <c r="AG10" t="e">
        <v>#DIV/0!</v>
      </c>
      <c r="AH10" t="e">
        <v>#DIV/0!</v>
      </c>
      <c r="AI10" t="e">
        <v>#DIV/0!</v>
      </c>
    </row>
    <row r="11" spans="1:35" x14ac:dyDescent="0.2">
      <c r="A11">
        <f>lc_detailed!AQ12</f>
        <v>0</v>
      </c>
      <c r="B11" s="25" t="e">
        <f>lc_detailed!AV12</f>
        <v>#DIV/0!</v>
      </c>
      <c r="C11" s="25" t="e">
        <f>lc_detailed!AW12</f>
        <v>#DIV/0!</v>
      </c>
      <c r="D11" s="25" t="e">
        <f>lc_detailed!AX12</f>
        <v>#DIV/0!</v>
      </c>
      <c r="E11" s="25" t="e">
        <f>lc_detailed!AY12</f>
        <v>#DIV/0!</v>
      </c>
      <c r="F11" s="25" t="e">
        <f>lc_detailed!AZ12</f>
        <v>#DIV/0!</v>
      </c>
      <c r="G11" s="25" t="e">
        <f>lc_detailed!BA12</f>
        <v>#DIV/0!</v>
      </c>
      <c r="H11" s="25" t="e">
        <f>lc_detailed!BB12</f>
        <v>#DIV/0!</v>
      </c>
      <c r="I11" s="25" t="e">
        <f>lc_detailed!BC12</f>
        <v>#DIV/0!</v>
      </c>
      <c r="J11" s="25" t="e">
        <f>lc_detailed!BD12</f>
        <v>#DIV/0!</v>
      </c>
      <c r="K11" s="25" t="e">
        <f>lc_detailed!BE12</f>
        <v>#DIV/0!</v>
      </c>
      <c r="L11" s="25" t="e">
        <f>lc_detailed!BF12</f>
        <v>#DIV/0!</v>
      </c>
      <c r="M11" s="25" t="e">
        <f>lc_detailed!BG12</f>
        <v>#DIV/0!</v>
      </c>
      <c r="N11" s="25" t="e">
        <f>lc_detailed!BH12</f>
        <v>#DIV/0!</v>
      </c>
      <c r="O11" s="25" t="e">
        <f>lc_detailed!BJ12</f>
        <v>#DIV/0!</v>
      </c>
      <c r="P11" s="25" t="e">
        <f>lc_detailed!BK12</f>
        <v>#DIV/0!</v>
      </c>
      <c r="Q11" s="25" t="e">
        <f>lc_detailed!AS12</f>
        <v>#DIV/0!</v>
      </c>
      <c r="R11" s="25"/>
      <c r="S11">
        <v>0</v>
      </c>
      <c r="T11" t="e">
        <v>#DIV/0!</v>
      </c>
      <c r="U11" t="e">
        <v>#DIV/0!</v>
      </c>
      <c r="V11" t="e">
        <v>#DIV/0!</v>
      </c>
      <c r="W11" t="e">
        <v>#DIV/0!</v>
      </c>
      <c r="X11" t="e">
        <v>#DIV/0!</v>
      </c>
      <c r="Y11" t="e">
        <v>#DIV/0!</v>
      </c>
      <c r="Z11" t="e">
        <v>#DIV/0!</v>
      </c>
      <c r="AA11" t="e">
        <v>#DIV/0!</v>
      </c>
      <c r="AB11" t="e">
        <v>#DIV/0!</v>
      </c>
      <c r="AC11" t="e">
        <v>#DIV/0!</v>
      </c>
      <c r="AD11" t="e">
        <v>#DIV/0!</v>
      </c>
      <c r="AE11" t="e">
        <v>#DIV/0!</v>
      </c>
      <c r="AF11" t="e">
        <v>#DIV/0!</v>
      </c>
      <c r="AG11" t="e">
        <v>#DIV/0!</v>
      </c>
      <c r="AH11" t="e">
        <v>#DIV/0!</v>
      </c>
      <c r="AI11" t="e">
        <v>#DIV/0!</v>
      </c>
    </row>
    <row r="12" spans="1:35" x14ac:dyDescent="0.2">
      <c r="A12">
        <f>lc_detailed!AQ13</f>
        <v>0</v>
      </c>
      <c r="B12" s="25" t="e">
        <f>lc_detailed!AV13</f>
        <v>#DIV/0!</v>
      </c>
      <c r="C12" s="25" t="e">
        <f>lc_detailed!AW13</f>
        <v>#DIV/0!</v>
      </c>
      <c r="D12" s="25" t="e">
        <f>lc_detailed!AX13</f>
        <v>#DIV/0!</v>
      </c>
      <c r="E12" s="25" t="e">
        <f>lc_detailed!AY13</f>
        <v>#DIV/0!</v>
      </c>
      <c r="F12" s="25" t="e">
        <f>lc_detailed!AZ13</f>
        <v>#DIV/0!</v>
      </c>
      <c r="G12" s="25" t="e">
        <f>lc_detailed!BA13</f>
        <v>#DIV/0!</v>
      </c>
      <c r="H12" s="25" t="e">
        <f>lc_detailed!BB13</f>
        <v>#DIV/0!</v>
      </c>
      <c r="I12" s="25" t="e">
        <f>lc_detailed!BC13</f>
        <v>#DIV/0!</v>
      </c>
      <c r="J12" s="25" t="e">
        <f>lc_detailed!BD13</f>
        <v>#DIV/0!</v>
      </c>
      <c r="K12" s="25" t="e">
        <f>lc_detailed!BE13</f>
        <v>#DIV/0!</v>
      </c>
      <c r="L12" s="25" t="e">
        <f>lc_detailed!BF13</f>
        <v>#DIV/0!</v>
      </c>
      <c r="M12" s="25" t="e">
        <f>lc_detailed!BG13</f>
        <v>#DIV/0!</v>
      </c>
      <c r="N12" s="25" t="e">
        <f>lc_detailed!BH13</f>
        <v>#DIV/0!</v>
      </c>
      <c r="O12" s="25" t="e">
        <f>lc_detailed!BJ13</f>
        <v>#DIV/0!</v>
      </c>
      <c r="P12" s="25" t="e">
        <f>lc_detailed!BK13</f>
        <v>#DIV/0!</v>
      </c>
      <c r="Q12" s="25" t="e">
        <f>lc_detailed!AS13</f>
        <v>#DIV/0!</v>
      </c>
      <c r="R12" s="25"/>
      <c r="S12">
        <v>0</v>
      </c>
      <c r="T12" t="e">
        <v>#DIV/0!</v>
      </c>
      <c r="U12" t="e">
        <v>#DIV/0!</v>
      </c>
      <c r="V12" t="e">
        <v>#DIV/0!</v>
      </c>
      <c r="W12" t="e">
        <v>#DIV/0!</v>
      </c>
      <c r="X12" t="e">
        <v>#DIV/0!</v>
      </c>
      <c r="Y12" t="e">
        <v>#DIV/0!</v>
      </c>
      <c r="Z12" t="e">
        <v>#DIV/0!</v>
      </c>
      <c r="AA12" t="e">
        <v>#DIV/0!</v>
      </c>
      <c r="AB12" t="e">
        <v>#DIV/0!</v>
      </c>
      <c r="AC12" t="e">
        <v>#DIV/0!</v>
      </c>
      <c r="AD12" t="e">
        <v>#DIV/0!</v>
      </c>
      <c r="AE12" t="e">
        <v>#DIV/0!</v>
      </c>
      <c r="AF12" t="e">
        <v>#DIV/0!</v>
      </c>
      <c r="AG12" t="e">
        <v>#DIV/0!</v>
      </c>
      <c r="AH12" t="e">
        <v>#DIV/0!</v>
      </c>
      <c r="AI12" t="e">
        <v>#DIV/0!</v>
      </c>
    </row>
    <row r="13" spans="1:35" x14ac:dyDescent="0.2">
      <c r="A13">
        <f>lc_detailed!AQ14</f>
        <v>0</v>
      </c>
      <c r="B13" s="25" t="e">
        <f>lc_detailed!AV14</f>
        <v>#DIV/0!</v>
      </c>
      <c r="C13" s="25" t="e">
        <f>lc_detailed!AW14</f>
        <v>#DIV/0!</v>
      </c>
      <c r="D13" s="25" t="e">
        <f>lc_detailed!AX14</f>
        <v>#DIV/0!</v>
      </c>
      <c r="E13" s="25" t="e">
        <f>lc_detailed!AY14</f>
        <v>#DIV/0!</v>
      </c>
      <c r="F13" s="25" t="e">
        <f>lc_detailed!AZ14</f>
        <v>#DIV/0!</v>
      </c>
      <c r="G13" s="25" t="e">
        <f>lc_detailed!BA14</f>
        <v>#DIV/0!</v>
      </c>
      <c r="H13" s="25" t="e">
        <f>lc_detailed!BB14</f>
        <v>#DIV/0!</v>
      </c>
      <c r="I13" s="25" t="e">
        <f>lc_detailed!BC14</f>
        <v>#DIV/0!</v>
      </c>
      <c r="J13" s="25" t="e">
        <f>lc_detailed!BD14</f>
        <v>#DIV/0!</v>
      </c>
      <c r="K13" s="25" t="e">
        <f>lc_detailed!BE14</f>
        <v>#DIV/0!</v>
      </c>
      <c r="L13" s="25" t="e">
        <f>lc_detailed!BF14</f>
        <v>#DIV/0!</v>
      </c>
      <c r="M13" s="25" t="e">
        <f>lc_detailed!BG14</f>
        <v>#DIV/0!</v>
      </c>
      <c r="N13" s="25" t="e">
        <f>lc_detailed!BH14</f>
        <v>#DIV/0!</v>
      </c>
      <c r="O13" s="25" t="e">
        <f>lc_detailed!BJ14</f>
        <v>#DIV/0!</v>
      </c>
      <c r="P13" s="25" t="e">
        <f>lc_detailed!BK14</f>
        <v>#DIV/0!</v>
      </c>
      <c r="Q13" s="25" t="e">
        <f>lc_detailed!AS14</f>
        <v>#DIV/0!</v>
      </c>
      <c r="R13" s="25"/>
      <c r="S13">
        <v>0</v>
      </c>
      <c r="T13" t="e">
        <v>#DIV/0!</v>
      </c>
      <c r="U13" t="e">
        <v>#DIV/0!</v>
      </c>
      <c r="V13" t="e">
        <v>#DIV/0!</v>
      </c>
      <c r="W13" t="e">
        <v>#DIV/0!</v>
      </c>
      <c r="X13" t="e">
        <v>#DIV/0!</v>
      </c>
      <c r="Y13" t="e">
        <v>#DIV/0!</v>
      </c>
      <c r="Z13" t="e">
        <v>#DIV/0!</v>
      </c>
      <c r="AA13" t="e">
        <v>#DIV/0!</v>
      </c>
      <c r="AB13" t="e">
        <v>#DIV/0!</v>
      </c>
      <c r="AC13" t="e">
        <v>#DIV/0!</v>
      </c>
      <c r="AD13" t="e">
        <v>#DIV/0!</v>
      </c>
      <c r="AE13" t="e">
        <v>#DIV/0!</v>
      </c>
      <c r="AF13" t="e">
        <v>#DIV/0!</v>
      </c>
      <c r="AG13" t="e">
        <v>#DIV/0!</v>
      </c>
      <c r="AH13" t="e">
        <v>#DIV/0!</v>
      </c>
      <c r="AI13" t="e">
        <v>#DIV/0!</v>
      </c>
    </row>
    <row r="14" spans="1:35" x14ac:dyDescent="0.2">
      <c r="A14">
        <f>lc_detailed!AQ15</f>
        <v>0</v>
      </c>
      <c r="B14" s="25" t="e">
        <f>lc_detailed!AV15</f>
        <v>#DIV/0!</v>
      </c>
      <c r="C14" s="25" t="e">
        <f>lc_detailed!AW15</f>
        <v>#DIV/0!</v>
      </c>
      <c r="D14" s="25" t="e">
        <f>lc_detailed!AX15</f>
        <v>#DIV/0!</v>
      </c>
      <c r="E14" s="25" t="e">
        <f>lc_detailed!AY15</f>
        <v>#DIV/0!</v>
      </c>
      <c r="F14" s="25" t="e">
        <f>lc_detailed!AZ15</f>
        <v>#DIV/0!</v>
      </c>
      <c r="G14" s="25" t="e">
        <f>lc_detailed!BA15</f>
        <v>#DIV/0!</v>
      </c>
      <c r="H14" s="25" t="e">
        <f>lc_detailed!BB15</f>
        <v>#DIV/0!</v>
      </c>
      <c r="I14" s="25" t="e">
        <f>lc_detailed!BC15</f>
        <v>#DIV/0!</v>
      </c>
      <c r="J14" s="25" t="e">
        <f>lc_detailed!BD15</f>
        <v>#DIV/0!</v>
      </c>
      <c r="K14" s="25" t="e">
        <f>lc_detailed!BE15</f>
        <v>#DIV/0!</v>
      </c>
      <c r="L14" s="25" t="e">
        <f>lc_detailed!BF15</f>
        <v>#DIV/0!</v>
      </c>
      <c r="M14" s="25" t="e">
        <f>lc_detailed!BG15</f>
        <v>#DIV/0!</v>
      </c>
      <c r="N14" s="25" t="e">
        <f>lc_detailed!BH15</f>
        <v>#DIV/0!</v>
      </c>
      <c r="O14" s="25" t="e">
        <f>lc_detailed!BJ15</f>
        <v>#DIV/0!</v>
      </c>
      <c r="P14" s="25" t="e">
        <f>lc_detailed!BK15</f>
        <v>#DIV/0!</v>
      </c>
      <c r="Q14" s="25" t="e">
        <f>lc_detailed!AS15</f>
        <v>#DIV/0!</v>
      </c>
      <c r="R14" s="25"/>
      <c r="S14">
        <v>0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</row>
    <row r="15" spans="1:35" x14ac:dyDescent="0.2">
      <c r="A15">
        <f>lc_detailed!AQ16</f>
        <v>0</v>
      </c>
      <c r="B15" s="25" t="e">
        <f>lc_detailed!AV16</f>
        <v>#DIV/0!</v>
      </c>
      <c r="C15" s="25" t="e">
        <f>lc_detailed!AW16</f>
        <v>#DIV/0!</v>
      </c>
      <c r="D15" s="25" t="e">
        <f>lc_detailed!AX16</f>
        <v>#DIV/0!</v>
      </c>
      <c r="E15" s="25" t="e">
        <f>lc_detailed!AY16</f>
        <v>#DIV/0!</v>
      </c>
      <c r="F15" s="25" t="e">
        <f>lc_detailed!AZ16</f>
        <v>#DIV/0!</v>
      </c>
      <c r="G15" s="25" t="e">
        <f>lc_detailed!BA16</f>
        <v>#DIV/0!</v>
      </c>
      <c r="H15" s="25" t="e">
        <f>lc_detailed!BB16</f>
        <v>#DIV/0!</v>
      </c>
      <c r="I15" s="25" t="e">
        <f>lc_detailed!BC16</f>
        <v>#DIV/0!</v>
      </c>
      <c r="J15" s="25" t="e">
        <f>lc_detailed!BD16</f>
        <v>#DIV/0!</v>
      </c>
      <c r="K15" s="25" t="e">
        <f>lc_detailed!BE16</f>
        <v>#DIV/0!</v>
      </c>
      <c r="L15" s="25" t="e">
        <f>lc_detailed!BF16</f>
        <v>#DIV/0!</v>
      </c>
      <c r="M15" s="25" t="e">
        <f>lc_detailed!BG16</f>
        <v>#DIV/0!</v>
      </c>
      <c r="N15" s="25" t="e">
        <f>lc_detailed!BH16</f>
        <v>#DIV/0!</v>
      </c>
      <c r="O15" s="25" t="e">
        <f>lc_detailed!BJ16</f>
        <v>#DIV/0!</v>
      </c>
      <c r="P15" s="25" t="e">
        <f>lc_detailed!BK16</f>
        <v>#DIV/0!</v>
      </c>
      <c r="Q15" s="25" t="e">
        <f>lc_detailed!AS16</f>
        <v>#DIV/0!</v>
      </c>
      <c r="R15" s="25"/>
      <c r="S15">
        <v>0</v>
      </c>
      <c r="T15" t="e">
        <v>#DIV/0!</v>
      </c>
      <c r="U15" t="e">
        <v>#DIV/0!</v>
      </c>
      <c r="V15" t="e">
        <v>#DIV/0!</v>
      </c>
      <c r="W15" t="e">
        <v>#DIV/0!</v>
      </c>
      <c r="X15" t="e">
        <v>#DIV/0!</v>
      </c>
      <c r="Y15" t="e">
        <v>#DIV/0!</v>
      </c>
      <c r="Z15" t="e">
        <v>#DIV/0!</v>
      </c>
      <c r="AA15" t="e">
        <v>#DIV/0!</v>
      </c>
      <c r="AB15" t="e">
        <v>#DIV/0!</v>
      </c>
      <c r="AC15" t="e">
        <v>#DIV/0!</v>
      </c>
      <c r="AD15" t="e">
        <v>#DIV/0!</v>
      </c>
      <c r="AE15" t="e">
        <v>#DIV/0!</v>
      </c>
      <c r="AF15" t="e">
        <v>#DIV/0!</v>
      </c>
      <c r="AG15" t="e">
        <v>#DIV/0!</v>
      </c>
      <c r="AH15" t="e">
        <v>#DIV/0!</v>
      </c>
      <c r="AI15" t="e">
        <v>#DIV/0!</v>
      </c>
    </row>
    <row r="16" spans="1:35" x14ac:dyDescent="0.2">
      <c r="A16">
        <f>lc_detailed!AQ17</f>
        <v>0</v>
      </c>
      <c r="B16" s="25" t="e">
        <f>lc_detailed!AV17</f>
        <v>#DIV/0!</v>
      </c>
      <c r="C16" s="25" t="e">
        <f>lc_detailed!AW17</f>
        <v>#DIV/0!</v>
      </c>
      <c r="D16" s="25" t="e">
        <f>lc_detailed!AX17</f>
        <v>#DIV/0!</v>
      </c>
      <c r="E16" s="25" t="e">
        <f>lc_detailed!AY17</f>
        <v>#DIV/0!</v>
      </c>
      <c r="F16" s="25" t="e">
        <f>lc_detailed!AZ17</f>
        <v>#DIV/0!</v>
      </c>
      <c r="G16" s="25" t="e">
        <f>lc_detailed!BA17</f>
        <v>#DIV/0!</v>
      </c>
      <c r="H16" s="25" t="e">
        <f>lc_detailed!BB17</f>
        <v>#DIV/0!</v>
      </c>
      <c r="I16" s="25" t="e">
        <f>lc_detailed!BC17</f>
        <v>#DIV/0!</v>
      </c>
      <c r="J16" s="25" t="e">
        <f>lc_detailed!BD17</f>
        <v>#DIV/0!</v>
      </c>
      <c r="K16" s="25" t="e">
        <f>lc_detailed!BE17</f>
        <v>#DIV/0!</v>
      </c>
      <c r="L16" s="25" t="e">
        <f>lc_detailed!BF17</f>
        <v>#DIV/0!</v>
      </c>
      <c r="M16" s="25" t="e">
        <f>lc_detailed!BG17</f>
        <v>#DIV/0!</v>
      </c>
      <c r="N16" s="25" t="e">
        <f>lc_detailed!BH17</f>
        <v>#DIV/0!</v>
      </c>
      <c r="O16" s="25" t="e">
        <f>lc_detailed!BJ17</f>
        <v>#DIV/0!</v>
      </c>
      <c r="P16" s="25" t="e">
        <f>lc_detailed!BK17</f>
        <v>#DIV/0!</v>
      </c>
      <c r="Q16" s="25" t="e">
        <f>lc_detailed!AS17</f>
        <v>#DIV/0!</v>
      </c>
      <c r="R16" s="25"/>
      <c r="S16">
        <v>0</v>
      </c>
      <c r="T16" t="e">
        <v>#DIV/0!</v>
      </c>
      <c r="U16" t="e">
        <v>#DIV/0!</v>
      </c>
      <c r="V16" t="e">
        <v>#DIV/0!</v>
      </c>
      <c r="W16" t="e">
        <v>#DIV/0!</v>
      </c>
      <c r="X16" t="e">
        <v>#DIV/0!</v>
      </c>
      <c r="Y16" t="e">
        <v>#DIV/0!</v>
      </c>
      <c r="Z16" t="e">
        <v>#DIV/0!</v>
      </c>
      <c r="AA16" t="e">
        <v>#DIV/0!</v>
      </c>
      <c r="AB16" t="e">
        <v>#DIV/0!</v>
      </c>
      <c r="AC16" t="e">
        <v>#DIV/0!</v>
      </c>
      <c r="AD16" t="e">
        <v>#DIV/0!</v>
      </c>
      <c r="AE16" t="e">
        <v>#DIV/0!</v>
      </c>
      <c r="AF16" t="e">
        <v>#DIV/0!</v>
      </c>
      <c r="AG16" t="e">
        <v>#DIV/0!</v>
      </c>
      <c r="AH16" t="e">
        <v>#DIV/0!</v>
      </c>
      <c r="AI16" t="e">
        <v>#DIV/0!</v>
      </c>
    </row>
    <row r="17" spans="1:35" x14ac:dyDescent="0.2">
      <c r="A17">
        <f>lc_detailed!AQ18</f>
        <v>0</v>
      </c>
      <c r="B17" s="25" t="e">
        <f>lc_detailed!AV18</f>
        <v>#DIV/0!</v>
      </c>
      <c r="C17" s="25" t="e">
        <f>lc_detailed!AW18</f>
        <v>#DIV/0!</v>
      </c>
      <c r="D17" s="25" t="e">
        <f>lc_detailed!AX18</f>
        <v>#DIV/0!</v>
      </c>
      <c r="E17" s="25" t="e">
        <f>lc_detailed!AY18</f>
        <v>#DIV/0!</v>
      </c>
      <c r="F17" s="25" t="e">
        <f>lc_detailed!AZ18</f>
        <v>#DIV/0!</v>
      </c>
      <c r="G17" s="25" t="e">
        <f>lc_detailed!BA18</f>
        <v>#DIV/0!</v>
      </c>
      <c r="H17" s="25" t="e">
        <f>lc_detailed!BB18</f>
        <v>#DIV/0!</v>
      </c>
      <c r="I17" s="25" t="e">
        <f>lc_detailed!BC18</f>
        <v>#DIV/0!</v>
      </c>
      <c r="J17" s="25" t="e">
        <f>lc_detailed!BD18</f>
        <v>#DIV/0!</v>
      </c>
      <c r="K17" s="25" t="e">
        <f>lc_detailed!BE18</f>
        <v>#DIV/0!</v>
      </c>
      <c r="L17" s="25" t="e">
        <f>lc_detailed!BF18</f>
        <v>#DIV/0!</v>
      </c>
      <c r="M17" s="25" t="e">
        <f>lc_detailed!BG18</f>
        <v>#DIV/0!</v>
      </c>
      <c r="N17" s="25" t="e">
        <f>lc_detailed!BH18</f>
        <v>#DIV/0!</v>
      </c>
      <c r="O17" s="25" t="e">
        <f>lc_detailed!BJ18</f>
        <v>#DIV/0!</v>
      </c>
      <c r="P17" s="25" t="e">
        <f>lc_detailed!BK18</f>
        <v>#DIV/0!</v>
      </c>
      <c r="Q17" s="25" t="e">
        <f>lc_detailed!AS18</f>
        <v>#DIV/0!</v>
      </c>
      <c r="R17" s="25"/>
      <c r="S17">
        <v>0</v>
      </c>
      <c r="T17" t="e">
        <v>#DIV/0!</v>
      </c>
      <c r="U17" t="e">
        <v>#DIV/0!</v>
      </c>
      <c r="V17" t="e">
        <v>#DIV/0!</v>
      </c>
      <c r="W17" t="e">
        <v>#DIV/0!</v>
      </c>
      <c r="X17" t="e">
        <v>#DIV/0!</v>
      </c>
      <c r="Y17" t="e">
        <v>#DIV/0!</v>
      </c>
      <c r="Z17" t="e">
        <v>#DIV/0!</v>
      </c>
      <c r="AA17" t="e">
        <v>#DIV/0!</v>
      </c>
      <c r="AB17" t="e">
        <v>#DIV/0!</v>
      </c>
      <c r="AC17" t="e">
        <v>#DIV/0!</v>
      </c>
      <c r="AD17" t="e">
        <v>#DIV/0!</v>
      </c>
      <c r="AE17" t="e">
        <v>#DIV/0!</v>
      </c>
      <c r="AF17" t="e">
        <v>#DIV/0!</v>
      </c>
      <c r="AG17" t="e">
        <v>#DIV/0!</v>
      </c>
      <c r="AH17" t="e">
        <v>#DIV/0!</v>
      </c>
      <c r="AI17" t="e">
        <v>#DIV/0!</v>
      </c>
    </row>
    <row r="18" spans="1:35" x14ac:dyDescent="0.2">
      <c r="A18">
        <f>lc_detailed!AQ19</f>
        <v>0</v>
      </c>
      <c r="B18" s="25" t="e">
        <f>lc_detailed!AV19</f>
        <v>#DIV/0!</v>
      </c>
      <c r="C18" s="25" t="e">
        <f>lc_detailed!AW19</f>
        <v>#DIV/0!</v>
      </c>
      <c r="D18" s="25" t="e">
        <f>lc_detailed!AX19</f>
        <v>#DIV/0!</v>
      </c>
      <c r="E18" s="25" t="e">
        <f>lc_detailed!AY19</f>
        <v>#DIV/0!</v>
      </c>
      <c r="F18" s="25" t="e">
        <f>lc_detailed!AZ19</f>
        <v>#DIV/0!</v>
      </c>
      <c r="G18" s="25" t="e">
        <f>lc_detailed!BA19</f>
        <v>#DIV/0!</v>
      </c>
      <c r="H18" s="25" t="e">
        <f>lc_detailed!BB19</f>
        <v>#DIV/0!</v>
      </c>
      <c r="I18" s="25" t="e">
        <f>lc_detailed!BC19</f>
        <v>#DIV/0!</v>
      </c>
      <c r="J18" s="25" t="e">
        <f>lc_detailed!BD19</f>
        <v>#DIV/0!</v>
      </c>
      <c r="K18" s="25" t="e">
        <f>lc_detailed!BE19</f>
        <v>#DIV/0!</v>
      </c>
      <c r="L18" s="25" t="e">
        <f>lc_detailed!BF19</f>
        <v>#DIV/0!</v>
      </c>
      <c r="M18" s="25" t="e">
        <f>lc_detailed!BG19</f>
        <v>#DIV/0!</v>
      </c>
      <c r="N18" s="25" t="e">
        <f>lc_detailed!BH19</f>
        <v>#DIV/0!</v>
      </c>
      <c r="O18" s="25" t="e">
        <f>lc_detailed!BJ19</f>
        <v>#DIV/0!</v>
      </c>
      <c r="P18" s="25" t="e">
        <f>lc_detailed!BK19</f>
        <v>#DIV/0!</v>
      </c>
      <c r="Q18" s="25" t="e">
        <f>lc_detailed!AS19</f>
        <v>#DIV/0!</v>
      </c>
      <c r="R18" s="25"/>
      <c r="S18">
        <v>0</v>
      </c>
      <c r="T18" t="e">
        <v>#DIV/0!</v>
      </c>
      <c r="U18" t="e">
        <v>#DIV/0!</v>
      </c>
      <c r="V18" t="e">
        <v>#DIV/0!</v>
      </c>
      <c r="W18" t="e">
        <v>#DIV/0!</v>
      </c>
      <c r="X18" t="e">
        <v>#DIV/0!</v>
      </c>
      <c r="Y18" t="e">
        <v>#DIV/0!</v>
      </c>
      <c r="Z18" t="e">
        <v>#DIV/0!</v>
      </c>
      <c r="AA18" t="e">
        <v>#DIV/0!</v>
      </c>
      <c r="AB18" t="e">
        <v>#DIV/0!</v>
      </c>
      <c r="AC18" t="e">
        <v>#DIV/0!</v>
      </c>
      <c r="AD18" t="e">
        <v>#DIV/0!</v>
      </c>
      <c r="AE18" t="e">
        <v>#DIV/0!</v>
      </c>
      <c r="AF18" t="e">
        <v>#DIV/0!</v>
      </c>
      <c r="AG18" t="e">
        <v>#DIV/0!</v>
      </c>
      <c r="AH18" t="e">
        <v>#DIV/0!</v>
      </c>
      <c r="AI18" t="e">
        <v>#DIV/0!</v>
      </c>
    </row>
    <row r="19" spans="1:35" x14ac:dyDescent="0.2">
      <c r="A19">
        <f>lc_detailed!AQ20</f>
        <v>0</v>
      </c>
      <c r="B19" s="25" t="e">
        <f>lc_detailed!AV20</f>
        <v>#DIV/0!</v>
      </c>
      <c r="C19" s="25" t="e">
        <f>lc_detailed!AW20</f>
        <v>#DIV/0!</v>
      </c>
      <c r="D19" s="25" t="e">
        <f>lc_detailed!AX20</f>
        <v>#DIV/0!</v>
      </c>
      <c r="E19" s="25" t="e">
        <f>lc_detailed!AY20</f>
        <v>#DIV/0!</v>
      </c>
      <c r="F19" s="25" t="e">
        <f>lc_detailed!AZ20</f>
        <v>#DIV/0!</v>
      </c>
      <c r="G19" s="25" t="e">
        <f>lc_detailed!BA20</f>
        <v>#DIV/0!</v>
      </c>
      <c r="H19" s="25" t="e">
        <f>lc_detailed!BB20</f>
        <v>#DIV/0!</v>
      </c>
      <c r="I19" s="25" t="e">
        <f>lc_detailed!BC20</f>
        <v>#DIV/0!</v>
      </c>
      <c r="J19" s="25" t="e">
        <f>lc_detailed!BD20</f>
        <v>#DIV/0!</v>
      </c>
      <c r="K19" s="25" t="e">
        <f>lc_detailed!BE20</f>
        <v>#DIV/0!</v>
      </c>
      <c r="L19" s="25" t="e">
        <f>lc_detailed!BF20</f>
        <v>#DIV/0!</v>
      </c>
      <c r="M19" s="25" t="e">
        <f>lc_detailed!BG20</f>
        <v>#DIV/0!</v>
      </c>
      <c r="N19" s="25" t="e">
        <f>lc_detailed!BH20</f>
        <v>#DIV/0!</v>
      </c>
      <c r="O19" s="25" t="e">
        <f>lc_detailed!BJ20</f>
        <v>#DIV/0!</v>
      </c>
      <c r="P19" s="25" t="e">
        <f>lc_detailed!BK20</f>
        <v>#DIV/0!</v>
      </c>
      <c r="Q19" s="25" t="e">
        <f>lc_detailed!AS20</f>
        <v>#DIV/0!</v>
      </c>
      <c r="R19" s="25"/>
      <c r="S19">
        <v>0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</row>
    <row r="20" spans="1:35" x14ac:dyDescent="0.2">
      <c r="A20">
        <f>lc_detailed!AQ21</f>
        <v>0</v>
      </c>
      <c r="B20" s="25" t="e">
        <f>lc_detailed!AV21</f>
        <v>#DIV/0!</v>
      </c>
      <c r="C20" s="25" t="e">
        <f>lc_detailed!AW21</f>
        <v>#DIV/0!</v>
      </c>
      <c r="D20" s="25" t="e">
        <f>lc_detailed!AX21</f>
        <v>#DIV/0!</v>
      </c>
      <c r="E20" s="25" t="e">
        <f>lc_detailed!AY21</f>
        <v>#DIV/0!</v>
      </c>
      <c r="F20" s="25" t="e">
        <f>lc_detailed!AZ21</f>
        <v>#DIV/0!</v>
      </c>
      <c r="G20" s="25" t="e">
        <f>lc_detailed!BA21</f>
        <v>#DIV/0!</v>
      </c>
      <c r="H20" s="25" t="e">
        <f>lc_detailed!BB21</f>
        <v>#DIV/0!</v>
      </c>
      <c r="I20" s="25" t="e">
        <f>lc_detailed!BC21</f>
        <v>#DIV/0!</v>
      </c>
      <c r="J20" s="25" t="e">
        <f>lc_detailed!BD21</f>
        <v>#DIV/0!</v>
      </c>
      <c r="K20" s="25" t="e">
        <f>lc_detailed!BE21</f>
        <v>#DIV/0!</v>
      </c>
      <c r="L20" s="25" t="e">
        <f>lc_detailed!BF21</f>
        <v>#DIV/0!</v>
      </c>
      <c r="M20" s="25" t="e">
        <f>lc_detailed!BG21</f>
        <v>#DIV/0!</v>
      </c>
      <c r="N20" s="25" t="e">
        <f>lc_detailed!BH21</f>
        <v>#DIV/0!</v>
      </c>
      <c r="O20" s="25" t="e">
        <f>lc_detailed!BJ21</f>
        <v>#DIV/0!</v>
      </c>
      <c r="P20" s="25" t="e">
        <f>lc_detailed!BK21</f>
        <v>#DIV/0!</v>
      </c>
      <c r="Q20" s="25" t="e">
        <f>lc_detailed!AS21</f>
        <v>#DIV/0!</v>
      </c>
      <c r="R20" s="25"/>
      <c r="S20">
        <v>0</v>
      </c>
      <c r="T20" t="e">
        <v>#DIV/0!</v>
      </c>
      <c r="U20" t="e">
        <v>#DIV/0!</v>
      </c>
      <c r="V20" t="e">
        <v>#DIV/0!</v>
      </c>
      <c r="W20" t="e">
        <v>#DIV/0!</v>
      </c>
      <c r="X20" t="e">
        <v>#DIV/0!</v>
      </c>
      <c r="Y20" t="e">
        <v>#DIV/0!</v>
      </c>
      <c r="Z20" t="e">
        <v>#DIV/0!</v>
      </c>
      <c r="AA20" t="e">
        <v>#DIV/0!</v>
      </c>
      <c r="AB20" t="e">
        <v>#DIV/0!</v>
      </c>
      <c r="AC20" t="e">
        <v>#DIV/0!</v>
      </c>
      <c r="AD20" t="e">
        <v>#DIV/0!</v>
      </c>
      <c r="AE20" t="e">
        <v>#DIV/0!</v>
      </c>
      <c r="AF20" t="e">
        <v>#DIV/0!</v>
      </c>
      <c r="AG20" t="e">
        <v>#DIV/0!</v>
      </c>
      <c r="AH20" t="e">
        <v>#DIV/0!</v>
      </c>
      <c r="AI20" t="e">
        <v>#DIV/0!</v>
      </c>
    </row>
    <row r="21" spans="1:35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  <c r="S21">
        <v>0</v>
      </c>
      <c r="T21" t="e">
        <v>#DIV/0!</v>
      </c>
      <c r="U21" t="e">
        <v>#DIV/0!</v>
      </c>
      <c r="V21" t="e">
        <v>#DIV/0!</v>
      </c>
      <c r="W21" t="e">
        <v>#DIV/0!</v>
      </c>
      <c r="X21" t="e">
        <v>#DIV/0!</v>
      </c>
      <c r="Y21" t="e">
        <v>#DIV/0!</v>
      </c>
      <c r="Z21" t="e">
        <v>#DIV/0!</v>
      </c>
      <c r="AA21" t="e">
        <v>#DIV/0!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e">
        <v>#DIV/0!</v>
      </c>
      <c r="AH21" t="e">
        <v>#DIV/0!</v>
      </c>
      <c r="AI21" t="e">
        <v>#DIV/0!</v>
      </c>
    </row>
    <row r="22" spans="1:35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  <c r="S22">
        <v>0</v>
      </c>
      <c r="T22" t="e">
        <v>#DIV/0!</v>
      </c>
      <c r="U22" t="e">
        <v>#DIV/0!</v>
      </c>
      <c r="V22" t="e">
        <v>#DIV/0!</v>
      </c>
      <c r="W22" t="e">
        <v>#DIV/0!</v>
      </c>
      <c r="X22" t="e">
        <v>#DIV/0!</v>
      </c>
      <c r="Y22" t="e">
        <v>#DIV/0!</v>
      </c>
      <c r="Z22" t="e">
        <v>#DIV/0!</v>
      </c>
      <c r="AA22" t="e">
        <v>#DIV/0!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e">
        <v>#DIV/0!</v>
      </c>
      <c r="AH22" t="e">
        <v>#DIV/0!</v>
      </c>
      <c r="AI22" t="e">
        <v>#DIV/0!</v>
      </c>
    </row>
    <row r="23" spans="1:35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  <c r="S23">
        <v>0</v>
      </c>
      <c r="T23" t="e">
        <v>#DIV/0!</v>
      </c>
      <c r="U23" t="e">
        <v>#DIV/0!</v>
      </c>
      <c r="V23" t="e">
        <v>#DIV/0!</v>
      </c>
      <c r="W23" t="e">
        <v>#DIV/0!</v>
      </c>
      <c r="X23" t="e">
        <v>#DIV/0!</v>
      </c>
      <c r="Y23" t="e">
        <v>#DIV/0!</v>
      </c>
      <c r="Z23" t="e">
        <v>#DIV/0!</v>
      </c>
      <c r="AA23" t="e">
        <v>#DIV/0!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e">
        <v>#DIV/0!</v>
      </c>
      <c r="AH23" t="e">
        <v>#DIV/0!</v>
      </c>
      <c r="AI23" t="e">
        <v>#DIV/0!</v>
      </c>
    </row>
    <row r="24" spans="1:35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  <c r="S24">
        <v>0</v>
      </c>
      <c r="T24" t="e">
        <v>#DIV/0!</v>
      </c>
      <c r="U24" t="e">
        <v>#DIV/0!</v>
      </c>
      <c r="V24" t="e">
        <v>#DIV/0!</v>
      </c>
      <c r="W24" t="e">
        <v>#DIV/0!</v>
      </c>
      <c r="X24" t="e">
        <v>#DIV/0!</v>
      </c>
      <c r="Y24" t="e">
        <v>#DIV/0!</v>
      </c>
      <c r="Z24" t="e">
        <v>#DIV/0!</v>
      </c>
      <c r="AA24" t="e">
        <v>#DIV/0!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e">
        <v>#DIV/0!</v>
      </c>
      <c r="AH24" t="e">
        <v>#DIV/0!</v>
      </c>
      <c r="AI24" t="e">
        <v>#DIV/0!</v>
      </c>
    </row>
    <row r="25" spans="1:35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  <c r="S25">
        <v>0</v>
      </c>
      <c r="T25" t="e">
        <v>#DIV/0!</v>
      </c>
      <c r="U25" t="e">
        <v>#DIV/0!</v>
      </c>
      <c r="V25" t="e">
        <v>#DIV/0!</v>
      </c>
      <c r="W25" t="e">
        <v>#DIV/0!</v>
      </c>
      <c r="X25" t="e">
        <v>#DIV/0!</v>
      </c>
      <c r="Y25" t="e">
        <v>#DIV/0!</v>
      </c>
      <c r="Z25" t="e">
        <v>#DIV/0!</v>
      </c>
      <c r="AA25" t="e">
        <v>#DIV/0!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e">
        <v>#DIV/0!</v>
      </c>
      <c r="AH25" t="e">
        <v>#DIV/0!</v>
      </c>
      <c r="AI25" t="e">
        <v>#DIV/0!</v>
      </c>
    </row>
    <row r="26" spans="1:35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  <c r="S26">
        <v>0</v>
      </c>
      <c r="T26" t="e">
        <v>#DIV/0!</v>
      </c>
      <c r="U26" t="e">
        <v>#DIV/0!</v>
      </c>
      <c r="V26" t="e">
        <v>#DIV/0!</v>
      </c>
      <c r="W26" t="e">
        <v>#DIV/0!</v>
      </c>
      <c r="X26" t="e">
        <v>#DIV/0!</v>
      </c>
      <c r="Y26" t="e">
        <v>#DIV/0!</v>
      </c>
      <c r="Z26" t="e">
        <v>#DIV/0!</v>
      </c>
      <c r="AA26" t="e">
        <v>#DIV/0!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e">
        <v>#DIV/0!</v>
      </c>
      <c r="AH26" t="e">
        <v>#DIV/0!</v>
      </c>
      <c r="AI26" t="e">
        <v>#DIV/0!</v>
      </c>
    </row>
    <row r="27" spans="1:35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  <c r="S27">
        <v>0</v>
      </c>
      <c r="T27" t="e">
        <v>#DIV/0!</v>
      </c>
      <c r="U27" t="e">
        <v>#DIV/0!</v>
      </c>
      <c r="V27" t="e">
        <v>#DIV/0!</v>
      </c>
      <c r="W27" t="e">
        <v>#DIV/0!</v>
      </c>
      <c r="X27" t="e">
        <v>#DIV/0!</v>
      </c>
      <c r="Y27" t="e">
        <v>#DIV/0!</v>
      </c>
      <c r="Z27" t="e">
        <v>#DIV/0!</v>
      </c>
      <c r="AA27" t="e">
        <v>#DIV/0!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e">
        <v>#DIV/0!</v>
      </c>
      <c r="AH27" t="e">
        <v>#DIV/0!</v>
      </c>
      <c r="AI27" t="e">
        <v>#DIV/0!</v>
      </c>
    </row>
    <row r="28" spans="1:35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  <c r="S28">
        <v>0</v>
      </c>
      <c r="T28" t="e">
        <v>#DIV/0!</v>
      </c>
      <c r="U28" t="e">
        <v>#DIV/0!</v>
      </c>
      <c r="V28" t="e">
        <v>#DIV/0!</v>
      </c>
      <c r="W28" t="e">
        <v>#DIV/0!</v>
      </c>
      <c r="X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e">
        <v>#DIV/0!</v>
      </c>
      <c r="AH28" t="e">
        <v>#DIV/0!</v>
      </c>
      <c r="AI28" t="e">
        <v>#DIV/0!</v>
      </c>
    </row>
    <row r="29" spans="1:35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  <c r="S29">
        <v>0</v>
      </c>
      <c r="T29" t="e">
        <v>#DIV/0!</v>
      </c>
      <c r="U29" t="e">
        <v>#DIV/0!</v>
      </c>
      <c r="V29" t="e">
        <v>#DIV/0!</v>
      </c>
      <c r="W29" t="e">
        <v>#DIV/0!</v>
      </c>
      <c r="X29" t="e">
        <v>#DIV/0!</v>
      </c>
      <c r="Y29" t="e">
        <v>#DIV/0!</v>
      </c>
      <c r="Z29" t="e">
        <v>#DIV/0!</v>
      </c>
      <c r="AA29" t="e">
        <v>#DIV/0!</v>
      </c>
      <c r="AB29" t="e">
        <v>#DIV/0!</v>
      </c>
      <c r="AC29" t="e">
        <v>#DIV/0!</v>
      </c>
      <c r="AD29" t="e">
        <v>#DIV/0!</v>
      </c>
      <c r="AE29" t="e">
        <v>#DIV/0!</v>
      </c>
      <c r="AF29" t="e">
        <v>#DIV/0!</v>
      </c>
      <c r="AG29" t="e">
        <v>#DIV/0!</v>
      </c>
      <c r="AH29" t="e">
        <v>#DIV/0!</v>
      </c>
      <c r="AI29" t="e">
        <v>#DIV/0!</v>
      </c>
    </row>
    <row r="30" spans="1:35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  <c r="S30">
        <v>0</v>
      </c>
      <c r="T30" t="e">
        <v>#DIV/0!</v>
      </c>
      <c r="U30" t="e">
        <v>#DIV/0!</v>
      </c>
      <c r="V30" t="e">
        <v>#DIV/0!</v>
      </c>
      <c r="W30" t="e">
        <v>#DIV/0!</v>
      </c>
      <c r="X30" t="e">
        <v>#DIV/0!</v>
      </c>
      <c r="Y30" t="e">
        <v>#DIV/0!</v>
      </c>
      <c r="Z30" t="e">
        <v>#DIV/0!</v>
      </c>
      <c r="AA30" t="e">
        <v>#DIV/0!</v>
      </c>
      <c r="AB30" t="e">
        <v>#DIV/0!</v>
      </c>
      <c r="AC30" t="e">
        <v>#DIV/0!</v>
      </c>
      <c r="AD30" t="e">
        <v>#DIV/0!</v>
      </c>
      <c r="AE30" t="e">
        <v>#DIV/0!</v>
      </c>
      <c r="AF30" t="e">
        <v>#DIV/0!</v>
      </c>
      <c r="AG30" t="e">
        <v>#DIV/0!</v>
      </c>
      <c r="AH30" t="e">
        <v>#DIV/0!</v>
      </c>
      <c r="AI30" t="e">
        <v>#DIV/0!</v>
      </c>
    </row>
    <row r="31" spans="1:35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  <c r="S31">
        <v>0</v>
      </c>
      <c r="T31" t="e">
        <v>#DIV/0!</v>
      </c>
      <c r="U31" t="e">
        <v>#DIV/0!</v>
      </c>
      <c r="V31" t="e">
        <v>#DIV/0!</v>
      </c>
      <c r="W31" t="e">
        <v>#DIV/0!</v>
      </c>
      <c r="X31" t="e">
        <v>#DIV/0!</v>
      </c>
      <c r="Y31" t="e">
        <v>#DIV/0!</v>
      </c>
      <c r="Z31" t="e">
        <v>#DIV/0!</v>
      </c>
      <c r="AA31" t="e">
        <v>#DIV/0!</v>
      </c>
      <c r="AB31" t="e">
        <v>#DIV/0!</v>
      </c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e">
        <v>#DIV/0!</v>
      </c>
      <c r="AI31" t="e">
        <v>#DIV/0!</v>
      </c>
    </row>
    <row r="32" spans="1:35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  <c r="S32">
        <v>0</v>
      </c>
      <c r="T32" t="e">
        <v>#DIV/0!</v>
      </c>
      <c r="U32" t="e">
        <v>#DIV/0!</v>
      </c>
      <c r="V32" t="e">
        <v>#DIV/0!</v>
      </c>
      <c r="W32" t="e">
        <v>#DIV/0!</v>
      </c>
      <c r="X32" t="e">
        <v>#DIV/0!</v>
      </c>
      <c r="Y32" t="e">
        <v>#DIV/0!</v>
      </c>
      <c r="Z32" t="e">
        <v>#DIV/0!</v>
      </c>
      <c r="AA32" t="e">
        <v>#DIV/0!</v>
      </c>
      <c r="AB32" t="e">
        <v>#DIV/0!</v>
      </c>
      <c r="AC32" t="e">
        <v>#DIV/0!</v>
      </c>
      <c r="AD32" t="e">
        <v>#DIV/0!</v>
      </c>
      <c r="AE32" t="e">
        <v>#DIV/0!</v>
      </c>
      <c r="AF32" t="e">
        <v>#DIV/0!</v>
      </c>
      <c r="AG32" t="e">
        <v>#DIV/0!</v>
      </c>
      <c r="AH32" t="e">
        <v>#DIV/0!</v>
      </c>
      <c r="AI32" t="e">
        <v>#DIV/0!</v>
      </c>
    </row>
    <row r="33" spans="1:35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  <c r="S33">
        <v>0</v>
      </c>
      <c r="T33" t="e">
        <v>#DIV/0!</v>
      </c>
      <c r="U33" t="e">
        <v>#DIV/0!</v>
      </c>
      <c r="V33" t="e">
        <v>#DIV/0!</v>
      </c>
      <c r="W33" t="e">
        <v>#DIV/0!</v>
      </c>
      <c r="X33" t="e">
        <v>#DIV/0!</v>
      </c>
      <c r="Y33" t="e">
        <v>#DIV/0!</v>
      </c>
      <c r="Z33" t="e">
        <v>#DIV/0!</v>
      </c>
      <c r="AA33" t="e">
        <v>#DIV/0!</v>
      </c>
      <c r="AB33" t="e">
        <v>#DIV/0!</v>
      </c>
      <c r="AC33" t="e">
        <v>#DIV/0!</v>
      </c>
      <c r="AD33" t="e">
        <v>#DIV/0!</v>
      </c>
      <c r="AE33" t="e">
        <v>#DIV/0!</v>
      </c>
      <c r="AF33" t="e">
        <v>#DIV/0!</v>
      </c>
      <c r="AG33" t="e">
        <v>#DIV/0!</v>
      </c>
      <c r="AH33" t="e">
        <v>#DIV/0!</v>
      </c>
      <c r="AI33" t="e">
        <v>#DIV/0!</v>
      </c>
    </row>
    <row r="34" spans="1:35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  <c r="S34">
        <v>0</v>
      </c>
      <c r="T34" t="e">
        <v>#DIV/0!</v>
      </c>
      <c r="U34" t="e">
        <v>#DIV/0!</v>
      </c>
      <c r="V34" t="e">
        <v>#DIV/0!</v>
      </c>
      <c r="W34" t="e">
        <v>#DIV/0!</v>
      </c>
      <c r="X34" t="e">
        <v>#DIV/0!</v>
      </c>
      <c r="Y34" t="e">
        <v>#DIV/0!</v>
      </c>
      <c r="Z34" t="e">
        <v>#DIV/0!</v>
      </c>
      <c r="AA34" t="e">
        <v>#DIV/0!</v>
      </c>
      <c r="AB34" t="e">
        <v>#DIV/0!</v>
      </c>
      <c r="AC34" t="e">
        <v>#DIV/0!</v>
      </c>
      <c r="AD34" t="e">
        <v>#DIV/0!</v>
      </c>
      <c r="AE34" t="e">
        <v>#DIV/0!</v>
      </c>
      <c r="AF34" t="e">
        <v>#DIV/0!</v>
      </c>
      <c r="AG34" t="e">
        <v>#DIV/0!</v>
      </c>
      <c r="AH34" t="e">
        <v>#DIV/0!</v>
      </c>
      <c r="AI34" t="e">
        <v>#DIV/0!</v>
      </c>
    </row>
    <row r="35" spans="1:35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35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35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35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35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35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35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35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35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35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35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35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35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35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2026-06-24T03:30:20Z</dcterms:modified>
</cp:coreProperties>
</file>