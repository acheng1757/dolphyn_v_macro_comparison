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-Abbie.jl/MacroEnergyExamples/lcoe_plots/bio_ethylene_lcoe/"/>
    </mc:Choice>
  </mc:AlternateContent>
  <xr:revisionPtr revIDLastSave="0" documentId="13_ncr:1_{07BB9BEB-3166-8345-831D-0062BCB97FC2}" xr6:coauthVersionLast="47" xr6:coauthVersionMax="47" xr10:uidLastSave="{00000000-0000-0000-0000-000000000000}"/>
  <bookViews>
    <workbookView xWindow="6020" yWindow="740" windowWidth="23380" windowHeight="17740" xr2:uid="{00000000-000D-0000-FFFF-FFFF00000000}"/>
  </bookViews>
  <sheets>
    <sheet name="lc_detailed" sheetId="1" r:id="rId1"/>
    <sheet name="lc_summary_noseq" sheetId="2" r:id="rId2"/>
    <sheet name="lc_summary_seq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  <c r="B7" i="2"/>
  <c r="C7" i="2"/>
  <c r="D7" i="2"/>
  <c r="E7" i="2"/>
  <c r="T7" i="2" s="1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 s="1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 s="1"/>
  <c r="T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A6" i="2"/>
  <c r="M5" i="2"/>
  <c r="C5" i="2"/>
  <c r="K10" i="3"/>
  <c r="M9" i="3"/>
  <c r="G9" i="3"/>
  <c r="I8" i="3"/>
  <c r="K7" i="3"/>
  <c r="DD6" i="1"/>
  <c r="CY6" i="1"/>
  <c r="BS6" i="1"/>
  <c r="BQ6" i="1"/>
  <c r="K6" i="3" s="1"/>
  <c r="BO6" i="1"/>
  <c r="I6" i="3" s="1"/>
  <c r="BM6" i="1"/>
  <c r="BI6" i="1"/>
  <c r="BH6" i="1"/>
  <c r="B6" i="3" s="1"/>
  <c r="BA6" i="1"/>
  <c r="AZ6" i="1"/>
  <c r="A6" i="3" s="1"/>
  <c r="Q6" i="1" a="1"/>
  <c r="S6" i="1" s="1"/>
  <c r="DD5" i="1"/>
  <c r="CY5" i="1"/>
  <c r="BS5" i="1"/>
  <c r="M5" i="3" s="1"/>
  <c r="BQ5" i="1"/>
  <c r="K5" i="2" s="1"/>
  <c r="BO5" i="1"/>
  <c r="BM5" i="1"/>
  <c r="BI5" i="1"/>
  <c r="C5" i="3" s="1"/>
  <c r="BH5" i="1"/>
  <c r="BA5" i="1"/>
  <c r="AZ5" i="1"/>
  <c r="A5" i="2" s="1"/>
  <c r="Q5" i="1" a="1"/>
  <c r="W5" i="1" s="1"/>
  <c r="CR5" i="1" s="1"/>
  <c r="DD4" i="1"/>
  <c r="CY4" i="1"/>
  <c r="BS4" i="1"/>
  <c r="BQ4" i="1"/>
  <c r="BO4" i="1"/>
  <c r="I4" i="3" s="1"/>
  <c r="BM4" i="1"/>
  <c r="G4" i="3" s="1"/>
  <c r="BI4" i="1"/>
  <c r="BH4" i="1"/>
  <c r="BA4" i="1"/>
  <c r="AZ4" i="1"/>
  <c r="Q4" i="1" a="1"/>
  <c r="AA4" i="1" s="1"/>
  <c r="DD3" i="1"/>
  <c r="CY3" i="1"/>
  <c r="BS3" i="1"/>
  <c r="M3" i="3" s="1"/>
  <c r="BQ3" i="1"/>
  <c r="K3" i="2" s="1"/>
  <c r="BO3" i="1"/>
  <c r="BM3" i="1"/>
  <c r="G3" i="3" s="1"/>
  <c r="BI3" i="1"/>
  <c r="BH3" i="1"/>
  <c r="BA3" i="1"/>
  <c r="AZ3" i="1"/>
  <c r="Q3" i="1" a="1"/>
  <c r="Y3" i="1" s="1"/>
  <c r="W6" i="1" l="1"/>
  <c r="CR6" i="1" s="1"/>
  <c r="V3" i="1"/>
  <c r="V4" i="1"/>
  <c r="Q5" i="1"/>
  <c r="Q6" i="1"/>
  <c r="W3" i="1"/>
  <c r="CR3" i="1" s="1"/>
  <c r="W4" i="1"/>
  <c r="CR4" i="1" s="1"/>
  <c r="R3" i="1"/>
  <c r="AA3" i="1"/>
  <c r="Q4" i="1"/>
  <c r="V6" i="1"/>
  <c r="S3" i="1"/>
  <c r="AB3" i="1"/>
  <c r="T3" i="1"/>
  <c r="T4" i="1"/>
  <c r="X6" i="1"/>
  <c r="Z3" i="1"/>
  <c r="AB4" i="1"/>
  <c r="Y5" i="1"/>
  <c r="U6" i="1"/>
  <c r="CI6" i="1" s="1"/>
  <c r="BK6" i="1" s="1"/>
  <c r="U3" i="1"/>
  <c r="U4" i="1"/>
  <c r="CN4" i="1" s="1"/>
  <c r="BR4" i="1" s="1"/>
  <c r="Y6" i="1"/>
  <c r="AA6" i="1"/>
  <c r="Q3" i="1"/>
  <c r="X3" i="1"/>
  <c r="X4" i="1"/>
  <c r="X5" i="1"/>
  <c r="F8" i="3"/>
  <c r="J9" i="3"/>
  <c r="E9" i="3"/>
  <c r="E8" i="3"/>
  <c r="D9" i="3"/>
  <c r="A4" i="3"/>
  <c r="A4" i="2"/>
  <c r="N9" i="3"/>
  <c r="B4" i="3"/>
  <c r="B4" i="2"/>
  <c r="G7" i="3"/>
  <c r="I3" i="3"/>
  <c r="I3" i="2"/>
  <c r="K4" i="3"/>
  <c r="K4" i="2"/>
  <c r="G8" i="3"/>
  <c r="B10" i="3"/>
  <c r="C3" i="3"/>
  <c r="C3" i="2"/>
  <c r="AB5" i="1"/>
  <c r="B7" i="3"/>
  <c r="G3" i="2"/>
  <c r="I4" i="2"/>
  <c r="I9" i="3"/>
  <c r="A10" i="3"/>
  <c r="M3" i="2"/>
  <c r="B6" i="2"/>
  <c r="K6" i="2"/>
  <c r="K3" i="3"/>
  <c r="AB6" i="1"/>
  <c r="T6" i="1"/>
  <c r="Z6" i="1"/>
  <c r="CM6" i="1" s="1"/>
  <c r="BP6" i="1" s="1"/>
  <c r="R6" i="1"/>
  <c r="A7" i="3"/>
  <c r="C9" i="3"/>
  <c r="A5" i="3"/>
  <c r="C4" i="3"/>
  <c r="C4" i="2"/>
  <c r="Z5" i="1"/>
  <c r="R5" i="1"/>
  <c r="C10" i="3"/>
  <c r="M4" i="3"/>
  <c r="M4" i="2"/>
  <c r="S5" i="1"/>
  <c r="B5" i="3"/>
  <c r="B5" i="2"/>
  <c r="C6" i="3"/>
  <c r="C6" i="2"/>
  <c r="B9" i="3"/>
  <c r="M10" i="3"/>
  <c r="G4" i="2"/>
  <c r="K5" i="3"/>
  <c r="I5" i="3"/>
  <c r="I5" i="2"/>
  <c r="A3" i="3"/>
  <c r="A3" i="2"/>
  <c r="B3" i="2"/>
  <c r="B3" i="3"/>
  <c r="AA5" i="1"/>
  <c r="K9" i="3"/>
  <c r="Y4" i="1"/>
  <c r="T5" i="1"/>
  <c r="R4" i="1"/>
  <c r="Z4" i="1"/>
  <c r="U5" i="1"/>
  <c r="CV5" i="1" s="1"/>
  <c r="M6" i="2"/>
  <c r="M6" i="3"/>
  <c r="B8" i="3"/>
  <c r="S4" i="1"/>
  <c r="V5" i="1"/>
  <c r="M7" i="3"/>
  <c r="A8" i="3"/>
  <c r="A9" i="3"/>
  <c r="G6" i="2"/>
  <c r="G6" i="3"/>
  <c r="I7" i="3"/>
  <c r="C8" i="3"/>
  <c r="K8" i="3"/>
  <c r="G10" i="3"/>
  <c r="I6" i="2"/>
  <c r="G5" i="3"/>
  <c r="G5" i="2"/>
  <c r="C7" i="3"/>
  <c r="M8" i="3"/>
  <c r="I10" i="3"/>
  <c r="DB6" i="1" l="1"/>
  <c r="CJ4" i="1"/>
  <c r="BJ4" i="1" s="1"/>
  <c r="CM4" i="1"/>
  <c r="BP4" i="1" s="1"/>
  <c r="J4" i="2" s="1"/>
  <c r="CK4" i="1" a="1"/>
  <c r="CK4" i="1" s="1"/>
  <c r="BL4" i="1" s="1"/>
  <c r="F4" i="2" s="1"/>
  <c r="CJ6" i="1"/>
  <c r="BJ6" i="1" s="1"/>
  <c r="D6" i="2" s="1"/>
  <c r="DC4" i="1"/>
  <c r="CE4" i="1" s="1"/>
  <c r="CO6" i="1"/>
  <c r="BT6" i="1" s="1"/>
  <c r="N6" i="2" s="1"/>
  <c r="L4" i="2"/>
  <c r="L4" i="3"/>
  <c r="DB4" i="1"/>
  <c r="CO4" i="1"/>
  <c r="BT4" i="1" s="1"/>
  <c r="N4" i="3" s="1"/>
  <c r="CI3" i="1"/>
  <c r="BK3" i="1" s="1"/>
  <c r="CI4" i="1"/>
  <c r="BK4" i="1" s="1"/>
  <c r="E4" i="3" s="1"/>
  <c r="CL4" i="1"/>
  <c r="BN4" i="1" s="1"/>
  <c r="CW4" i="1"/>
  <c r="CK6" i="1" a="1"/>
  <c r="CK6" i="1" s="1"/>
  <c r="BL6" i="1" s="1"/>
  <c r="F6" i="2" s="1"/>
  <c r="DC6" i="1"/>
  <c r="E6" i="3"/>
  <c r="E6" i="2"/>
  <c r="DC3" i="1"/>
  <c r="CJ3" i="1"/>
  <c r="BJ3" i="1" s="1"/>
  <c r="CV3" i="1"/>
  <c r="CO3" i="1"/>
  <c r="BT3" i="1" s="1"/>
  <c r="CH6" i="1"/>
  <c r="E6" i="1"/>
  <c r="E5" i="1"/>
  <c r="CH5" i="1"/>
  <c r="CW6" i="1"/>
  <c r="CL6" i="1"/>
  <c r="BN6" i="1" s="1"/>
  <c r="CH3" i="1"/>
  <c r="E3" i="1"/>
  <c r="CM3" i="1"/>
  <c r="BP3" i="1" s="1"/>
  <c r="E4" i="1"/>
  <c r="CH4" i="1"/>
  <c r="CW3" i="1"/>
  <c r="CL3" i="1"/>
  <c r="BN3" i="1" s="1"/>
  <c r="CN6" i="1"/>
  <c r="BR6" i="1" s="1"/>
  <c r="DB3" i="1"/>
  <c r="CN3" i="1"/>
  <c r="BR3" i="1" s="1"/>
  <c r="CV6" i="1"/>
  <c r="CK3" i="1" a="1"/>
  <c r="CK3" i="1" s="1"/>
  <c r="BL3" i="1" s="1"/>
  <c r="CV4" i="1"/>
  <c r="J7" i="3"/>
  <c r="L10" i="3"/>
  <c r="N8" i="3"/>
  <c r="CJ5" i="1"/>
  <c r="BJ5" i="1" s="1"/>
  <c r="N7" i="3"/>
  <c r="F9" i="3"/>
  <c r="D10" i="3"/>
  <c r="CI5" i="1"/>
  <c r="BK5" i="1" s="1"/>
  <c r="CK5" i="1" a="1"/>
  <c r="CK5" i="1" s="1"/>
  <c r="BL5" i="1" s="1"/>
  <c r="O10" i="3"/>
  <c r="J8" i="3"/>
  <c r="N10" i="3"/>
  <c r="CW5" i="1"/>
  <c r="CZ5" i="1" s="1"/>
  <c r="CL5" i="1"/>
  <c r="BN5" i="1" s="1"/>
  <c r="CM5" i="1"/>
  <c r="BP5" i="1" s="1"/>
  <c r="H9" i="3"/>
  <c r="DC5" i="1"/>
  <c r="E7" i="3"/>
  <c r="L9" i="3"/>
  <c r="D8" i="3"/>
  <c r="H10" i="3"/>
  <c r="D4" i="3"/>
  <c r="D4" i="2"/>
  <c r="F10" i="3"/>
  <c r="J10" i="3"/>
  <c r="J4" i="3"/>
  <c r="CN5" i="1"/>
  <c r="BR5" i="1" s="1"/>
  <c r="E10" i="3"/>
  <c r="L8" i="3"/>
  <c r="J6" i="3"/>
  <c r="J6" i="2"/>
  <c r="CO5" i="1"/>
  <c r="BT5" i="1" s="1"/>
  <c r="DB5" i="1"/>
  <c r="CZ4" i="1" l="1"/>
  <c r="D6" i="3"/>
  <c r="F4" i="3"/>
  <c r="N4" i="2"/>
  <c r="CT4" i="1"/>
  <c r="CX4" i="1" s="1"/>
  <c r="L4" i="1" s="1"/>
  <c r="DE4" i="1" s="1"/>
  <c r="DF4" i="1" s="1"/>
  <c r="CD4" i="1" s="1"/>
  <c r="CF4" i="1" s="1"/>
  <c r="BF4" i="1" s="1"/>
  <c r="BY4" i="1"/>
  <c r="CB4" i="1"/>
  <c r="O4" i="2" s="1"/>
  <c r="BV4" i="1"/>
  <c r="O4" i="3" s="1"/>
  <c r="N6" i="3"/>
  <c r="F6" i="3"/>
  <c r="H4" i="2"/>
  <c r="H4" i="3"/>
  <c r="E4" i="2"/>
  <c r="CE6" i="1"/>
  <c r="BY6" i="1"/>
  <c r="BV6" i="1"/>
  <c r="O6" i="3" s="1"/>
  <c r="CB6" i="1"/>
  <c r="O6" i="2" s="1"/>
  <c r="E3" i="3"/>
  <c r="E3" i="2"/>
  <c r="CT6" i="1"/>
  <c r="CX6" i="1" s="1"/>
  <c r="L6" i="1" s="1"/>
  <c r="DE6" i="1" s="1"/>
  <c r="DF6" i="1" s="1"/>
  <c r="CZ6" i="1"/>
  <c r="J3" i="2"/>
  <c r="J3" i="3"/>
  <c r="N3" i="3"/>
  <c r="N3" i="2"/>
  <c r="CT3" i="1"/>
  <c r="CX3" i="1" s="1"/>
  <c r="L3" i="1" s="1"/>
  <c r="DE3" i="1" s="1"/>
  <c r="DF3" i="1" s="1"/>
  <c r="CZ3" i="1"/>
  <c r="L6" i="3"/>
  <c r="L6" i="2"/>
  <c r="D3" i="2"/>
  <c r="D3" i="3"/>
  <c r="H6" i="3"/>
  <c r="H6" i="2"/>
  <c r="H3" i="3"/>
  <c r="H3" i="2"/>
  <c r="BV3" i="1"/>
  <c r="O3" i="3" s="1"/>
  <c r="CB3" i="1"/>
  <c r="O3" i="2" s="1"/>
  <c r="CE3" i="1"/>
  <c r="BY3" i="1"/>
  <c r="L3" i="3"/>
  <c r="L3" i="2"/>
  <c r="F3" i="2"/>
  <c r="F3" i="3"/>
  <c r="H7" i="3"/>
  <c r="H8" i="3"/>
  <c r="O8" i="3"/>
  <c r="L7" i="3"/>
  <c r="D7" i="3"/>
  <c r="O9" i="3"/>
  <c r="L5" i="3"/>
  <c r="L5" i="2"/>
  <c r="CE5" i="1"/>
  <c r="BY5" i="1"/>
  <c r="CB5" i="1"/>
  <c r="BV5" i="1"/>
  <c r="J5" i="3"/>
  <c r="J5" i="2"/>
  <c r="N5" i="3"/>
  <c r="N5" i="2"/>
  <c r="CT5" i="1"/>
  <c r="CX5" i="1" s="1"/>
  <c r="L5" i="1" s="1"/>
  <c r="DE5" i="1" s="1"/>
  <c r="DF5" i="1" s="1"/>
  <c r="BX5" i="1" s="1"/>
  <c r="BZ5" i="1" s="1"/>
  <c r="H5" i="3"/>
  <c r="H5" i="2"/>
  <c r="F5" i="3"/>
  <c r="F5" i="2"/>
  <c r="E5" i="3"/>
  <c r="E5" i="2"/>
  <c r="F7" i="3"/>
  <c r="D5" i="3"/>
  <c r="D5" i="2"/>
  <c r="DH4" i="1" l="1"/>
  <c r="BU4" i="1"/>
  <c r="BX4" i="1"/>
  <c r="BZ4" i="1" s="1"/>
  <c r="BC4" i="1"/>
  <c r="CA4" i="1"/>
  <c r="Q4" i="2" s="1"/>
  <c r="BX3" i="1"/>
  <c r="BZ3" i="1" s="1"/>
  <c r="BC3" i="1" s="1"/>
  <c r="CD3" i="1"/>
  <c r="CF3" i="1" s="1"/>
  <c r="BF3" i="1" s="1"/>
  <c r="DH3" i="1"/>
  <c r="CA3" i="1"/>
  <c r="BU3" i="1"/>
  <c r="BU6" i="1"/>
  <c r="CD6" i="1"/>
  <c r="CF6" i="1" s="1"/>
  <c r="BF6" i="1" s="1"/>
  <c r="BX6" i="1"/>
  <c r="BZ6" i="1" s="1"/>
  <c r="BC6" i="1" s="1"/>
  <c r="CA6" i="1"/>
  <c r="DH6" i="1"/>
  <c r="CA5" i="1"/>
  <c r="Q5" i="2" s="1"/>
  <c r="CD5" i="1"/>
  <c r="CF5" i="1" s="1"/>
  <c r="BF5" i="1" s="1"/>
  <c r="Q4" i="3"/>
  <c r="BW4" i="1"/>
  <c r="BU5" i="1"/>
  <c r="O7" i="3"/>
  <c r="O5" i="3"/>
  <c r="Q9" i="3"/>
  <c r="BC5" i="1"/>
  <c r="Q10" i="3"/>
  <c r="DH5" i="1"/>
  <c r="O5" i="2"/>
  <c r="CC4" i="1" l="1"/>
  <c r="CC5" i="1"/>
  <c r="P5" i="2" s="1"/>
  <c r="T5" i="2" s="1"/>
  <c r="BW3" i="1"/>
  <c r="Q3" i="3"/>
  <c r="Q6" i="2"/>
  <c r="CC6" i="1"/>
  <c r="BW6" i="1"/>
  <c r="Q6" i="3"/>
  <c r="Q3" i="2"/>
  <c r="CC3" i="1"/>
  <c r="Q8" i="3"/>
  <c r="P4" i="2"/>
  <c r="T4" i="2" s="1"/>
  <c r="BE4" i="1"/>
  <c r="Q5" i="3"/>
  <c r="BW5" i="1"/>
  <c r="Q7" i="3"/>
  <c r="P10" i="3"/>
  <c r="T10" i="3" s="1"/>
  <c r="P4" i="3"/>
  <c r="T4" i="3" s="1"/>
  <c r="BB4" i="1"/>
  <c r="BE5" i="1"/>
  <c r="P9" i="3"/>
  <c r="T9" i="3" s="1"/>
  <c r="P3" i="2" l="1"/>
  <c r="T3" i="2" s="1"/>
  <c r="BE3" i="1"/>
  <c r="P6" i="2"/>
  <c r="T6" i="2" s="1"/>
  <c r="BE6" i="1"/>
  <c r="BB6" i="1"/>
  <c r="P6" i="3"/>
  <c r="T6" i="3" s="1"/>
  <c r="P3" i="3"/>
  <c r="T3" i="3" s="1"/>
  <c r="BB3" i="1"/>
  <c r="P5" i="3"/>
  <c r="T5" i="3" s="1"/>
  <c r="BB5" i="1"/>
  <c r="P8" i="3"/>
  <c r="T8" i="3" s="1"/>
  <c r="R4" i="3"/>
  <c r="S4" i="3" s="1"/>
  <c r="BD4" i="1"/>
  <c r="R9" i="3"/>
  <c r="S9" i="3" s="1"/>
  <c r="R5" i="2"/>
  <c r="S5" i="2" s="1"/>
  <c r="BG5" i="1"/>
  <c r="P7" i="3"/>
  <c r="T7" i="3" s="1"/>
  <c r="R4" i="2"/>
  <c r="S4" i="2" s="1"/>
  <c r="BG4" i="1"/>
  <c r="R10" i="3"/>
  <c r="S10" i="3" s="1"/>
  <c r="R6" i="3" l="1"/>
  <c r="S6" i="3" s="1"/>
  <c r="BD6" i="1"/>
  <c r="R3" i="3"/>
  <c r="S3" i="3" s="1"/>
  <c r="BD3" i="1"/>
  <c r="R3" i="2"/>
  <c r="S3" i="2" s="1"/>
  <c r="BG3" i="1"/>
  <c r="BG6" i="1"/>
  <c r="R6" i="2"/>
  <c r="S6" i="2" s="1"/>
  <c r="R7" i="3"/>
  <c r="S7" i="3" s="1"/>
  <c r="R5" i="3"/>
  <c r="BD5" i="1"/>
  <c r="R8" i="3"/>
  <c r="S8" i="3" s="1"/>
  <c r="S5" i="3" l="1"/>
  <c r="Z3" i="3" a="1"/>
  <c r="Z3" i="2" a="1"/>
  <c r="AP34" i="2" l="1"/>
  <c r="AH34" i="2"/>
  <c r="Z34" i="2"/>
  <c r="AL33" i="2"/>
  <c r="AD33" i="2"/>
  <c r="AP32" i="2"/>
  <c r="AH32" i="2"/>
  <c r="Z32" i="2"/>
  <c r="AL31" i="2"/>
  <c r="AD31" i="2"/>
  <c r="AP30" i="2"/>
  <c r="AH30" i="2"/>
  <c r="Z30" i="2"/>
  <c r="AL29" i="2"/>
  <c r="AD29" i="2"/>
  <c r="AP28" i="2"/>
  <c r="AH28" i="2"/>
  <c r="Z28" i="2"/>
  <c r="AL27" i="2"/>
  <c r="AD27" i="2"/>
  <c r="AP26" i="2"/>
  <c r="AH26" i="2"/>
  <c r="Z26" i="2"/>
  <c r="AL25" i="2"/>
  <c r="AD25" i="2"/>
  <c r="AP24" i="2"/>
  <c r="AH24" i="2"/>
  <c r="Z24" i="2"/>
  <c r="AL23" i="2"/>
  <c r="AD23" i="2"/>
  <c r="AP22" i="2"/>
  <c r="AH22" i="2"/>
  <c r="Z22" i="2"/>
  <c r="AL21" i="2"/>
  <c r="AD21" i="2"/>
  <c r="AP20" i="2"/>
  <c r="AH20" i="2"/>
  <c r="Z20" i="2"/>
  <c r="AL19" i="2"/>
  <c r="AD19" i="2"/>
  <c r="AP18" i="2"/>
  <c r="AH18" i="2"/>
  <c r="Z18" i="2"/>
  <c r="AL17" i="2"/>
  <c r="AD17" i="2"/>
  <c r="AP16" i="2"/>
  <c r="AH16" i="2"/>
  <c r="Z16" i="2"/>
  <c r="AL15" i="2"/>
  <c r="AD15" i="2"/>
  <c r="AP14" i="2"/>
  <c r="AH14" i="2"/>
  <c r="Z14" i="2"/>
  <c r="AL13" i="2"/>
  <c r="AD13" i="2"/>
  <c r="AP12" i="2"/>
  <c r="AH12" i="2"/>
  <c r="Z12" i="2"/>
  <c r="AL11" i="2"/>
  <c r="AD11" i="2"/>
  <c r="AP10" i="2"/>
  <c r="AH10" i="2"/>
  <c r="Z10" i="2"/>
  <c r="AL9" i="2"/>
  <c r="AD9" i="2"/>
  <c r="AP8" i="2"/>
  <c r="AH8" i="2"/>
  <c r="Z8" i="2"/>
  <c r="AL7" i="2"/>
  <c r="AD7" i="2"/>
  <c r="AP6" i="2"/>
  <c r="AH6" i="2"/>
  <c r="Z6" i="2"/>
  <c r="AL5" i="2"/>
  <c r="AD5" i="2"/>
  <c r="AP4" i="2"/>
  <c r="AH4" i="2"/>
  <c r="Z4" i="2"/>
  <c r="AL3" i="2"/>
  <c r="AD3" i="2"/>
  <c r="AO34" i="2"/>
  <c r="AG34" i="2"/>
  <c r="AS33" i="2"/>
  <c r="AK33" i="2"/>
  <c r="AC33" i="2"/>
  <c r="AO32" i="2"/>
  <c r="AG32" i="2"/>
  <c r="AS31" i="2"/>
  <c r="AK31" i="2"/>
  <c r="AC31" i="2"/>
  <c r="AO30" i="2"/>
  <c r="AG30" i="2"/>
  <c r="AS29" i="2"/>
  <c r="AK29" i="2"/>
  <c r="AC29" i="2"/>
  <c r="AO28" i="2"/>
  <c r="AG28" i="2"/>
  <c r="AS27" i="2"/>
  <c r="AK27" i="2"/>
  <c r="AC27" i="2"/>
  <c r="AO26" i="2"/>
  <c r="AG26" i="2"/>
  <c r="AS25" i="2"/>
  <c r="AK25" i="2"/>
  <c r="AC25" i="2"/>
  <c r="AO24" i="2"/>
  <c r="AG24" i="2"/>
  <c r="AS23" i="2"/>
  <c r="AK23" i="2"/>
  <c r="AC23" i="2"/>
  <c r="AO22" i="2"/>
  <c r="AG22" i="2"/>
  <c r="AS21" i="2"/>
  <c r="AK21" i="2"/>
  <c r="AC21" i="2"/>
  <c r="AO20" i="2"/>
  <c r="AG20" i="2"/>
  <c r="AS19" i="2"/>
  <c r="AK19" i="2"/>
  <c r="AC19" i="2"/>
  <c r="AO18" i="2"/>
  <c r="AG18" i="2"/>
  <c r="AS17" i="2"/>
  <c r="AK17" i="2"/>
  <c r="AC17" i="2"/>
  <c r="AO16" i="2"/>
  <c r="AG16" i="2"/>
  <c r="AS15" i="2"/>
  <c r="AK15" i="2"/>
  <c r="AC15" i="2"/>
  <c r="AO14" i="2"/>
  <c r="AG14" i="2"/>
  <c r="AS13" i="2"/>
  <c r="AK13" i="2"/>
  <c r="AC13" i="2"/>
  <c r="AO12" i="2"/>
  <c r="AG12" i="2"/>
  <c r="AS11" i="2"/>
  <c r="AK11" i="2"/>
  <c r="AC11" i="2"/>
  <c r="AO10" i="2"/>
  <c r="AG10" i="2"/>
  <c r="AS9" i="2"/>
  <c r="AK9" i="2"/>
  <c r="AC9" i="2"/>
  <c r="AO8" i="2"/>
  <c r="AG8" i="2"/>
  <c r="AS7" i="2"/>
  <c r="AK7" i="2"/>
  <c r="AC7" i="2"/>
  <c r="AO6" i="2"/>
  <c r="AG6" i="2"/>
  <c r="AS5" i="2"/>
  <c r="AK5" i="2"/>
  <c r="AC5" i="2"/>
  <c r="AO4" i="2"/>
  <c r="AG4" i="2"/>
  <c r="AS3" i="2"/>
  <c r="AK3" i="2"/>
  <c r="AC3" i="2"/>
  <c r="AN34" i="2"/>
  <c r="AF34" i="2"/>
  <c r="AR33" i="2"/>
  <c r="AJ33" i="2"/>
  <c r="AB33" i="2"/>
  <c r="AN32" i="2"/>
  <c r="AF32" i="2"/>
  <c r="AR31" i="2"/>
  <c r="AJ31" i="2"/>
  <c r="AB31" i="2"/>
  <c r="AN30" i="2"/>
  <c r="AF30" i="2"/>
  <c r="AR29" i="2"/>
  <c r="AJ29" i="2"/>
  <c r="AB29" i="2"/>
  <c r="AN28" i="2"/>
  <c r="AF28" i="2"/>
  <c r="AR27" i="2"/>
  <c r="AJ27" i="2"/>
  <c r="AB27" i="2"/>
  <c r="AN26" i="2"/>
  <c r="AF26" i="2"/>
  <c r="AR25" i="2"/>
  <c r="AJ25" i="2"/>
  <c r="AB25" i="2"/>
  <c r="AN24" i="2"/>
  <c r="AF24" i="2"/>
  <c r="AR23" i="2"/>
  <c r="AJ23" i="2"/>
  <c r="AB23" i="2"/>
  <c r="AN22" i="2"/>
  <c r="AF22" i="2"/>
  <c r="AR21" i="2"/>
  <c r="AJ21" i="2"/>
  <c r="AB21" i="2"/>
  <c r="AN20" i="2"/>
  <c r="AF20" i="2"/>
  <c r="AR19" i="2"/>
  <c r="AJ19" i="2"/>
  <c r="AB19" i="2"/>
  <c r="AN18" i="2"/>
  <c r="AF18" i="2"/>
  <c r="AR17" i="2"/>
  <c r="AJ17" i="2"/>
  <c r="AB17" i="2"/>
  <c r="AN16" i="2"/>
  <c r="AF16" i="2"/>
  <c r="AR15" i="2"/>
  <c r="AJ15" i="2"/>
  <c r="AB15" i="2"/>
  <c r="AN14" i="2"/>
  <c r="AF14" i="2"/>
  <c r="AR13" i="2"/>
  <c r="AJ13" i="2"/>
  <c r="AB13" i="2"/>
  <c r="AN12" i="2"/>
  <c r="AF12" i="2"/>
  <c r="AR11" i="2"/>
  <c r="AJ11" i="2"/>
  <c r="AB11" i="2"/>
  <c r="AN10" i="2"/>
  <c r="AF10" i="2"/>
  <c r="AR9" i="2"/>
  <c r="AJ9" i="2"/>
  <c r="AB9" i="2"/>
  <c r="AN8" i="2"/>
  <c r="AF8" i="2"/>
  <c r="AR7" i="2"/>
  <c r="AJ7" i="2"/>
  <c r="AB7" i="2"/>
  <c r="AN6" i="2"/>
  <c r="AF6" i="2"/>
  <c r="AR5" i="2"/>
  <c r="AJ5" i="2"/>
  <c r="AB5" i="2"/>
  <c r="AN4" i="2"/>
  <c r="AF4" i="2"/>
  <c r="AR3" i="2"/>
  <c r="AJ3" i="2"/>
  <c r="AB3" i="2"/>
  <c r="AQ34" i="2"/>
  <c r="AI34" i="2"/>
  <c r="AA34" i="2"/>
  <c r="AM33" i="2"/>
  <c r="AE33" i="2"/>
  <c r="AQ32" i="2"/>
  <c r="AI32" i="2"/>
  <c r="AA32" i="2"/>
  <c r="AM31" i="2"/>
  <c r="AE31" i="2"/>
  <c r="AQ30" i="2"/>
  <c r="AI30" i="2"/>
  <c r="AA30" i="2"/>
  <c r="AM29" i="2"/>
  <c r="AE29" i="2"/>
  <c r="AQ28" i="2"/>
  <c r="AI28" i="2"/>
  <c r="AA28" i="2"/>
  <c r="AM27" i="2"/>
  <c r="AE27" i="2"/>
  <c r="AQ26" i="2"/>
  <c r="AI26" i="2"/>
  <c r="AA26" i="2"/>
  <c r="AM25" i="2"/>
  <c r="AE25" i="2"/>
  <c r="AQ24" i="2"/>
  <c r="AI24" i="2"/>
  <c r="AA24" i="2"/>
  <c r="AM23" i="2"/>
  <c r="AE23" i="2"/>
  <c r="AQ22" i="2"/>
  <c r="AI22" i="2"/>
  <c r="AA22" i="2"/>
  <c r="AM21" i="2"/>
  <c r="AE21" i="2"/>
  <c r="AQ20" i="2"/>
  <c r="AI20" i="2"/>
  <c r="AA20" i="2"/>
  <c r="AM19" i="2"/>
  <c r="AE19" i="2"/>
  <c r="AQ18" i="2"/>
  <c r="AI18" i="2"/>
  <c r="AA18" i="2"/>
  <c r="AM17" i="2"/>
  <c r="AE17" i="2"/>
  <c r="AQ16" i="2"/>
  <c r="AI16" i="2"/>
  <c r="AA16" i="2"/>
  <c r="AM15" i="2"/>
  <c r="AE15" i="2"/>
  <c r="AQ14" i="2"/>
  <c r="AI14" i="2"/>
  <c r="AA14" i="2"/>
  <c r="AM13" i="2"/>
  <c r="AE13" i="2"/>
  <c r="AQ12" i="2"/>
  <c r="AI12" i="2"/>
  <c r="AA12" i="2"/>
  <c r="AM11" i="2"/>
  <c r="AE11" i="2"/>
  <c r="AQ10" i="2"/>
  <c r="AI10" i="2"/>
  <c r="AA10" i="2"/>
  <c r="AM9" i="2"/>
  <c r="AE9" i="2"/>
  <c r="AQ8" i="2"/>
  <c r="AI8" i="2"/>
  <c r="AA8" i="2"/>
  <c r="AM7" i="2"/>
  <c r="AE7" i="2"/>
  <c r="AQ6" i="2"/>
  <c r="AI6" i="2"/>
  <c r="AA6" i="2"/>
  <c r="AM5" i="2"/>
  <c r="AE5" i="2"/>
  <c r="AQ4" i="2"/>
  <c r="AI4" i="2"/>
  <c r="AA4" i="2"/>
  <c r="AM3" i="2"/>
  <c r="AE3" i="2"/>
  <c r="AS34" i="2"/>
  <c r="AC34" i="2"/>
  <c r="AG33" i="2"/>
  <c r="AK32" i="2"/>
  <c r="AO31" i="2"/>
  <c r="AS30" i="2"/>
  <c r="AC30" i="2"/>
  <c r="AG29" i="2"/>
  <c r="AK28" i="2"/>
  <c r="AO27" i="2"/>
  <c r="AS26" i="2"/>
  <c r="AC26" i="2"/>
  <c r="AG25" i="2"/>
  <c r="AK24" i="2"/>
  <c r="AO23" i="2"/>
  <c r="AS22" i="2"/>
  <c r="AC22" i="2"/>
  <c r="AG21" i="2"/>
  <c r="AK20" i="2"/>
  <c r="AO19" i="2"/>
  <c r="AS18" i="2"/>
  <c r="AC18" i="2"/>
  <c r="AG17" i="2"/>
  <c r="AK16" i="2"/>
  <c r="AO15" i="2"/>
  <c r="AS14" i="2"/>
  <c r="AC14" i="2"/>
  <c r="AG13" i="2"/>
  <c r="AK12" i="2"/>
  <c r="AO11" i="2"/>
  <c r="AS10" i="2"/>
  <c r="AC10" i="2"/>
  <c r="AG9" i="2"/>
  <c r="AK8" i="2"/>
  <c r="AO7" i="2"/>
  <c r="AS6" i="2"/>
  <c r="AC6" i="2"/>
  <c r="AG5" i="2"/>
  <c r="AK4" i="2"/>
  <c r="AO3" i="2"/>
  <c r="Z3" i="2"/>
  <c r="AR34" i="2"/>
  <c r="AB34" i="2"/>
  <c r="AF33" i="2"/>
  <c r="AJ32" i="2"/>
  <c r="AN31" i="2"/>
  <c r="AR30" i="2"/>
  <c r="AB30" i="2"/>
  <c r="AF29" i="2"/>
  <c r="AJ28" i="2"/>
  <c r="AN27" i="2"/>
  <c r="AR26" i="2"/>
  <c r="AB26" i="2"/>
  <c r="AF25" i="2"/>
  <c r="AJ24" i="2"/>
  <c r="AN23" i="2"/>
  <c r="AR22" i="2"/>
  <c r="AB22" i="2"/>
  <c r="AF21" i="2"/>
  <c r="AJ20" i="2"/>
  <c r="AN19" i="2"/>
  <c r="AR18" i="2"/>
  <c r="AB18" i="2"/>
  <c r="AF17" i="2"/>
  <c r="AJ16" i="2"/>
  <c r="AN15" i="2"/>
  <c r="AR14" i="2"/>
  <c r="AB14" i="2"/>
  <c r="AF13" i="2"/>
  <c r="AJ12" i="2"/>
  <c r="AN11" i="2"/>
  <c r="AR10" i="2"/>
  <c r="AB10" i="2"/>
  <c r="AF9" i="2"/>
  <c r="AJ8" i="2"/>
  <c r="AN7" i="2"/>
  <c r="AR6" i="2"/>
  <c r="AB6" i="2"/>
  <c r="AF5" i="2"/>
  <c r="AJ4" i="2"/>
  <c r="AN3" i="2"/>
  <c r="AM34" i="2"/>
  <c r="AQ33" i="2"/>
  <c r="AA33" i="2"/>
  <c r="AE32" i="2"/>
  <c r="AI31" i="2"/>
  <c r="AM30" i="2"/>
  <c r="AQ29" i="2"/>
  <c r="AA29" i="2"/>
  <c r="AE28" i="2"/>
  <c r="AI27" i="2"/>
  <c r="AM26" i="2"/>
  <c r="AQ25" i="2"/>
  <c r="AA25" i="2"/>
  <c r="AE24" i="2"/>
  <c r="AI23" i="2"/>
  <c r="AM22" i="2"/>
  <c r="AQ21" i="2"/>
  <c r="AA21" i="2"/>
  <c r="AE20" i="2"/>
  <c r="AI19" i="2"/>
  <c r="AM18" i="2"/>
  <c r="AQ17" i="2"/>
  <c r="AA17" i="2"/>
  <c r="AE16" i="2"/>
  <c r="AI15" i="2"/>
  <c r="AM14" i="2"/>
  <c r="AQ13" i="2"/>
  <c r="AA13" i="2"/>
  <c r="AE12" i="2"/>
  <c r="AI11" i="2"/>
  <c r="AM10" i="2"/>
  <c r="AQ9" i="2"/>
  <c r="AA9" i="2"/>
  <c r="AE8" i="2"/>
  <c r="AI7" i="2"/>
  <c r="AM6" i="2"/>
  <c r="AQ5" i="2"/>
  <c r="AA5" i="2"/>
  <c r="AE4" i="2"/>
  <c r="AI3" i="2"/>
  <c r="AD34" i="2"/>
  <c r="AR32" i="2"/>
  <c r="AH31" i="2"/>
  <c r="AE30" i="2"/>
  <c r="AS28" i="2"/>
  <c r="AP27" i="2"/>
  <c r="AJ26" i="2"/>
  <c r="Z25" i="2"/>
  <c r="AQ23" i="2"/>
  <c r="AK22" i="2"/>
  <c r="AH21" i="2"/>
  <c r="AB20" i="2"/>
  <c r="AL18" i="2"/>
  <c r="AI17" i="2"/>
  <c r="AC16" i="2"/>
  <c r="Z15" i="2"/>
  <c r="AN13" i="2"/>
  <c r="AD12" i="2"/>
  <c r="AA11" i="2"/>
  <c r="AO9" i="2"/>
  <c r="AL8" i="2"/>
  <c r="AF7" i="2"/>
  <c r="AP5" i="2"/>
  <c r="AM4" i="2"/>
  <c r="AG3" i="2"/>
  <c r="AN33" i="2"/>
  <c r="AO29" i="2"/>
  <c r="AM24" i="2"/>
  <c r="AD22" i="2"/>
  <c r="AE18" i="2"/>
  <c r="AP15" i="2"/>
  <c r="AQ11" i="2"/>
  <c r="AB8" i="2"/>
  <c r="AC4" i="2"/>
  <c r="AP33" i="2"/>
  <c r="AM32" i="2"/>
  <c r="AG31" i="2"/>
  <c r="AD30" i="2"/>
  <c r="AR28" i="2"/>
  <c r="AH27" i="2"/>
  <c r="AE26" i="2"/>
  <c r="AS24" i="2"/>
  <c r="AP23" i="2"/>
  <c r="AJ22" i="2"/>
  <c r="Z21" i="2"/>
  <c r="AQ19" i="2"/>
  <c r="AK18" i="2"/>
  <c r="AH17" i="2"/>
  <c r="AB16" i="2"/>
  <c r="AL14" i="2"/>
  <c r="AI13" i="2"/>
  <c r="AC12" i="2"/>
  <c r="Z11" i="2"/>
  <c r="AN9" i="2"/>
  <c r="AD8" i="2"/>
  <c r="AA7" i="2"/>
  <c r="AO5" i="2"/>
  <c r="AL4" i="2"/>
  <c r="AF3" i="2"/>
  <c r="AD32" i="2"/>
  <c r="AL28" i="2"/>
  <c r="AF27" i="2"/>
  <c r="AG23" i="2"/>
  <c r="AH19" i="2"/>
  <c r="Z13" i="2"/>
  <c r="AH9" i="2"/>
  <c r="AI5" i="2"/>
  <c r="AO33" i="2"/>
  <c r="AL32" i="2"/>
  <c r="AF31" i="2"/>
  <c r="AP29" i="2"/>
  <c r="AM28" i="2"/>
  <c r="AG27" i="2"/>
  <c r="AD26" i="2"/>
  <c r="AR24" i="2"/>
  <c r="AH23" i="2"/>
  <c r="AE22" i="2"/>
  <c r="AS20" i="2"/>
  <c r="AP19" i="2"/>
  <c r="AJ18" i="2"/>
  <c r="Z17" i="2"/>
  <c r="AQ15" i="2"/>
  <c r="AK14" i="2"/>
  <c r="AH13" i="2"/>
  <c r="AB12" i="2"/>
  <c r="AL10" i="2"/>
  <c r="AI9" i="2"/>
  <c r="AC8" i="2"/>
  <c r="Z7" i="2"/>
  <c r="AN5" i="2"/>
  <c r="AD4" i="2"/>
  <c r="AA3" i="2"/>
  <c r="AA31" i="2"/>
  <c r="AP25" i="2"/>
  <c r="AR20" i="2"/>
  <c r="AS16" i="2"/>
  <c r="AJ14" i="2"/>
  <c r="AK10" i="2"/>
  <c r="AL6" i="2"/>
  <c r="AL34" i="2"/>
  <c r="AI33" i="2"/>
  <c r="AC32" i="2"/>
  <c r="Z31" i="2"/>
  <c r="AN29" i="2"/>
  <c r="AD28" i="2"/>
  <c r="AA27" i="2"/>
  <c r="AO25" i="2"/>
  <c r="AL24" i="2"/>
  <c r="AF23" i="2"/>
  <c r="AP21" i="2"/>
  <c r="AM20" i="2"/>
  <c r="AG19" i="2"/>
  <c r="AD18" i="2"/>
  <c r="AR16" i="2"/>
  <c r="AH15" i="2"/>
  <c r="AE14" i="2"/>
  <c r="AS12" i="2"/>
  <c r="AP11" i="2"/>
  <c r="AJ10" i="2"/>
  <c r="Z9" i="2"/>
  <c r="AQ7" i="2"/>
  <c r="AK6" i="2"/>
  <c r="AH5" i="2"/>
  <c r="AB4" i="2"/>
  <c r="AK34" i="2"/>
  <c r="AH33" i="2"/>
  <c r="AB32" i="2"/>
  <c r="AL30" i="2"/>
  <c r="AI29" i="2"/>
  <c r="AC28" i="2"/>
  <c r="Z27" i="2"/>
  <c r="AN25" i="2"/>
  <c r="AD24" i="2"/>
  <c r="AA23" i="2"/>
  <c r="AO21" i="2"/>
  <c r="AL20" i="2"/>
  <c r="AF19" i="2"/>
  <c r="AP17" i="2"/>
  <c r="AM16" i="2"/>
  <c r="AG15" i="2"/>
  <c r="AD14" i="2"/>
  <c r="AR12" i="2"/>
  <c r="AH11" i="2"/>
  <c r="AE10" i="2"/>
  <c r="AS8" i="2"/>
  <c r="AP7" i="2"/>
  <c r="AJ6" i="2"/>
  <c r="Z5" i="2"/>
  <c r="AQ3" i="2"/>
  <c r="AJ34" i="2"/>
  <c r="Z33" i="2"/>
  <c r="AQ31" i="2"/>
  <c r="AK30" i="2"/>
  <c r="AH29" i="2"/>
  <c r="AB28" i="2"/>
  <c r="AL26" i="2"/>
  <c r="AI25" i="2"/>
  <c r="AC24" i="2"/>
  <c r="Z23" i="2"/>
  <c r="AN21" i="2"/>
  <c r="AD20" i="2"/>
  <c r="AA19" i="2"/>
  <c r="AO17" i="2"/>
  <c r="AL16" i="2"/>
  <c r="AF15" i="2"/>
  <c r="AP13" i="2"/>
  <c r="AM12" i="2"/>
  <c r="AG11" i="2"/>
  <c r="AD10" i="2"/>
  <c r="AR8" i="2"/>
  <c r="AH7" i="2"/>
  <c r="AE6" i="2"/>
  <c r="AS4" i="2"/>
  <c r="AP3" i="2"/>
  <c r="AE34" i="2"/>
  <c r="AS32" i="2"/>
  <c r="AP31" i="2"/>
  <c r="AJ30" i="2"/>
  <c r="Z29" i="2"/>
  <c r="AQ27" i="2"/>
  <c r="AK26" i="2"/>
  <c r="AH25" i="2"/>
  <c r="AB24" i="2"/>
  <c r="AL22" i="2"/>
  <c r="AI21" i="2"/>
  <c r="AC20" i="2"/>
  <c r="Z19" i="2"/>
  <c r="AN17" i="2"/>
  <c r="AD16" i="2"/>
  <c r="AA15" i="2"/>
  <c r="AO13" i="2"/>
  <c r="AL12" i="2"/>
  <c r="AF11" i="2"/>
  <c r="AP9" i="2"/>
  <c r="AM8" i="2"/>
  <c r="AG7" i="2"/>
  <c r="AD6" i="2"/>
  <c r="AR4" i="2"/>
  <c r="AH3" i="2"/>
  <c r="AO34" i="3"/>
  <c r="AG34" i="3"/>
  <c r="AS33" i="3"/>
  <c r="AK33" i="3"/>
  <c r="AC33" i="3"/>
  <c r="AO32" i="3"/>
  <c r="AG32" i="3"/>
  <c r="AS31" i="3"/>
  <c r="AK31" i="3"/>
  <c r="AC31" i="3"/>
  <c r="AO30" i="3"/>
  <c r="AG30" i="3"/>
  <c r="AS29" i="3"/>
  <c r="AK29" i="3"/>
  <c r="AC29" i="3"/>
  <c r="AO28" i="3"/>
  <c r="AG28" i="3"/>
  <c r="AS27" i="3"/>
  <c r="AK27" i="3"/>
  <c r="AC27" i="3"/>
  <c r="AO26" i="3"/>
  <c r="AG26" i="3"/>
  <c r="AS25" i="3"/>
  <c r="AK25" i="3"/>
  <c r="AC25" i="3"/>
  <c r="AO24" i="3"/>
  <c r="AG24" i="3"/>
  <c r="AS23" i="3"/>
  <c r="AK23" i="3"/>
  <c r="AC23" i="3"/>
  <c r="AO22" i="3"/>
  <c r="AG22" i="3"/>
  <c r="AS21" i="3"/>
  <c r="AK21" i="3"/>
  <c r="AC21" i="3"/>
  <c r="AO20" i="3"/>
  <c r="AG20" i="3"/>
  <c r="AS19" i="3"/>
  <c r="AK19" i="3"/>
  <c r="AC19" i="3"/>
  <c r="AO18" i="3"/>
  <c r="AG18" i="3"/>
  <c r="AS17" i="3"/>
  <c r="AK17" i="3"/>
  <c r="AC17" i="3"/>
  <c r="AO16" i="3"/>
  <c r="AG16" i="3"/>
  <c r="AN34" i="3"/>
  <c r="AF34" i="3"/>
  <c r="AR33" i="3"/>
  <c r="AJ33" i="3"/>
  <c r="AB33" i="3"/>
  <c r="AN32" i="3"/>
  <c r="AF32" i="3"/>
  <c r="AR31" i="3"/>
  <c r="AJ31" i="3"/>
  <c r="AB31" i="3"/>
  <c r="AN30" i="3"/>
  <c r="AF30" i="3"/>
  <c r="AR29" i="3"/>
  <c r="AJ29" i="3"/>
  <c r="AB29" i="3"/>
  <c r="AN28" i="3"/>
  <c r="AF28" i="3"/>
  <c r="AR27" i="3"/>
  <c r="AJ27" i="3"/>
  <c r="AB27" i="3"/>
  <c r="AN26" i="3"/>
  <c r="AF26" i="3"/>
  <c r="AR25" i="3"/>
  <c r="AJ25" i="3"/>
  <c r="AB25" i="3"/>
  <c r="AN24" i="3"/>
  <c r="AF24" i="3"/>
  <c r="AR23" i="3"/>
  <c r="AJ23" i="3"/>
  <c r="AB23" i="3"/>
  <c r="AN22" i="3"/>
  <c r="AF22" i="3"/>
  <c r="AR21" i="3"/>
  <c r="AJ21" i="3"/>
  <c r="AB21" i="3"/>
  <c r="AN20" i="3"/>
  <c r="AF20" i="3"/>
  <c r="AR19" i="3"/>
  <c r="AJ19" i="3"/>
  <c r="AB19" i="3"/>
  <c r="AN18" i="3"/>
  <c r="AF18" i="3"/>
  <c r="AR17" i="3"/>
  <c r="AJ17" i="3"/>
  <c r="AB17" i="3"/>
  <c r="AN16" i="3"/>
  <c r="AF16" i="3"/>
  <c r="AM34" i="3"/>
  <c r="AE34" i="3"/>
  <c r="AQ33" i="3"/>
  <c r="AI33" i="3"/>
  <c r="AA33" i="3"/>
  <c r="AM32" i="3"/>
  <c r="AE32" i="3"/>
  <c r="AQ31" i="3"/>
  <c r="AI31" i="3"/>
  <c r="AA31" i="3"/>
  <c r="AM30" i="3"/>
  <c r="AE30" i="3"/>
  <c r="AQ29" i="3"/>
  <c r="AI29" i="3"/>
  <c r="AA29" i="3"/>
  <c r="AM28" i="3"/>
  <c r="AE28" i="3"/>
  <c r="AQ27" i="3"/>
  <c r="AI27" i="3"/>
  <c r="AA27" i="3"/>
  <c r="AM26" i="3"/>
  <c r="AE26" i="3"/>
  <c r="AQ25" i="3"/>
  <c r="AI25" i="3"/>
  <c r="AA25" i="3"/>
  <c r="AM24" i="3"/>
  <c r="AE24" i="3"/>
  <c r="AQ23" i="3"/>
  <c r="AI23" i="3"/>
  <c r="AA23" i="3"/>
  <c r="AM22" i="3"/>
  <c r="AE22" i="3"/>
  <c r="AQ21" i="3"/>
  <c r="AI21" i="3"/>
  <c r="AA21" i="3"/>
  <c r="AM20" i="3"/>
  <c r="AE20" i="3"/>
  <c r="AQ19" i="3"/>
  <c r="AI19" i="3"/>
  <c r="AA19" i="3"/>
  <c r="AM18" i="3"/>
  <c r="AE18" i="3"/>
  <c r="AQ17" i="3"/>
  <c r="AI17" i="3"/>
  <c r="AA17" i="3"/>
  <c r="AM16" i="3"/>
  <c r="AE16" i="3"/>
  <c r="AI34" i="3"/>
  <c r="AO33" i="3"/>
  <c r="AD33" i="3"/>
  <c r="AJ32" i="3"/>
  <c r="AP31" i="3"/>
  <c r="AE31" i="3"/>
  <c r="AK30" i="3"/>
  <c r="Z30" i="3"/>
  <c r="AF29" i="3"/>
  <c r="AL28" i="3"/>
  <c r="AA28" i="3"/>
  <c r="AG27" i="3"/>
  <c r="AP26" i="3"/>
  <c r="AB26" i="3"/>
  <c r="AH25" i="3"/>
  <c r="AQ24" i="3"/>
  <c r="AC24" i="3"/>
  <c r="AL23" i="3"/>
  <c r="AR22" i="3"/>
  <c r="AD22" i="3"/>
  <c r="AM21" i="3"/>
  <c r="AS20" i="3"/>
  <c r="AH20" i="3"/>
  <c r="AN19" i="3"/>
  <c r="Z19" i="3"/>
  <c r="AI18" i="3"/>
  <c r="AO17" i="3"/>
  <c r="AD17" i="3"/>
  <c r="AJ16" i="3"/>
  <c r="AS15" i="3"/>
  <c r="AK15" i="3"/>
  <c r="AC15" i="3"/>
  <c r="AO14" i="3"/>
  <c r="AG14" i="3"/>
  <c r="AS13" i="3"/>
  <c r="AK13" i="3"/>
  <c r="AC13" i="3"/>
  <c r="AO12" i="3"/>
  <c r="AG12" i="3"/>
  <c r="AS11" i="3"/>
  <c r="AK11" i="3"/>
  <c r="AC11" i="3"/>
  <c r="AO10" i="3"/>
  <c r="AG10" i="3"/>
  <c r="AS9" i="3"/>
  <c r="AK9" i="3"/>
  <c r="AC9" i="3"/>
  <c r="AO8" i="3"/>
  <c r="AG8" i="3"/>
  <c r="AS7" i="3"/>
  <c r="AK7" i="3"/>
  <c r="AC7" i="3"/>
  <c r="AO6" i="3"/>
  <c r="AG6" i="3"/>
  <c r="AS5" i="3"/>
  <c r="AK5" i="3"/>
  <c r="AC5" i="3"/>
  <c r="AO4" i="3"/>
  <c r="AG4" i="3"/>
  <c r="AS3" i="3"/>
  <c r="AK3" i="3"/>
  <c r="AC3" i="3"/>
  <c r="AS34" i="3"/>
  <c r="AH34" i="3"/>
  <c r="AN33" i="3"/>
  <c r="Z33" i="3"/>
  <c r="AI32" i="3"/>
  <c r="AO31" i="3"/>
  <c r="AD31" i="3"/>
  <c r="AJ30" i="3"/>
  <c r="AP29" i="3"/>
  <c r="AE29" i="3"/>
  <c r="AK28" i="3"/>
  <c r="Z28" i="3"/>
  <c r="AF27" i="3"/>
  <c r="AL26" i="3"/>
  <c r="AA26" i="3"/>
  <c r="AG25" i="3"/>
  <c r="AP24" i="3"/>
  <c r="AB24" i="3"/>
  <c r="AH23" i="3"/>
  <c r="AQ22" i="3"/>
  <c r="AC22" i="3"/>
  <c r="AL21" i="3"/>
  <c r="AR20" i="3"/>
  <c r="AD20" i="3"/>
  <c r="AM19" i="3"/>
  <c r="AS18" i="3"/>
  <c r="AH18" i="3"/>
  <c r="AN17" i="3"/>
  <c r="Z17" i="3"/>
  <c r="AI16" i="3"/>
  <c r="AR15" i="3"/>
  <c r="AJ15" i="3"/>
  <c r="AB15" i="3"/>
  <c r="AN14" i="3"/>
  <c r="AF14" i="3"/>
  <c r="AR13" i="3"/>
  <c r="AJ13" i="3"/>
  <c r="AB13" i="3"/>
  <c r="AN12" i="3"/>
  <c r="AF12" i="3"/>
  <c r="AR11" i="3"/>
  <c r="AJ11" i="3"/>
  <c r="AB11" i="3"/>
  <c r="AN10" i="3"/>
  <c r="AF10" i="3"/>
  <c r="AR9" i="3"/>
  <c r="AJ9" i="3"/>
  <c r="AB9" i="3"/>
  <c r="AN8" i="3"/>
  <c r="AF8" i="3"/>
  <c r="AR7" i="3"/>
  <c r="AJ7" i="3"/>
  <c r="AB7" i="3"/>
  <c r="AN6" i="3"/>
  <c r="AF6" i="3"/>
  <c r="AR5" i="3"/>
  <c r="AJ5" i="3"/>
  <c r="AB5" i="3"/>
  <c r="AN4" i="3"/>
  <c r="AF4" i="3"/>
  <c r="AR3" i="3"/>
  <c r="AJ3" i="3"/>
  <c r="AB3" i="3"/>
  <c r="AR34" i="3"/>
  <c r="AD34" i="3"/>
  <c r="AM33" i="3"/>
  <c r="AS32" i="3"/>
  <c r="AH32" i="3"/>
  <c r="AN31" i="3"/>
  <c r="Z31" i="3"/>
  <c r="AI30" i="3"/>
  <c r="AO29" i="3"/>
  <c r="AD29" i="3"/>
  <c r="AJ28" i="3"/>
  <c r="AP27" i="3"/>
  <c r="AE27" i="3"/>
  <c r="AK26" i="3"/>
  <c r="Z26" i="3"/>
  <c r="AF25" i="3"/>
  <c r="AL24" i="3"/>
  <c r="AA24" i="3"/>
  <c r="AG23" i="3"/>
  <c r="AP22" i="3"/>
  <c r="AB22" i="3"/>
  <c r="AH21" i="3"/>
  <c r="AQ20" i="3"/>
  <c r="AC20" i="3"/>
  <c r="AL19" i="3"/>
  <c r="AR18" i="3"/>
  <c r="AD18" i="3"/>
  <c r="AM17" i="3"/>
  <c r="AS16" i="3"/>
  <c r="AH16" i="3"/>
  <c r="AQ15" i="3"/>
  <c r="AI15" i="3"/>
  <c r="AA15" i="3"/>
  <c r="AM14" i="3"/>
  <c r="AE14" i="3"/>
  <c r="AQ13" i="3"/>
  <c r="AI13" i="3"/>
  <c r="AA13" i="3"/>
  <c r="AM12" i="3"/>
  <c r="AE12" i="3"/>
  <c r="AQ11" i="3"/>
  <c r="AI11" i="3"/>
  <c r="AA11" i="3"/>
  <c r="AM10" i="3"/>
  <c r="AE10" i="3"/>
  <c r="AQ9" i="3"/>
  <c r="AI9" i="3"/>
  <c r="AA9" i="3"/>
  <c r="AM8" i="3"/>
  <c r="AE8" i="3"/>
  <c r="AQ7" i="3"/>
  <c r="AI7" i="3"/>
  <c r="AA7" i="3"/>
  <c r="AM6" i="3"/>
  <c r="AE6" i="3"/>
  <c r="AQ5" i="3"/>
  <c r="AI5" i="3"/>
  <c r="AA5" i="3"/>
  <c r="AM4" i="3"/>
  <c r="AE4" i="3"/>
  <c r="AQ3" i="3"/>
  <c r="AI3" i="3"/>
  <c r="AA3" i="3"/>
  <c r="AJ34" i="3"/>
  <c r="AP33" i="3"/>
  <c r="AE33" i="3"/>
  <c r="AK32" i="3"/>
  <c r="Z32" i="3"/>
  <c r="AF31" i="3"/>
  <c r="AL30" i="3"/>
  <c r="AA30" i="3"/>
  <c r="AG29" i="3"/>
  <c r="AP28" i="3"/>
  <c r="AB28" i="3"/>
  <c r="AH27" i="3"/>
  <c r="AQ26" i="3"/>
  <c r="AC26" i="3"/>
  <c r="AL25" i="3"/>
  <c r="AR24" i="3"/>
  <c r="AD24" i="3"/>
  <c r="AM23" i="3"/>
  <c r="AS22" i="3"/>
  <c r="AH22" i="3"/>
  <c r="AN21" i="3"/>
  <c r="Z21" i="3"/>
  <c r="AI20" i="3"/>
  <c r="AO19" i="3"/>
  <c r="AD19" i="3"/>
  <c r="AJ18" i="3"/>
  <c r="AP17" i="3"/>
  <c r="AE17" i="3"/>
  <c r="AK16" i="3"/>
  <c r="Z16" i="3"/>
  <c r="AL15" i="3"/>
  <c r="AD15" i="3"/>
  <c r="AP14" i="3"/>
  <c r="AH14" i="3"/>
  <c r="Z14" i="3"/>
  <c r="AL13" i="3"/>
  <c r="AD13" i="3"/>
  <c r="AP12" i="3"/>
  <c r="AH12" i="3"/>
  <c r="Z12" i="3"/>
  <c r="AL11" i="3"/>
  <c r="AD11" i="3"/>
  <c r="AP10" i="3"/>
  <c r="AH10" i="3"/>
  <c r="Z10" i="3"/>
  <c r="AL9" i="3"/>
  <c r="AD9" i="3"/>
  <c r="AP8" i="3"/>
  <c r="AH8" i="3"/>
  <c r="Z8" i="3"/>
  <c r="AL7" i="3"/>
  <c r="AD7" i="3"/>
  <c r="AP6" i="3"/>
  <c r="AH6" i="3"/>
  <c r="Z6" i="3"/>
  <c r="AL5" i="3"/>
  <c r="AD5" i="3"/>
  <c r="AP4" i="3"/>
  <c r="AH4" i="3"/>
  <c r="Z4" i="3"/>
  <c r="AL3" i="3"/>
  <c r="AD3" i="3"/>
  <c r="AC34" i="3"/>
  <c r="AR32" i="3"/>
  <c r="AM31" i="3"/>
  <c r="AH30" i="3"/>
  <c r="Z29" i="3"/>
  <c r="AO27" i="3"/>
  <c r="AJ26" i="3"/>
  <c r="AE25" i="3"/>
  <c r="Z24" i="3"/>
  <c r="AL22" i="3"/>
  <c r="AG21" i="3"/>
  <c r="AB20" i="3"/>
  <c r="AQ18" i="3"/>
  <c r="AL17" i="3"/>
  <c r="AD16" i="3"/>
  <c r="AH15" i="3"/>
  <c r="AL14" i="3"/>
  <c r="AP13" i="3"/>
  <c r="Z13" i="3"/>
  <c r="AD12" i="3"/>
  <c r="AH11" i="3"/>
  <c r="AL10" i="3"/>
  <c r="AP9" i="3"/>
  <c r="Z9" i="3"/>
  <c r="AD8" i="3"/>
  <c r="AH7" i="3"/>
  <c r="AL6" i="3"/>
  <c r="AP5" i="3"/>
  <c r="Z5" i="3"/>
  <c r="AD4" i="3"/>
  <c r="AH3" i="3"/>
  <c r="AB34" i="3"/>
  <c r="AQ32" i="3"/>
  <c r="AL31" i="3"/>
  <c r="AD30" i="3"/>
  <c r="AS28" i="3"/>
  <c r="AN27" i="3"/>
  <c r="AI26" i="3"/>
  <c r="AD25" i="3"/>
  <c r="AP23" i="3"/>
  <c r="AK22" i="3"/>
  <c r="AF21" i="3"/>
  <c r="AA20" i="3"/>
  <c r="AP18" i="3"/>
  <c r="AH17" i="3"/>
  <c r="AC16" i="3"/>
  <c r="AG15" i="3"/>
  <c r="AK14" i="3"/>
  <c r="AO13" i="3"/>
  <c r="AS12" i="3"/>
  <c r="AC12" i="3"/>
  <c r="AG11" i="3"/>
  <c r="AK10" i="3"/>
  <c r="AO9" i="3"/>
  <c r="AS8" i="3"/>
  <c r="AC8" i="3"/>
  <c r="AG7" i="3"/>
  <c r="AK6" i="3"/>
  <c r="AO5" i="3"/>
  <c r="AS4" i="3"/>
  <c r="AC4" i="3"/>
  <c r="AG3" i="3"/>
  <c r="AA34" i="3"/>
  <c r="AP32" i="3"/>
  <c r="AH31" i="3"/>
  <c r="AC30" i="3"/>
  <c r="AR28" i="3"/>
  <c r="AM27" i="3"/>
  <c r="AH26" i="3"/>
  <c r="Z25" i="3"/>
  <c r="AO23" i="3"/>
  <c r="AJ22" i="3"/>
  <c r="AE21" i="3"/>
  <c r="Z20" i="3"/>
  <c r="AL18" i="3"/>
  <c r="AG17" i="3"/>
  <c r="AB16" i="3"/>
  <c r="AF15" i="3"/>
  <c r="AJ14" i="3"/>
  <c r="AN13" i="3"/>
  <c r="AR12" i="3"/>
  <c r="AB12" i="3"/>
  <c r="AF11" i="3"/>
  <c r="AJ10" i="3"/>
  <c r="AN9" i="3"/>
  <c r="AR8" i="3"/>
  <c r="AB8" i="3"/>
  <c r="AF7" i="3"/>
  <c r="AJ6" i="3"/>
  <c r="AN5" i="3"/>
  <c r="AR4" i="3"/>
  <c r="AB4" i="3"/>
  <c r="AF3" i="3"/>
  <c r="AQ34" i="3"/>
  <c r="AL33" i="3"/>
  <c r="AD32" i="3"/>
  <c r="AS30" i="3"/>
  <c r="AN29" i="3"/>
  <c r="AI28" i="3"/>
  <c r="AP34" i="3"/>
  <c r="AH33" i="3"/>
  <c r="AC32" i="3"/>
  <c r="AR30" i="3"/>
  <c r="AM29" i="3"/>
  <c r="AH28" i="3"/>
  <c r="AK34" i="3"/>
  <c r="AF33" i="3"/>
  <c r="AA32" i="3"/>
  <c r="AP30" i="3"/>
  <c r="AH29" i="3"/>
  <c r="AC28" i="3"/>
  <c r="AR26" i="3"/>
  <c r="AM25" i="3"/>
  <c r="AH24" i="3"/>
  <c r="Z23" i="3"/>
  <c r="AO21" i="3"/>
  <c r="AJ20" i="3"/>
  <c r="AE19" i="3"/>
  <c r="Z18" i="3"/>
  <c r="AL16" i="3"/>
  <c r="AM15" i="3"/>
  <c r="AQ14" i="3"/>
  <c r="AA14" i="3"/>
  <c r="AE13" i="3"/>
  <c r="AI12" i="3"/>
  <c r="AM11" i="3"/>
  <c r="AQ10" i="3"/>
  <c r="AA10" i="3"/>
  <c r="AE9" i="3"/>
  <c r="AI8" i="3"/>
  <c r="AM7" i="3"/>
  <c r="AQ6" i="3"/>
  <c r="AA6" i="3"/>
  <c r="AE5" i="3"/>
  <c r="AI4" i="3"/>
  <c r="AM3" i="3"/>
  <c r="Z34" i="3"/>
  <c r="AQ28" i="3"/>
  <c r="AO25" i="3"/>
  <c r="AE23" i="3"/>
  <c r="AL20" i="3"/>
  <c r="AB18" i="3"/>
  <c r="AO15" i="3"/>
  <c r="AC14" i="3"/>
  <c r="AK12" i="3"/>
  <c r="AS10" i="3"/>
  <c r="AG9" i="3"/>
  <c r="AO7" i="3"/>
  <c r="AC6" i="3"/>
  <c r="AK4" i="3"/>
  <c r="Z3" i="3"/>
  <c r="AG33" i="3"/>
  <c r="AD28" i="3"/>
  <c r="AN25" i="3"/>
  <c r="AD23" i="3"/>
  <c r="AK20" i="3"/>
  <c r="AA18" i="3"/>
  <c r="AN15" i="3"/>
  <c r="AB14" i="3"/>
  <c r="AJ12" i="3"/>
  <c r="AR10" i="3"/>
  <c r="AF9" i="3"/>
  <c r="AN7" i="3"/>
  <c r="AB6" i="3"/>
  <c r="AJ4" i="3"/>
  <c r="AL32" i="3"/>
  <c r="AL27" i="3"/>
  <c r="AS24" i="3"/>
  <c r="AI22" i="3"/>
  <c r="AP19" i="3"/>
  <c r="AF17" i="3"/>
  <c r="AE15" i="3"/>
  <c r="AM13" i="3"/>
  <c r="AA12" i="3"/>
  <c r="AI10" i="3"/>
  <c r="AQ8" i="3"/>
  <c r="AE7" i="3"/>
  <c r="AM5" i="3"/>
  <c r="AA4" i="3"/>
  <c r="AL34" i="3"/>
  <c r="AL29" i="3"/>
  <c r="AP25" i="3"/>
  <c r="AF23" i="3"/>
  <c r="AP20" i="3"/>
  <c r="AC18" i="3"/>
  <c r="AP15" i="3"/>
  <c r="AD14" i="3"/>
  <c r="AL12" i="3"/>
  <c r="Z11" i="3"/>
  <c r="AH9" i="3"/>
  <c r="AP7" i="3"/>
  <c r="AD6" i="3"/>
  <c r="AL4" i="3"/>
  <c r="AD27" i="3"/>
  <c r="AA22" i="3"/>
  <c r="AR16" i="3"/>
  <c r="AH13" i="3"/>
  <c r="AD10" i="3"/>
  <c r="Z7" i="3"/>
  <c r="AP3" i="3"/>
  <c r="Z27" i="3"/>
  <c r="Z22" i="3"/>
  <c r="AQ16" i="3"/>
  <c r="AG13" i="3"/>
  <c r="AC10" i="3"/>
  <c r="AS6" i="3"/>
  <c r="AO3" i="3"/>
  <c r="AS26" i="3"/>
  <c r="AP21" i="3"/>
  <c r="AP16" i="3"/>
  <c r="AF13" i="3"/>
  <c r="AB10" i="3"/>
  <c r="AR6" i="3"/>
  <c r="AN3" i="3"/>
  <c r="AD26" i="3"/>
  <c r="AD21" i="3"/>
  <c r="AA16" i="3"/>
  <c r="AQ12" i="3"/>
  <c r="AM9" i="3"/>
  <c r="AI6" i="3"/>
  <c r="AE3" i="3"/>
  <c r="AB32" i="3"/>
  <c r="AK24" i="3"/>
  <c r="AH19" i="3"/>
  <c r="Z15" i="3"/>
  <c r="AP11" i="3"/>
  <c r="AL8" i="3"/>
  <c r="AH5" i="3"/>
  <c r="AG31" i="3"/>
  <c r="AJ24" i="3"/>
  <c r="AG19" i="3"/>
  <c r="AS14" i="3"/>
  <c r="AO11" i="3"/>
  <c r="AK8" i="3"/>
  <c r="AG5" i="3"/>
  <c r="AQ30" i="3"/>
  <c r="AI24" i="3"/>
  <c r="AF19" i="3"/>
  <c r="AR14" i="3"/>
  <c r="AN11" i="3"/>
  <c r="AJ8" i="3"/>
  <c r="AF5" i="3"/>
  <c r="AB30" i="3"/>
  <c r="AN23" i="3"/>
  <c r="AK18" i="3"/>
  <c r="AI14" i="3"/>
  <c r="AE11" i="3"/>
  <c r="AA8" i="3"/>
  <c r="AQ4" i="3"/>
</calcChain>
</file>

<file path=xl/sharedStrings.xml><?xml version="1.0" encoding="utf-8"?>
<sst xmlns="http://schemas.openxmlformats.org/spreadsheetml/2006/main" count="245" uniqueCount="127">
  <si>
    <t>Ethanol Upgrade Asset Parameters (normalized by MWh ethanol)</t>
  </si>
  <si>
    <t>Ethanol feedstock asset</t>
  </si>
  <si>
    <t>Ethanol Production Asset Parameters (normalized by commodity feedstock)</t>
  </si>
  <si>
    <t>Duals</t>
  </si>
  <si>
    <t>LCOE for assets with ethane capacity ($/t-ethylene)</t>
  </si>
  <si>
    <t>SEQ - CI</t>
  </si>
  <si>
    <t>SEQ - CREDIT</t>
  </si>
  <si>
    <t>NO SEQ - CI</t>
  </si>
  <si>
    <t>NO SEQ - CREDIT</t>
  </si>
  <si>
    <t>CHEM SEQUESTRATION - CARBON INTENSITY</t>
  </si>
  <si>
    <t>CHEM SEQUESTRATION - CREDIT</t>
  </si>
  <si>
    <t>NO CHEM SEQUESTRATION - CARBON INTENSITY</t>
  </si>
  <si>
    <t>NO 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</si>
  <si>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</si>
  <si>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</si>
  <si>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</si>
  <si>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</si>
  <si>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</si>
  <si>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</si>
  <si>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</si>
  <si>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</si>
  <si>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</si>
  <si>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</si>
  <si>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</si>
  <si>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</si>
  <si>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</si>
  <si>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</si>
  <si>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</si>
  <si>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</si>
  <si>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capture_rate (t-CO2/MWh-ethanol)</t>
  </si>
  <si>
    <t>emission_rate (t-CO2/MWh-ethanol)</t>
  </si>
  <si>
    <t>calculated_emission_rate (t-CO2/MWh-ethanol)</t>
  </si>
  <si>
    <t>investment_cost ($/yr per MW ethanol)</t>
  </si>
  <si>
    <t>fixed_om_cost ($/yr per MW ethanol)</t>
  </si>
  <si>
    <t>variable_om_cost ($/MWh-ethanol)</t>
  </si>
  <si>
    <t>id_bioethanol</t>
  </si>
  <si>
    <t>commodity_bioethanol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</si>
  <si>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</si>
  <si>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</si>
  <si>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</si>
  <si>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</si>
  <si>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</si>
  <si>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capture_rate (t-CO2/t-bio)</t>
  </si>
  <si>
    <t>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</si>
  <si>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</si>
  <si>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</si>
  <si>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</si>
  <si>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</si>
  <si>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</si>
  <si>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</si>
  <si>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</si>
  <si>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</si>
  <si>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</si>
  <si>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ethanol_balance ($/MWh)</t>
  </si>
  <si>
    <t>ethanol_demand ($/MWh)</t>
  </si>
  <si>
    <t>elec_demand ($/MWh)</t>
  </si>
  <si>
    <t>h2_balance ($/MWh)</t>
  </si>
  <si>
    <t>h2_demand ($/MWh)</t>
  </si>
  <si>
    <t>gasoline_balance ($/MWh)</t>
  </si>
  <si>
    <t>gasoline_demand ($/MWh)</t>
  </si>
  <si>
    <t>diesel_balance ($/MWh)</t>
  </si>
  <si>
    <t>diesel_demand ($/MWh)</t>
  </si>
  <si>
    <t>jetfuel_balance ($/MWh)</t>
  </si>
  <si>
    <t>jetfuel_demand ($/MWh)</t>
  </si>
  <si>
    <t>ng_balance ($/MWh)</t>
  </si>
  <si>
    <t>ng_demand ($/MWh)</t>
  </si>
  <si>
    <t>ethylene_balance ($/t)</t>
  </si>
  <si>
    <t>ethylene_demand ($/t)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</si>
  <si>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</si>
  <si>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</si>
  <si>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</si>
  <si>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</si>
  <si>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</si>
  <si>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</si>
  <si>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</t>
  </si>
  <si>
    <t>elec_production - ethanol</t>
  </si>
  <si>
    <t>biomass_consumption - ethanol</t>
  </si>
  <si>
    <t>natgas_consumption</t>
  </si>
  <si>
    <t>natgas_consumption - ethanol</t>
  </si>
  <si>
    <t>investment_cost</t>
  </si>
  <si>
    <t>investment_cost - ethanol</t>
  </si>
  <si>
    <t>fixed_om_cost</t>
  </si>
  <si>
    <t>fixed_om_cost - ethanol</t>
  </si>
  <si>
    <t>variable_om_cost</t>
  </si>
  <si>
    <t>variable_om_cost - ethanol</t>
  </si>
  <si>
    <t>CI</t>
  </si>
  <si>
    <t>modified capture cost</t>
  </si>
  <si>
    <t>modified emissions cost</t>
  </si>
  <si>
    <t>id_LC_ethanol</t>
  </si>
  <si>
    <t>elec_production</t>
  </si>
  <si>
    <t>biomass_consumption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</si>
  <si>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</si>
  <si>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</si>
  <si>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</si>
  <si>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</si>
  <si>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</si>
  <si>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NG (t-CO2//t-ethylene)</t>
  </si>
  <si>
    <t>Ethanol (t-CO2//t-ethylene)</t>
  </si>
  <si>
    <t>Total input (t-CO2/t-ethylene)</t>
  </si>
  <si>
    <t>Emissions (t-CO2/t-ethylene)</t>
  </si>
  <si>
    <t>Captured (t-CO2/t-ethylene)</t>
  </si>
  <si>
    <t>Total Output (t-CO2/t-ethylene)</t>
  </si>
  <si>
    <t>CARBON INPUT - OUTPUT</t>
  </si>
  <si>
    <t>ethanol_production_asset</t>
  </si>
  <si>
    <t>id_ethanol_prod_ref</t>
  </si>
  <si>
    <t>commodity_ethanol_prod_ref</t>
  </si>
  <si>
    <t>NCEN_Ethanol_Dehydration_NGfuel</t>
  </si>
  <si>
    <t>Ethanol</t>
  </si>
  <si>
    <t>SE_DryMill_Existing_Non_CCS</t>
  </si>
  <si>
    <t>Biomass_Corn</t>
  </si>
  <si>
    <t>NCEN_Ethanol_Dehydration_H2fuel</t>
  </si>
  <si>
    <t>SE_Biochemical_Non_CCS</t>
  </si>
  <si>
    <t>Biomass_Agri</t>
  </si>
  <si>
    <t>CEN_Ethanol_Dehydration_NGfuel</t>
  </si>
  <si>
    <t>SE_Biochemical_CCS_20</t>
  </si>
  <si>
    <t>CEN_Ethanol_Dehydration_H2fuel</t>
  </si>
  <si>
    <t>SE_Biochemical_CCS_86</t>
  </si>
  <si>
    <t>Levelized cost for Bioethylene Production - $/GJ-ethylene - no chemicals CO2 sequestration</t>
  </si>
  <si>
    <t>Assumptions</t>
  </si>
  <si>
    <t>Levelized cost for Bioethylene Production - $/GJ-ethylene - no chemicals CO2 sequestration - SORTED</t>
  </si>
  <si>
    <t>LCOE ($/GJ-ethylene)</t>
  </si>
  <si>
    <t>CHECK LCOE ($/GJ-ethylene)</t>
  </si>
  <si>
    <t>Ethylene LHV</t>
  </si>
  <si>
    <t>GJ/t-ethylene</t>
  </si>
  <si>
    <t>Levelized cost for Bioethylene Production - $/GJ-ethylene - chemicals CO2 sequestration</t>
  </si>
  <si>
    <t>Levelized cost for Bioethylene Production - $/GJ-ethylene - chemicals CO2 sequestration - SORTED</t>
  </si>
  <si>
    <t>Drymill CCS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</si>
</sst>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E+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rgb="FFF7E8FF"/>
        <bgColor rgb="FFADD8E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0" fontId="0" fillId="8" borderId="0" xfId="0" applyFill="1"/>
    <xf numFmtId="164" fontId="1" fillId="9" borderId="0" xfId="0" applyNumberFormat="1" applyFont="1" applyFill="1"/>
    <xf numFmtId="0" fontId="0" fillId="10" borderId="0" xfId="0" applyFill="1"/>
    <xf numFmtId="0" fontId="4" fillId="11" borderId="0" xfId="0" applyFont="1" applyFill="1"/>
    <xf numFmtId="0" fontId="2" fillId="12" borderId="0" xfId="0" applyFont="1" applyFill="1"/>
    <xf numFmtId="0" fontId="0" fillId="13" borderId="0" xfId="0" applyFill="1"/>
    <xf numFmtId="0" fontId="1" fillId="14" borderId="0" xfId="0" applyFont="1" applyFill="1"/>
    <xf numFmtId="0" fontId="2" fillId="0" borderId="0" xfId="0" applyFont="1"/>
    <xf numFmtId="0" fontId="1" fillId="15" borderId="0" xfId="0" applyFont="1" applyFill="1"/>
    <xf numFmtId="0" fontId="0" fillId="15" borderId="0" xfId="0" applyFill="1"/>
    <xf numFmtId="0" fontId="5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6" borderId="0" xfId="0" applyFill="1"/>
    <xf numFmtId="0" fontId="1" fillId="16" borderId="0" xfId="0" applyFont="1" applyFill="1"/>
    <xf numFmtId="0" fontId="5" fillId="0" borderId="0" xfId="0" applyFont="1"/>
    <xf numFmtId="2" fontId="0" fillId="0" borderId="0" xfId="0" applyNumberFormat="1"/>
    <xf numFmtId="0" fontId="1" fillId="0" borderId="0" xfId="0" applyFont="1" applyAlignment="1">
      <alignment horizontal="left" wrapText="1"/>
    </xf>
    <xf numFmtId="2" fontId="1" fillId="0" borderId="0" xfId="0" applyNumberFormat="1" applyFont="1" applyAlignment="1">
      <alignment horizontal="left" wrapText="1"/>
    </xf>
    <xf numFmtId="2" fontId="0" fillId="0" borderId="0" xfId="0" applyNumberFormat="1" applyAlignment="1">
      <alignment horizontal="left" wrapText="1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V107"/>
  <sheetViews>
    <sheetView tabSelected="1" topLeftCell="DL1" zoomScale="58" zoomScaleNormal="157" workbookViewId="0">
      <selection activeCell="DT12" sqref="DT12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20.5" style="1" bestFit="1" customWidth="1"/>
    <col min="5" max="5" width="24" style="1" bestFit="1" customWidth="1"/>
    <col min="6" max="6" width="31.33203125" style="1" bestFit="1" customWidth="1"/>
    <col min="7" max="7" width="32.5" style="1" bestFit="1" customWidth="1"/>
    <col min="8" max="8" width="38.1640625" style="1" bestFit="1" customWidth="1"/>
    <col min="9" max="9" width="34.33203125" style="1" bestFit="1" customWidth="1"/>
    <col min="10" max="10" width="28.1640625" style="1" bestFit="1" customWidth="1"/>
    <col min="11" max="11" width="29.6640625" style="1" bestFit="1" customWidth="1"/>
    <col min="12" max="12" width="38" style="1" bestFit="1" customWidth="1"/>
    <col min="13" max="13" width="31.1640625" style="1" bestFit="1" customWidth="1"/>
    <col min="14" max="14" width="29.6640625" style="1" bestFit="1" customWidth="1"/>
    <col min="15" max="15" width="27.5" style="1" customWidth="1"/>
    <col min="16" max="16" width="2.83203125" style="1" customWidth="1"/>
    <col min="17" max="17" width="24" style="1" bestFit="1" customWidth="1"/>
    <col min="18" max="18" width="11.83203125" style="1" bestFit="1" customWidth="1"/>
    <col min="19" max="19" width="23.83203125" style="1" bestFit="1" customWidth="1"/>
    <col min="20" max="20" width="25.33203125" style="1" bestFit="1" customWidth="1"/>
    <col min="21" max="21" width="33.33203125" style="1" bestFit="1" customWidth="1"/>
    <col min="22" max="22" width="27.33203125" style="1" bestFit="1" customWidth="1"/>
    <col min="23" max="23" width="28.33203125" style="1" bestFit="1" customWidth="1"/>
    <col min="24" max="24" width="21" style="1" bestFit="1" customWidth="1"/>
    <col min="25" max="25" width="22" style="1" bestFit="1" customWidth="1"/>
    <col min="26" max="26" width="27.83203125" style="1" bestFit="1" customWidth="1"/>
    <col min="27" max="27" width="26.1640625" style="1" bestFit="1" customWidth="1"/>
    <col min="28" max="28" width="21.5" style="1" bestFit="1" customWidth="1"/>
    <col min="29" max="29" width="3" style="1" customWidth="1"/>
    <col min="30" max="30" width="12.83203125" style="1" bestFit="1" customWidth="1"/>
    <col min="31" max="31" width="11" style="1" customWidth="1"/>
    <col min="32" max="32" width="12.83203125" style="1" customWidth="1"/>
    <col min="33" max="33" width="13.83203125" style="1" customWidth="1"/>
    <col min="34" max="34" width="12" style="1" customWidth="1"/>
    <col min="35" max="35" width="16.83203125" style="1" bestFit="1" customWidth="1"/>
    <col min="36" max="36" width="13.5" style="1" customWidth="1"/>
    <col min="37" max="37" width="14.33203125" style="1" customWidth="1"/>
    <col min="38" max="38" width="11" style="1" customWidth="1"/>
    <col min="39" max="39" width="9.33203125" style="1" customWidth="1"/>
    <col min="40" max="40" width="10.33203125" style="1" customWidth="1"/>
    <col min="41" max="41" width="21.5" style="1" bestFit="1" customWidth="1"/>
    <col min="42" max="42" width="14.5" style="1" customWidth="1"/>
    <col min="43" max="44" width="12.5" style="1" customWidth="1"/>
    <col min="45" max="45" width="12.1640625" style="1" customWidth="1"/>
    <col min="46" max="46" width="13.1640625" style="1" customWidth="1"/>
    <col min="47" max="47" width="9.6640625" style="1" customWidth="1"/>
    <col min="48" max="48" width="9.83203125" style="1" customWidth="1"/>
    <col min="49" max="49" width="14.5" style="1" customWidth="1"/>
    <col min="50" max="50" width="13.83203125" style="1" customWidth="1"/>
    <col min="51" max="51" width="3.33203125" customWidth="1"/>
    <col min="52" max="52" width="44" style="1" bestFit="1" customWidth="1"/>
    <col min="53" max="53" width="19.83203125" style="1" customWidth="1"/>
    <col min="54" max="54" width="15.6640625" style="1" bestFit="1" customWidth="1"/>
    <col min="55" max="55" width="15.6640625" style="1" customWidth="1"/>
    <col min="56" max="56" width="18.33203125" style="1" bestFit="1" customWidth="1"/>
    <col min="57" max="58" width="15.6640625" style="1" customWidth="1"/>
    <col min="59" max="59" width="18.33203125" style="1" bestFit="1" customWidth="1"/>
    <col min="60" max="60" width="14.1640625" style="1" bestFit="1" customWidth="1"/>
    <col min="61" max="61" width="15.1640625" style="1" bestFit="1" customWidth="1"/>
    <col min="62" max="62" width="22.5" style="1" bestFit="1" customWidth="1"/>
    <col min="63" max="63" width="20.83203125" style="1" bestFit="1" customWidth="1"/>
    <col min="64" max="64" width="25.6640625" style="1" bestFit="1" customWidth="1"/>
    <col min="65" max="65" width="17.1640625" style="1" bestFit="1" customWidth="1"/>
    <col min="66" max="66" width="24.33203125" style="1" bestFit="1" customWidth="1"/>
    <col min="67" max="67" width="13.6640625" style="1" bestFit="1" customWidth="1"/>
    <col min="68" max="68" width="20.83203125" style="1" bestFit="1" customWidth="1"/>
    <col min="69" max="69" width="12.1640625" style="1" bestFit="1" customWidth="1"/>
    <col min="70" max="70" width="19.33203125" style="1" bestFit="1" customWidth="1"/>
    <col min="71" max="71" width="14.5" style="1" bestFit="1" customWidth="1"/>
    <col min="72" max="72" width="21.83203125" style="1" bestFit="1" customWidth="1"/>
    <col min="73" max="73" width="10.5" style="1" customWidth="1"/>
    <col min="74" max="74" width="17.83203125" style="1" bestFit="1" customWidth="1"/>
    <col min="75" max="75" width="19.6640625" style="1" bestFit="1" customWidth="1"/>
    <col min="76" max="76" width="12.1640625" style="1" customWidth="1"/>
    <col min="77" max="77" width="17.83203125" style="1" bestFit="1" customWidth="1"/>
    <col min="78" max="78" width="19.33203125" style="1" bestFit="1" customWidth="1"/>
    <col min="79" max="79" width="18" style="1" customWidth="1"/>
    <col min="80" max="80" width="17.83203125" style="1" bestFit="1" customWidth="1"/>
    <col min="81" max="81" width="19.33203125" style="1" bestFit="1" customWidth="1"/>
    <col min="82" max="82" width="9.6640625" style="1" customWidth="1"/>
    <col min="83" max="83" width="17.83203125" style="1" bestFit="1" customWidth="1"/>
    <col min="84" max="84" width="19.33203125" style="1" bestFit="1" customWidth="1"/>
    <col min="85" max="85" width="2.83203125" style="1" customWidth="1"/>
    <col min="86" max="86" width="43.5" style="1" bestFit="1" customWidth="1"/>
    <col min="87" max="87" width="13.6640625" style="1" bestFit="1" customWidth="1"/>
    <col min="88" max="88" width="15.1640625" style="1" bestFit="1" customWidth="1"/>
    <col min="89" max="89" width="16.6640625" style="1" bestFit="1" customWidth="1"/>
    <col min="90" max="90" width="17.5" style="1" bestFit="1" customWidth="1"/>
    <col min="91" max="91" width="13.83203125" style="1" bestFit="1" customWidth="1"/>
    <col min="92" max="92" width="12.33203125" style="1" bestFit="1" customWidth="1"/>
    <col min="93" max="93" width="14.5" style="1" bestFit="1" customWidth="1"/>
    <col min="94" max="94" width="2.83203125" style="1" customWidth="1"/>
    <col min="95" max="95" width="22.33203125" style="1" bestFit="1" customWidth="1"/>
    <col min="96" max="96" width="28.6640625" style="1" bestFit="1" customWidth="1"/>
    <col min="97" max="97" width="18" style="1" bestFit="1" customWidth="1"/>
    <col min="98" max="98" width="24.83203125" style="1" bestFit="1" customWidth="1"/>
    <col min="99" max="99" width="3.6640625" style="1" customWidth="1"/>
    <col min="100" max="100" width="28.83203125" style="1" bestFit="1" customWidth="1"/>
    <col min="101" max="101" width="18.83203125" style="1" bestFit="1" customWidth="1"/>
    <col min="102" max="103" width="26" style="1" bestFit="1" customWidth="1"/>
    <col min="104" max="104" width="23.83203125" style="1" bestFit="1" customWidth="1"/>
    <col min="105" max="105" width="3.33203125" style="1" customWidth="1"/>
    <col min="106" max="106" width="23.5" style="1" bestFit="1" customWidth="1"/>
    <col min="107" max="107" width="22.5" style="1" bestFit="1" customWidth="1"/>
    <col min="108" max="108" width="22" style="1" bestFit="1" customWidth="1"/>
    <col min="109" max="109" width="22.83203125" style="1" bestFit="1" customWidth="1"/>
    <col min="110" max="110" width="25.1640625" style="1" bestFit="1" customWidth="1"/>
    <col min="111" max="111" width="3.5" style="1" customWidth="1"/>
    <col min="112" max="112" width="22.83203125" style="1" customWidth="1"/>
    <col min="113" max="113" width="3.5" style="1" customWidth="1"/>
    <col min="114" max="114" width="23" style="1" customWidth="1"/>
    <col min="115" max="115" width="26" style="1" bestFit="1" customWidth="1"/>
    <col min="116" max="116" width="13" style="1" bestFit="1" customWidth="1"/>
    <col min="117" max="117" width="23.83203125" style="1" bestFit="1" customWidth="1"/>
    <col min="118" max="118" width="25.5" style="1" bestFit="1" customWidth="1"/>
    <col min="119" max="119" width="33.33203125" style="1" bestFit="1" customWidth="1"/>
    <col min="120" max="120" width="27.6640625" style="1" bestFit="1" customWidth="1"/>
    <col min="121" max="121" width="28.6640625" style="1" bestFit="1" customWidth="1"/>
    <col min="122" max="122" width="21" style="1" bestFit="1" customWidth="1"/>
    <col min="123" max="123" width="22.1640625" style="1" bestFit="1" customWidth="1"/>
    <col min="124" max="124" width="27.83203125" style="1" bestFit="1" customWidth="1"/>
    <col min="125" max="125" width="26.33203125" style="1" bestFit="1" customWidth="1"/>
    <col min="126" max="126" width="21.5" style="1" bestFit="1" customWidth="1"/>
    <col min="127" max="143" width="10.83203125" style="1" customWidth="1"/>
    <col min="144" max="16384" width="10.83203125" style="1"/>
  </cols>
  <sheetData>
    <row r="1" spans="2:126" x14ac:dyDescent="0.2">
      <c r="B1" s="1" t="s">
        <v>0</v>
      </c>
      <c r="D1" s="1" t="s">
        <v>1</v>
      </c>
      <c r="Q1" s="1" t="s">
        <v>2</v>
      </c>
      <c r="AD1" s="1" t="s">
        <v>3</v>
      </c>
      <c r="AZ1" s="1" t="s">
        <v>4</v>
      </c>
      <c r="BB1" s="1" t="s">
        <v>5</v>
      </c>
      <c r="BC1" s="1" t="s">
        <v>6</v>
      </c>
      <c r="BE1" s="1" t="s">
        <v>7</v>
      </c>
      <c r="BF1" s="1" t="s">
        <v>8</v>
      </c>
      <c r="BU1" s="1" t="s">
        <v>9</v>
      </c>
      <c r="BX1" s="1" t="s">
        <v>10</v>
      </c>
      <c r="CA1" s="1" t="s">
        <v>11</v>
      </c>
      <c r="CD1" s="1" t="s">
        <v>12</v>
      </c>
      <c r="CH1" s="1" t="s">
        <v>13</v>
      </c>
      <c r="CQ1" s="1" t="s">
        <v>14</v>
      </c>
      <c r="CV1" s="1" t="s">
        <v>15</v>
      </c>
      <c r="CX1" s="1" t="s">
        <v>16</v>
      </c>
      <c r="DB1" s="1" t="s">
        <v>17</v>
      </c>
      <c r="DD1" s="1" t="s">
        <v>18</v>
      </c>
      <c r="DH1" s="1" t="s">
        <v>19</v>
      </c>
      <c r="DJ1" s="1" t="s">
        <v>20</v>
      </c>
    </row>
    <row r="2" spans="2:126" x14ac:dyDescent="0.2"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7" t="s">
        <v>31</v>
      </c>
      <c r="M2" s="2" t="s">
        <v>32</v>
      </c>
      <c r="N2" s="2" t="s">
        <v>33</v>
      </c>
      <c r="O2" s="2" t="s">
        <v>34</v>
      </c>
      <c r="P2" s="18"/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  <c r="AC2" s="18"/>
      <c r="AD2" s="15" t="s">
        <v>47</v>
      </c>
      <c r="AE2" s="15" t="s">
        <v>48</v>
      </c>
      <c r="AF2" s="15" t="s">
        <v>49</v>
      </c>
      <c r="AG2" s="15" t="s">
        <v>50</v>
      </c>
      <c r="AH2" s="15" t="s">
        <v>51</v>
      </c>
      <c r="AI2" s="7" t="s">
        <v>52</v>
      </c>
      <c r="AJ2" s="15" t="s">
        <v>53</v>
      </c>
      <c r="AK2" s="15" t="s">
        <v>54</v>
      </c>
      <c r="AL2" s="15" t="s">
        <v>55</v>
      </c>
      <c r="AM2" s="15" t="s">
        <v>56</v>
      </c>
      <c r="AN2" s="15" t="s">
        <v>57</v>
      </c>
      <c r="AO2" s="15" t="s">
        <v>58</v>
      </c>
      <c r="AP2" s="15" t="s">
        <v>59</v>
      </c>
      <c r="AQ2" s="15" t="s">
        <v>60</v>
      </c>
      <c r="AR2" s="15" t="s">
        <v>61</v>
      </c>
      <c r="AS2" s="15" t="s">
        <v>62</v>
      </c>
      <c r="AT2" s="15" t="s">
        <v>63</v>
      </c>
      <c r="AU2" s="15" t="s">
        <v>64</v>
      </c>
      <c r="AV2" s="15" t="s">
        <v>65</v>
      </c>
      <c r="AW2" s="15" t="s">
        <v>66</v>
      </c>
      <c r="AX2" s="15" t="s">
        <v>67</v>
      </c>
      <c r="AZ2" s="4" t="s">
        <v>68</v>
      </c>
      <c r="BA2" s="4" t="s">
        <v>69</v>
      </c>
      <c r="BB2" s="3" t="s">
        <v>70</v>
      </c>
      <c r="BC2" s="6" t="s">
        <v>70</v>
      </c>
      <c r="BD2" s="7" t="s">
        <v>71</v>
      </c>
      <c r="BE2" s="3" t="s">
        <v>70</v>
      </c>
      <c r="BF2" s="6" t="s">
        <v>70</v>
      </c>
      <c r="BG2" s="7" t="s">
        <v>71</v>
      </c>
      <c r="BH2" s="4" t="s">
        <v>72</v>
      </c>
      <c r="BI2" s="4" t="s">
        <v>73</v>
      </c>
      <c r="BJ2" s="4" t="s">
        <v>74</v>
      </c>
      <c r="BK2" s="4" t="s">
        <v>75</v>
      </c>
      <c r="BL2" s="4" t="s">
        <v>76</v>
      </c>
      <c r="BM2" s="4" t="s">
        <v>77</v>
      </c>
      <c r="BN2" s="4" t="s">
        <v>78</v>
      </c>
      <c r="BO2" s="4" t="s">
        <v>79</v>
      </c>
      <c r="BP2" s="4" t="s">
        <v>80</v>
      </c>
      <c r="BQ2" s="4" t="s">
        <v>81</v>
      </c>
      <c r="BR2" s="4" t="s">
        <v>82</v>
      </c>
      <c r="BS2" s="4" t="s">
        <v>83</v>
      </c>
      <c r="BT2" s="4" t="s">
        <v>84</v>
      </c>
      <c r="BU2" s="3" t="s">
        <v>85</v>
      </c>
      <c r="BV2" s="3" t="s">
        <v>86</v>
      </c>
      <c r="BW2" s="3" t="s">
        <v>87</v>
      </c>
      <c r="BX2" s="6" t="s">
        <v>85</v>
      </c>
      <c r="BY2" s="6" t="s">
        <v>86</v>
      </c>
      <c r="BZ2" s="6" t="s">
        <v>87</v>
      </c>
      <c r="CA2" s="3" t="s">
        <v>85</v>
      </c>
      <c r="CB2" s="3" t="s">
        <v>86</v>
      </c>
      <c r="CC2" s="3" t="s">
        <v>87</v>
      </c>
      <c r="CD2" s="6" t="s">
        <v>85</v>
      </c>
      <c r="CE2" s="6" t="s">
        <v>86</v>
      </c>
      <c r="CF2" s="6" t="s">
        <v>87</v>
      </c>
      <c r="CG2" s="18"/>
      <c r="CH2" s="4" t="s">
        <v>88</v>
      </c>
      <c r="CI2" s="4" t="s">
        <v>89</v>
      </c>
      <c r="CJ2" s="4" t="s">
        <v>73</v>
      </c>
      <c r="CK2" s="4" t="s">
        <v>90</v>
      </c>
      <c r="CL2" s="4" t="s">
        <v>77</v>
      </c>
      <c r="CM2" s="4" t="s">
        <v>79</v>
      </c>
      <c r="CN2" s="4" t="s">
        <v>81</v>
      </c>
      <c r="CO2" s="4" t="s">
        <v>83</v>
      </c>
      <c r="CQ2" s="7" t="s">
        <v>91</v>
      </c>
      <c r="CR2" s="7" t="s">
        <v>92</v>
      </c>
      <c r="CS2" s="7" t="s">
        <v>93</v>
      </c>
      <c r="CT2" s="7" t="s">
        <v>94</v>
      </c>
      <c r="CV2" s="7" t="s">
        <v>95</v>
      </c>
      <c r="CW2" s="7" t="s">
        <v>96</v>
      </c>
      <c r="CX2" s="7" t="s">
        <v>97</v>
      </c>
      <c r="CY2" s="7" t="s">
        <v>96</v>
      </c>
      <c r="CZ2" s="7" t="s">
        <v>98</v>
      </c>
      <c r="DB2" s="7" t="s">
        <v>99</v>
      </c>
      <c r="DC2" s="7" t="s">
        <v>100</v>
      </c>
      <c r="DD2" s="7" t="s">
        <v>91</v>
      </c>
      <c r="DE2" s="7" t="s">
        <v>99</v>
      </c>
      <c r="DF2" s="7" t="s">
        <v>101</v>
      </c>
      <c r="DH2" s="7" t="s">
        <v>102</v>
      </c>
      <c r="DJ2" s="2" t="s">
        <v>103</v>
      </c>
      <c r="DK2" s="2" t="s">
        <v>104</v>
      </c>
      <c r="DL2" s="2" t="s">
        <v>105</v>
      </c>
      <c r="DM2" s="2" t="s">
        <v>37</v>
      </c>
      <c r="DN2" s="2" t="s">
        <v>38</v>
      </c>
      <c r="DO2" s="2" t="s">
        <v>39</v>
      </c>
      <c r="DP2" s="2" t="s">
        <v>40</v>
      </c>
      <c r="DQ2" s="2" t="s">
        <v>41</v>
      </c>
      <c r="DR2" s="2" t="s">
        <v>42</v>
      </c>
      <c r="DS2" s="2" t="s">
        <v>43</v>
      </c>
      <c r="DT2" s="2" t="s">
        <v>44</v>
      </c>
      <c r="DU2" s="2" t="s">
        <v>45</v>
      </c>
      <c r="DV2" s="2" t="s">
        <v>46</v>
      </c>
    </row>
    <row r="3" spans="2:126" x14ac:dyDescent="0.2">
      <c r="B3" s="26" t="s">
        <v>106</v>
      </c>
      <c r="C3" s="27" t="s">
        <v>107</v>
      </c>
      <c r="D3" s="27">
        <v>5</v>
      </c>
      <c r="E3" s="27" t="str">
        <f t="shared" ref="E3:E6" si="0">Q3</f>
        <v>Drymill CCS 90</v>
      </c>
      <c r="F3" s="26">
        <v>0</v>
      </c>
      <c r="G3" s="26">
        <v>1.6231455339999999E-2</v>
      </c>
      <c r="H3" s="26">
        <v>7.0449024900000004E-2</v>
      </c>
      <c r="I3" s="26">
        <v>0.11456844939999999</v>
      </c>
      <c r="J3" s="26">
        <v>0</v>
      </c>
      <c r="K3" s="26">
        <v>1.6218958130000001</v>
      </c>
      <c r="L3" s="20">
        <f t="shared" ref="L3:L6" si="1">(CY3+(CX3-DD3))*H3</f>
        <v>1.7128149210831778</v>
      </c>
      <c r="M3" s="26">
        <v>6577.9712840000002</v>
      </c>
      <c r="N3" s="26">
        <v>6324.1328800000001</v>
      </c>
      <c r="O3" s="26">
        <v>0.1113094593</v>
      </c>
      <c r="Q3" s="19" t="str">
        <f t="array" ref="Q3:AB3">_xlfn.XLOOKUP(D3, DJ:DJ, DK:DV)</f>
        <v>Drymill CCS 90</v>
      </c>
      <c r="R3" s="19" t="str">
        <v>Biomass_Corn</v>
      </c>
      <c r="S3" s="19">
        <v>0</v>
      </c>
      <c r="T3" s="19">
        <v>0.40489999999999998</v>
      </c>
      <c r="U3" s="19">
        <v>3.2587000000000002</v>
      </c>
      <c r="V3" s="19">
        <v>0.75070000000000003</v>
      </c>
      <c r="W3" s="19">
        <v>1.65</v>
      </c>
      <c r="X3" s="19">
        <v>0.66452746210000002</v>
      </c>
      <c r="Y3" s="19">
        <v>7.3840000000000003E-2</v>
      </c>
      <c r="Z3" s="19">
        <v>36112.15</v>
      </c>
      <c r="AA3" s="19">
        <v>173741.51</v>
      </c>
      <c r="AB3" s="19">
        <v>80.28</v>
      </c>
      <c r="AD3" s="16">
        <v>73.71884</v>
      </c>
      <c r="AE3" s="16">
        <v>-6.0973139999999999</v>
      </c>
      <c r="AF3" s="16">
        <v>61.343403000000002</v>
      </c>
      <c r="AG3" s="16">
        <v>33.004970999999998</v>
      </c>
      <c r="AH3" s="16">
        <v>42.195610000000002</v>
      </c>
      <c r="AI3" s="11">
        <v>155</v>
      </c>
      <c r="AJ3" s="17">
        <v>51.423575999999997</v>
      </c>
      <c r="AK3" s="17"/>
      <c r="AL3" s="16">
        <v>22.906690000000001</v>
      </c>
      <c r="AM3" s="16">
        <v>13.197062000000001</v>
      </c>
      <c r="AN3" s="16"/>
      <c r="AO3" s="17">
        <v>-129.528977</v>
      </c>
      <c r="AP3" s="17">
        <v>-129.528977</v>
      </c>
      <c r="AQ3" s="17"/>
      <c r="AR3" s="17"/>
      <c r="AS3" s="17"/>
      <c r="AT3" s="17"/>
      <c r="AU3" s="16">
        <v>14.953878</v>
      </c>
      <c r="AV3" s="16">
        <v>0</v>
      </c>
      <c r="AW3" s="16">
        <v>822.26752199999999</v>
      </c>
      <c r="AX3" s="16">
        <v>822.26752199999999</v>
      </c>
      <c r="AZ3" s="1" t="str">
        <f t="shared" ref="AZ3:AZ6" si="2">B3</f>
        <v>NCEN_Ethanol_Dehydration_NGfuel</v>
      </c>
      <c r="BA3" s="1" t="str">
        <f t="shared" ref="BA3:BA6" si="3">C3</f>
        <v>Ethanol</v>
      </c>
      <c r="BB3" s="12">
        <f t="shared" ref="BB3:BB6" si="4">SUM(BH3:BT3)+BV3+BW3</f>
        <v>857.29654995667147</v>
      </c>
      <c r="BC3" s="12">
        <f t="shared" ref="BC3:BC6" si="5">SUM(BH3:BT3)+BY3+BZ3</f>
        <v>857.29654995667147</v>
      </c>
      <c r="BD3" s="5">
        <f t="shared" ref="BD3:BD6" si="6">BB3-BC3</f>
        <v>0</v>
      </c>
      <c r="BE3" s="12">
        <f t="shared" ref="BE3:BE6" si="7">SUM(BH3:BT3)+CB3+CC3</f>
        <v>1088.7737075566715</v>
      </c>
      <c r="BF3" s="12">
        <f t="shared" ref="BF3:BF6" si="8">SUM(BH3:BT3)+CE3+CF3</f>
        <v>1088.7737075566715</v>
      </c>
      <c r="BG3" s="5">
        <f t="shared" ref="BG3:BG6" si="9">BE3-BF3</f>
        <v>0</v>
      </c>
      <c r="BH3" s="5">
        <f t="shared" ref="BH3:BH6" si="10">F3/H3*AM3</f>
        <v>0</v>
      </c>
      <c r="BI3" s="1">
        <f t="shared" ref="BI3:BI6" si="11">G3/H3*AL3</f>
        <v>5.277701376988464</v>
      </c>
      <c r="BJ3" s="1">
        <f t="shared" ref="BJ3:BJ6" si="12">CJ3</f>
        <v>40.400872877140465</v>
      </c>
      <c r="BK3" s="1">
        <f t="shared" ref="BK3:BK6" si="13">CI3</f>
        <v>0</v>
      </c>
      <c r="BL3" s="1">
        <f t="shared" ref="BL3:BL6" si="14">CK3</f>
        <v>675.16874743798053</v>
      </c>
      <c r="BM3" s="1">
        <f t="shared" ref="BM3:BM6" si="15">I3/H3*AU3</f>
        <v>24.31889749231679</v>
      </c>
      <c r="BN3" s="1">
        <f t="shared" ref="BN3:BN6" si="16">CL3</f>
        <v>48.89910182390517</v>
      </c>
      <c r="BO3" s="1">
        <f t="shared" ref="BO3:BO6" si="17">M3/H3/(0.9*8760)</f>
        <v>11.843235666463674</v>
      </c>
      <c r="BP3" s="1">
        <f t="shared" ref="BP3:BP6" si="18">CM3</f>
        <v>19.952042587512864</v>
      </c>
      <c r="BQ3" s="1">
        <f t="shared" ref="BQ3:BQ6" si="19">N3/H3/(0.9*8760)</f>
        <v>11.38621511864168</v>
      </c>
      <c r="BR3" s="1">
        <f t="shared" ref="BR3:BR6" si="20">CN3</f>
        <v>95.992567785047186</v>
      </c>
      <c r="BS3" s="1">
        <f t="shared" ref="BS3:BS6" si="21">O3/H3</f>
        <v>1.5799999994038241</v>
      </c>
      <c r="BT3" s="1">
        <f t="shared" ref="BT3:BT6" si="22">CO3</f>
        <v>349.69385189884565</v>
      </c>
      <c r="BU3" s="1">
        <f t="shared" ref="BU3:BU6" si="23">CZ3-DF3-DD3</f>
        <v>-3.14</v>
      </c>
      <c r="BV3" s="1">
        <f t="shared" ref="BV3:BV6" si="24">(AD3+AE3)*-1*DC3</f>
        <v>-195.73952650757468</v>
      </c>
      <c r="BW3" s="1">
        <f t="shared" ref="BW3:BW6" si="25">BU3*AD3</f>
        <v>-231.4771576</v>
      </c>
      <c r="BX3" s="1">
        <f t="shared" ref="BX3:BX6" si="26">CZ3-DF3-DC3-DD3</f>
        <v>-6.0346333820915943</v>
      </c>
      <c r="BY3" s="1">
        <f t="shared" ref="BY3:BY6" si="27">DC3*AE3*-1</f>
        <v>17.649488645494426</v>
      </c>
      <c r="BZ3" s="1">
        <f t="shared" ref="BZ3:BZ6" si="28">BX3*AD3</f>
        <v>-444.86617275306912</v>
      </c>
      <c r="CA3" s="1">
        <f t="shared" ref="CA3:CA6" si="29">CZ3-DF3</f>
        <v>0</v>
      </c>
      <c r="CB3" s="1">
        <f t="shared" ref="CB3:CB6" si="30">(AD3+AE3)*-1*DC3</f>
        <v>-195.73952650757468</v>
      </c>
      <c r="CC3" s="1">
        <f t="shared" ref="CC3:CC6" si="31">CA3*AD3</f>
        <v>0</v>
      </c>
      <c r="CD3" s="33">
        <f t="shared" ref="CD3:CD6" si="32">CZ3-DF3-DC3</f>
        <v>-2.8946333820915942</v>
      </c>
      <c r="CE3" s="1">
        <f t="shared" ref="CE3:CE6" si="33">DC3*AE3*-1</f>
        <v>17.649488645494426</v>
      </c>
      <c r="CF3" s="1">
        <f t="shared" ref="CF3:CF6" si="34">CD3*AD3</f>
        <v>-213.3890151530691</v>
      </c>
      <c r="CH3" s="1" t="str">
        <f t="shared" ref="CH3:CH6" si="35">Q3</f>
        <v>Drymill CCS 90</v>
      </c>
      <c r="CI3" s="1">
        <f t="shared" ref="CI3:CI6" si="36">S3/U3/H3*AL3*-1</f>
        <v>0</v>
      </c>
      <c r="CJ3" s="1">
        <f t="shared" ref="CJ3:CJ6" si="37">T3/U3/H3*AL3</f>
        <v>40.400872877140465</v>
      </c>
      <c r="CK3" s="1">
        <f t="array" ref="CK3">_xlfn.IFS(R3="Biomass_Corn", 1/U3/H3*AI3, R3="Biomass_Agri", 1/U3/H3*AH3, R3="Biomass_Wood", 1/U3/H3*AG3, R3="Biomass_Herb", 1/U3/H3*AF3)</f>
        <v>675.16874743798053</v>
      </c>
      <c r="CL3" s="1">
        <f t="shared" ref="CL3:CL6" si="38">V3/U3/H3*AU3</f>
        <v>48.89910182390517</v>
      </c>
      <c r="CM3" s="1">
        <f t="shared" ref="CM3:CM6" si="39">Z3/U3/H3/(0.9*8760)</f>
        <v>19.952042587512864</v>
      </c>
      <c r="CN3" s="1">
        <f t="shared" ref="CN3:CN6" si="40">AA3/U3/H3/(0.9*8760)</f>
        <v>95.992567785047186</v>
      </c>
      <c r="CO3" s="1">
        <f t="shared" ref="CO3:CO6" si="41">AB3/U3/H3</f>
        <v>349.69385189884565</v>
      </c>
      <c r="CQ3" s="9">
        <v>3.14</v>
      </c>
      <c r="CR3" s="19">
        <f t="shared" ref="CR3:CR6" si="42">W3</f>
        <v>1.65</v>
      </c>
      <c r="CS3" s="10">
        <v>0.181048235160161</v>
      </c>
      <c r="CT3" s="9">
        <f t="shared" ref="CT3:CT6" si="43">(CV3+CW3-DB3-DC3)*H3</f>
        <v>0.35376226421514195</v>
      </c>
      <c r="CV3" s="10">
        <f t="shared" ref="CV3:CV6" si="44">CR3/U3/H3</f>
        <v>7.1872802146623727</v>
      </c>
      <c r="CW3" s="10">
        <f t="shared" ref="CW3:CW6" si="45">IF(V3=0, 0, CS3/V3/U3/H3)</f>
        <v>1.050530130234945</v>
      </c>
      <c r="CX3" s="10">
        <f t="shared" ref="CX3:CX6" si="46">CT3/H3</f>
        <v>5.0215352833810751</v>
      </c>
      <c r="CY3" s="10">
        <f t="shared" ref="CY3:CY6" si="47">IF(I3=0, 0, CS3/I3/H3)</f>
        <v>22.431291239263636</v>
      </c>
      <c r="CZ3" s="10">
        <f t="shared" ref="CZ3:CZ6" si="48">CV3+CW3+CY3</f>
        <v>30.669101584160956</v>
      </c>
      <c r="DB3" s="19">
        <f t="shared" ref="DB3:DB6" si="49">Y3/U3/H3</f>
        <v>0.32164167942464827</v>
      </c>
      <c r="DC3" s="19">
        <f t="shared" ref="DC3:DC6" si="50">X3/U3/H3</f>
        <v>2.8946333820915942</v>
      </c>
      <c r="DD3" s="10">
        <f t="shared" ref="DD3:DD6" si="51">CQ3</f>
        <v>3.14</v>
      </c>
      <c r="DE3" s="10">
        <f t="shared" ref="DE3:DE6" si="52">L3/H3</f>
        <v>24.312826522644713</v>
      </c>
      <c r="DF3" s="10">
        <f t="shared" ref="DF3:DF6" si="53">SUM(DB3:DE3)</f>
        <v>30.669101584160956</v>
      </c>
      <c r="DH3" s="1">
        <f t="shared" ref="DH3:DH6" si="54">CZ3-DF3</f>
        <v>0</v>
      </c>
      <c r="DJ3" s="14">
        <v>1</v>
      </c>
      <c r="DK3" s="14" t="s">
        <v>108</v>
      </c>
      <c r="DL3" s="13" t="s">
        <v>109</v>
      </c>
      <c r="DM3" s="13">
        <v>0</v>
      </c>
      <c r="DN3" s="13">
        <v>0.06</v>
      </c>
      <c r="DO3" s="13">
        <v>3.26</v>
      </c>
      <c r="DP3" s="13">
        <v>0.75</v>
      </c>
      <c r="DQ3" s="13">
        <v>1.65</v>
      </c>
      <c r="DR3" s="13">
        <v>0</v>
      </c>
      <c r="DS3" s="13">
        <v>1.034528956370121</v>
      </c>
      <c r="DT3" s="13">
        <v>0</v>
      </c>
      <c r="DU3" s="13">
        <v>154043.63</v>
      </c>
      <c r="DV3" s="13">
        <v>79.650000000000006</v>
      </c>
    </row>
    <row r="4" spans="2:126" x14ac:dyDescent="0.2">
      <c r="B4" s="26" t="s">
        <v>110</v>
      </c>
      <c r="C4" s="27" t="s">
        <v>107</v>
      </c>
      <c r="D4" s="27">
        <v>5</v>
      </c>
      <c r="E4" s="27" t="str">
        <f t="shared" si="0"/>
        <v>Drymill CCS 90</v>
      </c>
      <c r="F4" s="26">
        <v>0.1123387839</v>
      </c>
      <c r="G4" s="26">
        <v>1.6231455339999999E-2</v>
      </c>
      <c r="H4" s="26">
        <v>7.0449024900000004E-2</v>
      </c>
      <c r="I4" s="26">
        <v>0</v>
      </c>
      <c r="J4" s="26">
        <v>0</v>
      </c>
      <c r="K4" s="26">
        <v>4.1633218E-2</v>
      </c>
      <c r="L4" s="20">
        <f t="shared" si="1"/>
        <v>0.13255232602914191</v>
      </c>
      <c r="M4" s="26">
        <v>6577.9712840000002</v>
      </c>
      <c r="N4" s="26">
        <v>6324.1328800000001</v>
      </c>
      <c r="O4" s="26">
        <v>0.1113094593</v>
      </c>
      <c r="Q4" s="19" t="str">
        <f t="array" ref="Q4:AB4">_xlfn.XLOOKUP(D4, DJ:DJ, DK:DV)</f>
        <v>Drymill CCS 90</v>
      </c>
      <c r="R4" s="19" t="str">
        <v>Biomass_Corn</v>
      </c>
      <c r="S4" s="19">
        <v>0</v>
      </c>
      <c r="T4" s="19">
        <v>0.40489999999999998</v>
      </c>
      <c r="U4" s="19">
        <v>3.2587000000000002</v>
      </c>
      <c r="V4" s="19">
        <v>0.75070000000000003</v>
      </c>
      <c r="W4" s="19">
        <v>1.65</v>
      </c>
      <c r="X4" s="19">
        <v>0.66452746210000002</v>
      </c>
      <c r="Y4" s="19">
        <v>7.3840000000000003E-2</v>
      </c>
      <c r="Z4" s="19">
        <v>36112.15</v>
      </c>
      <c r="AA4" s="19">
        <v>173741.51</v>
      </c>
      <c r="AB4" s="19">
        <v>80.28</v>
      </c>
      <c r="AD4" s="16">
        <v>73.71884</v>
      </c>
      <c r="AE4" s="16">
        <v>-6.0973139999999999</v>
      </c>
      <c r="AF4" s="16">
        <v>61.343403000000002</v>
      </c>
      <c r="AG4" s="16">
        <v>33.004970999999998</v>
      </c>
      <c r="AH4" s="16">
        <v>42.195610000000002</v>
      </c>
      <c r="AI4" s="11">
        <v>155</v>
      </c>
      <c r="AJ4" s="17">
        <v>51.423575999999997</v>
      </c>
      <c r="AK4" s="17"/>
      <c r="AL4" s="16">
        <v>22.906690000000001</v>
      </c>
      <c r="AM4" s="16">
        <v>13.197062000000001</v>
      </c>
      <c r="AN4" s="16"/>
      <c r="AO4" s="17">
        <v>-129.528977</v>
      </c>
      <c r="AP4" s="17">
        <v>-129.528977</v>
      </c>
      <c r="AQ4" s="17"/>
      <c r="AR4" s="17"/>
      <c r="AS4" s="17"/>
      <c r="AT4" s="17"/>
      <c r="AU4" s="16">
        <v>14.953878</v>
      </c>
      <c r="AV4" s="16">
        <v>0</v>
      </c>
      <c r="AW4" s="16">
        <v>822.26752199999999</v>
      </c>
      <c r="AX4" s="16">
        <v>822.26752199999999</v>
      </c>
      <c r="AZ4" s="1" t="str">
        <f t="shared" si="2"/>
        <v>NCEN_Ethanol_Dehydration_H2fuel</v>
      </c>
      <c r="BA4" s="1" t="str">
        <f t="shared" si="3"/>
        <v>Ethanol</v>
      </c>
      <c r="BB4" s="12">
        <f t="shared" si="4"/>
        <v>854.02183154614227</v>
      </c>
      <c r="BC4" s="12">
        <f t="shared" si="5"/>
        <v>854.02183154614227</v>
      </c>
      <c r="BD4" s="5">
        <f t="shared" si="6"/>
        <v>0</v>
      </c>
      <c r="BE4" s="12">
        <f t="shared" si="7"/>
        <v>1085.4989891461423</v>
      </c>
      <c r="BF4" s="12">
        <f t="shared" si="8"/>
        <v>1085.4989891461423</v>
      </c>
      <c r="BG4" s="5">
        <f t="shared" si="9"/>
        <v>0</v>
      </c>
      <c r="BH4" s="5">
        <f t="shared" si="10"/>
        <v>21.04417908178743</v>
      </c>
      <c r="BI4" s="1">
        <f t="shared" si="11"/>
        <v>5.277701376988464</v>
      </c>
      <c r="BJ4" s="1">
        <f t="shared" si="12"/>
        <v>40.400872877140465</v>
      </c>
      <c r="BK4" s="1">
        <f t="shared" si="13"/>
        <v>0</v>
      </c>
      <c r="BL4" s="1">
        <f t="shared" si="14"/>
        <v>675.16874743798053</v>
      </c>
      <c r="BM4" s="1">
        <f t="shared" si="15"/>
        <v>0</v>
      </c>
      <c r="BN4" s="1">
        <f t="shared" si="16"/>
        <v>48.89910182390517</v>
      </c>
      <c r="BO4" s="1">
        <f t="shared" si="17"/>
        <v>11.843235666463674</v>
      </c>
      <c r="BP4" s="1">
        <f t="shared" si="18"/>
        <v>19.952042587512864</v>
      </c>
      <c r="BQ4" s="1">
        <f t="shared" si="19"/>
        <v>11.38621511864168</v>
      </c>
      <c r="BR4" s="1">
        <f t="shared" si="20"/>
        <v>95.992567785047186</v>
      </c>
      <c r="BS4" s="1">
        <f t="shared" si="21"/>
        <v>1.5799999994038241</v>
      </c>
      <c r="BT4" s="1">
        <f t="shared" si="22"/>
        <v>349.69385189884565</v>
      </c>
      <c r="BU4" s="1">
        <f t="shared" si="23"/>
        <v>-3.14</v>
      </c>
      <c r="BV4" s="1">
        <f t="shared" si="24"/>
        <v>-195.73952650757468</v>
      </c>
      <c r="BW4" s="1">
        <f t="shared" si="25"/>
        <v>-231.4771576</v>
      </c>
      <c r="BX4" s="1">
        <f t="shared" si="26"/>
        <v>-6.0346333820915943</v>
      </c>
      <c r="BY4" s="1">
        <f t="shared" si="27"/>
        <v>17.649488645494426</v>
      </c>
      <c r="BZ4" s="1">
        <f t="shared" si="28"/>
        <v>-444.86617275306912</v>
      </c>
      <c r="CA4" s="1">
        <f t="shared" si="29"/>
        <v>0</v>
      </c>
      <c r="CB4" s="1">
        <f t="shared" si="30"/>
        <v>-195.73952650757468</v>
      </c>
      <c r="CC4" s="1">
        <f t="shared" si="31"/>
        <v>0</v>
      </c>
      <c r="CD4" s="33">
        <f t="shared" si="32"/>
        <v>-2.8946333820915942</v>
      </c>
      <c r="CE4" s="1">
        <f t="shared" si="33"/>
        <v>17.649488645494426</v>
      </c>
      <c r="CF4" s="1">
        <f t="shared" si="34"/>
        <v>-213.3890151530691</v>
      </c>
      <c r="CH4" s="1" t="str">
        <f t="shared" si="35"/>
        <v>Drymill CCS 90</v>
      </c>
      <c r="CI4" s="1">
        <f t="shared" si="36"/>
        <v>0</v>
      </c>
      <c r="CJ4" s="1">
        <f t="shared" si="37"/>
        <v>40.400872877140465</v>
      </c>
      <c r="CK4" s="1">
        <f t="array" ref="CK4">_xlfn.IFS(R4="Biomass_Corn", 1/U4/H4*AI4, R4="Biomass_Agri", 1/U4/H4*AH4, R4="Biomass_Wood", 1/U4/H4*AG4, R4="Biomass_Herb", 1/U4/H4*AF4)</f>
        <v>675.16874743798053</v>
      </c>
      <c r="CL4" s="1">
        <f t="shared" si="38"/>
        <v>48.89910182390517</v>
      </c>
      <c r="CM4" s="1">
        <f t="shared" si="39"/>
        <v>19.952042587512864</v>
      </c>
      <c r="CN4" s="1">
        <f t="shared" si="40"/>
        <v>95.992567785047186</v>
      </c>
      <c r="CO4" s="1">
        <f t="shared" si="41"/>
        <v>349.69385189884565</v>
      </c>
      <c r="CQ4" s="9">
        <v>3.14</v>
      </c>
      <c r="CR4" s="19">
        <f t="shared" si="42"/>
        <v>1.65</v>
      </c>
      <c r="CS4" s="10">
        <v>0.181048235160161</v>
      </c>
      <c r="CT4" s="9">
        <f t="shared" si="43"/>
        <v>0.35376226421514195</v>
      </c>
      <c r="CV4" s="10">
        <f t="shared" si="44"/>
        <v>7.1872802146623727</v>
      </c>
      <c r="CW4" s="10">
        <f t="shared" si="45"/>
        <v>1.050530130234945</v>
      </c>
      <c r="CX4" s="10">
        <f t="shared" si="46"/>
        <v>5.0215352833810751</v>
      </c>
      <c r="CY4" s="10">
        <f t="shared" si="47"/>
        <v>0</v>
      </c>
      <c r="CZ4" s="10">
        <f t="shared" si="48"/>
        <v>8.2378103448973174</v>
      </c>
      <c r="DB4" s="19">
        <f t="shared" si="49"/>
        <v>0.32164167942464827</v>
      </c>
      <c r="DC4" s="19">
        <f t="shared" si="50"/>
        <v>2.8946333820915942</v>
      </c>
      <c r="DD4" s="10">
        <f t="shared" si="51"/>
        <v>3.14</v>
      </c>
      <c r="DE4" s="10">
        <f t="shared" si="52"/>
        <v>1.8815352833810748</v>
      </c>
      <c r="DF4" s="10">
        <f t="shared" si="53"/>
        <v>8.2378103448973174</v>
      </c>
      <c r="DH4" s="1">
        <f t="shared" si="54"/>
        <v>0</v>
      </c>
      <c r="DJ4" s="14">
        <v>2</v>
      </c>
      <c r="DK4" s="14" t="s">
        <v>111</v>
      </c>
      <c r="DL4" s="13" t="s">
        <v>112</v>
      </c>
      <c r="DM4" s="13">
        <v>0.1227</v>
      </c>
      <c r="DN4" s="13">
        <v>0</v>
      </c>
      <c r="DO4" s="13">
        <v>1.5508999999999999</v>
      </c>
      <c r="DP4" s="13">
        <v>0</v>
      </c>
      <c r="DQ4" s="13">
        <v>1.32</v>
      </c>
      <c r="DR4" s="13">
        <v>0</v>
      </c>
      <c r="DS4" s="13">
        <v>0.9625997476999999</v>
      </c>
      <c r="DT4" s="13">
        <v>656536.27</v>
      </c>
      <c r="DU4" s="13">
        <v>194987.35</v>
      </c>
      <c r="DV4" s="13">
        <v>55.68</v>
      </c>
    </row>
    <row r="5" spans="2:126" x14ac:dyDescent="0.2">
      <c r="B5" s="26" t="s">
        <v>113</v>
      </c>
      <c r="C5" s="27" t="s">
        <v>107</v>
      </c>
      <c r="D5" s="27">
        <v>5</v>
      </c>
      <c r="E5" s="27" t="str">
        <f t="shared" si="0"/>
        <v>Drymill CCS 90</v>
      </c>
      <c r="F5" s="26">
        <v>0</v>
      </c>
      <c r="G5" s="26">
        <v>1.6231455339999999E-2</v>
      </c>
      <c r="H5" s="26">
        <v>7.0449024900000004E-2</v>
      </c>
      <c r="I5" s="26">
        <v>0.11456844939999999</v>
      </c>
      <c r="J5" s="26">
        <v>0</v>
      </c>
      <c r="K5" s="26">
        <v>1.6218958130000001</v>
      </c>
      <c r="L5" s="20">
        <f t="shared" si="1"/>
        <v>1.7128149210831778</v>
      </c>
      <c r="M5" s="26">
        <v>6577.9712840000002</v>
      </c>
      <c r="N5" s="26">
        <v>6324.1328800000001</v>
      </c>
      <c r="O5" s="26">
        <v>0.1113094593</v>
      </c>
      <c r="Q5" s="19" t="str">
        <f t="array" ref="Q5:AB5">_xlfn.XLOOKUP(D5, DJ:DJ, DK:DV)</f>
        <v>Drymill CCS 90</v>
      </c>
      <c r="R5" s="19" t="str">
        <v>Biomass_Corn</v>
      </c>
      <c r="S5" s="19">
        <v>0</v>
      </c>
      <c r="T5" s="19">
        <v>0.40489999999999998</v>
      </c>
      <c r="U5" s="19">
        <v>3.2587000000000002</v>
      </c>
      <c r="V5" s="19">
        <v>0.75070000000000003</v>
      </c>
      <c r="W5" s="19">
        <v>1.65</v>
      </c>
      <c r="X5" s="19">
        <v>0.66452746210000002</v>
      </c>
      <c r="Y5" s="19">
        <v>7.3840000000000003E-2</v>
      </c>
      <c r="Z5" s="19">
        <v>36112.15</v>
      </c>
      <c r="AA5" s="19">
        <v>173741.51</v>
      </c>
      <c r="AB5" s="19">
        <v>80.28</v>
      </c>
      <c r="AD5" s="16">
        <v>73.71884</v>
      </c>
      <c r="AE5" s="16">
        <v>-6.1992539999999998</v>
      </c>
      <c r="AF5" s="16">
        <v>65.59151</v>
      </c>
      <c r="AG5" s="16">
        <v>31.821489</v>
      </c>
      <c r="AH5" s="16">
        <v>37.986238999999998</v>
      </c>
      <c r="AI5" s="11">
        <v>155</v>
      </c>
      <c r="AJ5" s="17">
        <v>51.417555</v>
      </c>
      <c r="AK5" s="17"/>
      <c r="AL5" s="16">
        <v>22.465142</v>
      </c>
      <c r="AM5" s="16">
        <v>13.285634</v>
      </c>
      <c r="AN5" s="16"/>
      <c r="AO5" s="17">
        <v>-129.68144799999999</v>
      </c>
      <c r="AP5" s="17">
        <v>-129.68144799999999</v>
      </c>
      <c r="AQ5" s="17"/>
      <c r="AR5" s="17"/>
      <c r="AS5" s="17"/>
      <c r="AT5" s="17"/>
      <c r="AU5" s="16">
        <v>15.046749</v>
      </c>
      <c r="AV5" s="16">
        <v>0</v>
      </c>
      <c r="AW5" s="16">
        <v>822.26752199999999</v>
      </c>
      <c r="AX5" s="16">
        <v>822.26752199999999</v>
      </c>
      <c r="AZ5" s="1" t="str">
        <f t="shared" si="2"/>
        <v>CEN_Ethanol_Dehydration_NGfuel</v>
      </c>
      <c r="BA5" s="1" t="str">
        <f t="shared" si="3"/>
        <v>Ethanol</v>
      </c>
      <c r="BB5" s="12">
        <f t="shared" si="4"/>
        <v>857.1658514855294</v>
      </c>
      <c r="BC5" s="12">
        <f t="shared" si="5"/>
        <v>857.1658514855294</v>
      </c>
      <c r="BD5" s="5">
        <f t="shared" si="6"/>
        <v>0</v>
      </c>
      <c r="BE5" s="12">
        <f t="shared" si="7"/>
        <v>1088.6430090855295</v>
      </c>
      <c r="BF5" s="12">
        <f t="shared" si="8"/>
        <v>1088.6430090855295</v>
      </c>
      <c r="BG5" s="5">
        <f t="shared" si="9"/>
        <v>0</v>
      </c>
      <c r="BH5" s="5">
        <f t="shared" si="10"/>
        <v>0</v>
      </c>
      <c r="BI5" s="1">
        <f t="shared" si="11"/>
        <v>5.1759687177694103</v>
      </c>
      <c r="BJ5" s="1">
        <f t="shared" si="12"/>
        <v>39.622108043934283</v>
      </c>
      <c r="BK5" s="1">
        <f t="shared" si="13"/>
        <v>0</v>
      </c>
      <c r="BL5" s="1">
        <f t="shared" si="14"/>
        <v>675.16874743798053</v>
      </c>
      <c r="BM5" s="1">
        <f t="shared" si="15"/>
        <v>24.469929908724691</v>
      </c>
      <c r="BN5" s="1">
        <f t="shared" si="16"/>
        <v>49.202789501809718</v>
      </c>
      <c r="BO5" s="1">
        <f t="shared" si="17"/>
        <v>11.843235666463674</v>
      </c>
      <c r="BP5" s="1">
        <f t="shared" si="18"/>
        <v>19.952042587512864</v>
      </c>
      <c r="BQ5" s="1">
        <f t="shared" si="19"/>
        <v>11.38621511864168</v>
      </c>
      <c r="BR5" s="1">
        <f t="shared" si="20"/>
        <v>95.992567785047186</v>
      </c>
      <c r="BS5" s="1">
        <f t="shared" si="21"/>
        <v>1.5799999994038241</v>
      </c>
      <c r="BT5" s="1">
        <f t="shared" si="22"/>
        <v>349.69385189884565</v>
      </c>
      <c r="BU5" s="1">
        <f t="shared" si="23"/>
        <v>-3.14</v>
      </c>
      <c r="BV5" s="1">
        <f t="shared" si="24"/>
        <v>-195.44444758060428</v>
      </c>
      <c r="BW5" s="1">
        <f t="shared" si="25"/>
        <v>-231.4771576</v>
      </c>
      <c r="BX5" s="1">
        <f t="shared" si="26"/>
        <v>-6.0346333820915943</v>
      </c>
      <c r="BY5" s="1">
        <f t="shared" si="27"/>
        <v>17.944567572464845</v>
      </c>
      <c r="BZ5" s="1">
        <f t="shared" si="28"/>
        <v>-444.86617275306912</v>
      </c>
      <c r="CA5" s="1">
        <f t="shared" si="29"/>
        <v>0</v>
      </c>
      <c r="CB5" s="1">
        <f t="shared" si="30"/>
        <v>-195.44444758060428</v>
      </c>
      <c r="CC5" s="1">
        <f t="shared" si="31"/>
        <v>0</v>
      </c>
      <c r="CD5" s="33">
        <f t="shared" si="32"/>
        <v>-2.8946333820915942</v>
      </c>
      <c r="CE5" s="1">
        <f t="shared" si="33"/>
        <v>17.944567572464845</v>
      </c>
      <c r="CF5" s="1">
        <f t="shared" si="34"/>
        <v>-213.3890151530691</v>
      </c>
      <c r="CH5" s="1" t="str">
        <f t="shared" si="35"/>
        <v>Drymill CCS 90</v>
      </c>
      <c r="CI5" s="1">
        <f t="shared" si="36"/>
        <v>0</v>
      </c>
      <c r="CJ5" s="1">
        <f t="shared" si="37"/>
        <v>39.622108043934283</v>
      </c>
      <c r="CK5" s="1">
        <f t="array" ref="CK5">_xlfn.IFS(R5="Biomass_Corn", 1/U5/H5*AI5, R5="Biomass_Agri", 1/U5/H5*AH5, R5="Biomass_Wood", 1/U5/H5*AG5, R5="Biomass_Herb", 1/U5/H5*AF5)</f>
        <v>675.16874743798053</v>
      </c>
      <c r="CL5" s="1">
        <f t="shared" si="38"/>
        <v>49.202789501809718</v>
      </c>
      <c r="CM5" s="1">
        <f t="shared" si="39"/>
        <v>19.952042587512864</v>
      </c>
      <c r="CN5" s="1">
        <f t="shared" si="40"/>
        <v>95.992567785047186</v>
      </c>
      <c r="CO5" s="1">
        <f t="shared" si="41"/>
        <v>349.69385189884565</v>
      </c>
      <c r="CQ5" s="9">
        <v>3.14</v>
      </c>
      <c r="CR5" s="19">
        <f t="shared" si="42"/>
        <v>1.65</v>
      </c>
      <c r="CS5" s="10">
        <v>0.181048235160161</v>
      </c>
      <c r="CT5" s="9">
        <f t="shared" si="43"/>
        <v>0.35376226421514195</v>
      </c>
      <c r="CV5" s="10">
        <f t="shared" si="44"/>
        <v>7.1872802146623727</v>
      </c>
      <c r="CW5" s="10">
        <f t="shared" si="45"/>
        <v>1.050530130234945</v>
      </c>
      <c r="CX5" s="10">
        <f t="shared" si="46"/>
        <v>5.0215352833810751</v>
      </c>
      <c r="CY5" s="10">
        <f t="shared" si="47"/>
        <v>22.431291239263636</v>
      </c>
      <c r="CZ5" s="10">
        <f t="shared" si="48"/>
        <v>30.669101584160956</v>
      </c>
      <c r="DB5" s="19">
        <f t="shared" si="49"/>
        <v>0.32164167942464827</v>
      </c>
      <c r="DC5" s="19">
        <f t="shared" si="50"/>
        <v>2.8946333820915942</v>
      </c>
      <c r="DD5" s="10">
        <f t="shared" si="51"/>
        <v>3.14</v>
      </c>
      <c r="DE5" s="10">
        <f t="shared" si="52"/>
        <v>24.312826522644713</v>
      </c>
      <c r="DF5" s="10">
        <f t="shared" si="53"/>
        <v>30.669101584160956</v>
      </c>
      <c r="DH5" s="1">
        <f t="shared" si="54"/>
        <v>0</v>
      </c>
      <c r="DJ5" s="14">
        <v>3</v>
      </c>
      <c r="DK5" s="14" t="s">
        <v>114</v>
      </c>
      <c r="DL5" s="13" t="s">
        <v>112</v>
      </c>
      <c r="DM5" s="13">
        <v>0.1227</v>
      </c>
      <c r="DN5" s="13">
        <v>0</v>
      </c>
      <c r="DO5" s="13">
        <v>1.5508999999999999</v>
      </c>
      <c r="DP5" s="13">
        <v>0</v>
      </c>
      <c r="DQ5" s="13">
        <v>1.32</v>
      </c>
      <c r="DR5" s="13">
        <v>0.19</v>
      </c>
      <c r="DS5" s="13">
        <v>0.77259974769999995</v>
      </c>
      <c r="DT5" s="13">
        <v>658128.84</v>
      </c>
      <c r="DU5" s="13">
        <v>195838.97</v>
      </c>
      <c r="DV5" s="13">
        <v>55.71</v>
      </c>
    </row>
    <row r="6" spans="2:126" x14ac:dyDescent="0.2">
      <c r="B6" s="26" t="s">
        <v>115</v>
      </c>
      <c r="C6" s="27" t="s">
        <v>107</v>
      </c>
      <c r="D6" s="27">
        <v>5</v>
      </c>
      <c r="E6" s="27" t="str">
        <f t="shared" si="0"/>
        <v>Drymill CCS 90</v>
      </c>
      <c r="F6" s="26">
        <v>0.1123387839</v>
      </c>
      <c r="G6" s="26">
        <v>1.6231455339999999E-2</v>
      </c>
      <c r="H6" s="26">
        <v>7.0449024900000004E-2</v>
      </c>
      <c r="I6" s="26">
        <v>0</v>
      </c>
      <c r="J6" s="26">
        <v>0</v>
      </c>
      <c r="K6" s="26">
        <v>4.1633218E-2</v>
      </c>
      <c r="L6" s="20">
        <f t="shared" si="1"/>
        <v>0.13255232602914191</v>
      </c>
      <c r="M6" s="26">
        <v>6577.9712840000002</v>
      </c>
      <c r="N6" s="26">
        <v>6324.1328800000001</v>
      </c>
      <c r="O6" s="26">
        <v>0.1113094593</v>
      </c>
      <c r="Q6" s="19" t="str">
        <f t="array" ref="Q6:AB6">_xlfn.XLOOKUP(D6, DJ:DJ, DK:DV)</f>
        <v>Drymill CCS 90</v>
      </c>
      <c r="R6" s="19" t="str">
        <v>Biomass_Corn</v>
      </c>
      <c r="S6" s="19">
        <v>0</v>
      </c>
      <c r="T6" s="19">
        <v>0.40489999999999998</v>
      </c>
      <c r="U6" s="19">
        <v>3.2587000000000002</v>
      </c>
      <c r="V6" s="19">
        <v>0.75070000000000003</v>
      </c>
      <c r="W6" s="19">
        <v>1.65</v>
      </c>
      <c r="X6" s="19">
        <v>0.66452746210000002</v>
      </c>
      <c r="Y6" s="19">
        <v>7.3840000000000003E-2</v>
      </c>
      <c r="Z6" s="19">
        <v>36112.15</v>
      </c>
      <c r="AA6" s="19">
        <v>173741.51</v>
      </c>
      <c r="AB6" s="19">
        <v>80.28</v>
      </c>
      <c r="AD6" s="16">
        <v>73.71884</v>
      </c>
      <c r="AE6" s="16">
        <v>-6.1992539999999998</v>
      </c>
      <c r="AF6" s="16">
        <v>65.59151</v>
      </c>
      <c r="AG6" s="16">
        <v>31.821489</v>
      </c>
      <c r="AH6" s="16">
        <v>37.986238999999998</v>
      </c>
      <c r="AI6" s="11">
        <v>155</v>
      </c>
      <c r="AJ6" s="17">
        <v>51.417555</v>
      </c>
      <c r="AK6" s="17"/>
      <c r="AL6" s="16">
        <v>22.465142</v>
      </c>
      <c r="AM6" s="16">
        <v>13.285634</v>
      </c>
      <c r="AN6" s="16"/>
      <c r="AO6" s="17">
        <v>-129.68144799999999</v>
      </c>
      <c r="AP6" s="17">
        <v>-129.68144799999999</v>
      </c>
      <c r="AQ6" s="17"/>
      <c r="AR6" s="17"/>
      <c r="AS6" s="17"/>
      <c r="AT6" s="17"/>
      <c r="AU6" s="16">
        <v>15.046749</v>
      </c>
      <c r="AV6" s="16">
        <v>0</v>
      </c>
      <c r="AW6" s="16">
        <v>822.26752199999999</v>
      </c>
      <c r="AX6" s="16">
        <v>822.26752199999999</v>
      </c>
      <c r="AZ6" s="1" t="str">
        <f t="shared" si="2"/>
        <v>CEN_Ethanol_Dehydration_H2fuel</v>
      </c>
      <c r="BA6" s="1" t="str">
        <f t="shared" si="3"/>
        <v>Ethanol</v>
      </c>
      <c r="BB6" s="12">
        <f t="shared" si="4"/>
        <v>853.88133853635827</v>
      </c>
      <c r="BC6" s="12">
        <f t="shared" si="5"/>
        <v>853.88133853635827</v>
      </c>
      <c r="BD6" s="5">
        <f t="shared" si="6"/>
        <v>0</v>
      </c>
      <c r="BE6" s="12">
        <f t="shared" si="7"/>
        <v>1085.3584961363583</v>
      </c>
      <c r="BF6" s="12">
        <f t="shared" si="8"/>
        <v>1085.3584961363583</v>
      </c>
      <c r="BG6" s="5">
        <f t="shared" si="9"/>
        <v>0</v>
      </c>
      <c r="BH6" s="5">
        <f t="shared" si="10"/>
        <v>21.185416959553866</v>
      </c>
      <c r="BI6" s="1">
        <f t="shared" si="11"/>
        <v>5.1759687177694103</v>
      </c>
      <c r="BJ6" s="1">
        <f t="shared" si="12"/>
        <v>39.622108043934283</v>
      </c>
      <c r="BK6" s="1">
        <f t="shared" si="13"/>
        <v>0</v>
      </c>
      <c r="BL6" s="1">
        <f t="shared" si="14"/>
        <v>675.16874743798053</v>
      </c>
      <c r="BM6" s="1">
        <f t="shared" si="15"/>
        <v>0</v>
      </c>
      <c r="BN6" s="1">
        <f t="shared" si="16"/>
        <v>49.202789501809718</v>
      </c>
      <c r="BO6" s="1">
        <f t="shared" si="17"/>
        <v>11.843235666463674</v>
      </c>
      <c r="BP6" s="1">
        <f t="shared" si="18"/>
        <v>19.952042587512864</v>
      </c>
      <c r="BQ6" s="1">
        <f t="shared" si="19"/>
        <v>11.38621511864168</v>
      </c>
      <c r="BR6" s="1">
        <f t="shared" si="20"/>
        <v>95.992567785047186</v>
      </c>
      <c r="BS6" s="1">
        <f t="shared" si="21"/>
        <v>1.5799999994038241</v>
      </c>
      <c r="BT6" s="1">
        <f t="shared" si="22"/>
        <v>349.69385189884565</v>
      </c>
      <c r="BU6" s="1">
        <f t="shared" si="23"/>
        <v>-3.14</v>
      </c>
      <c r="BV6" s="1">
        <f t="shared" si="24"/>
        <v>-195.44444758060428</v>
      </c>
      <c r="BW6" s="1">
        <f t="shared" si="25"/>
        <v>-231.4771576</v>
      </c>
      <c r="BX6" s="1">
        <f t="shared" si="26"/>
        <v>-6.0346333820915943</v>
      </c>
      <c r="BY6" s="1">
        <f t="shared" si="27"/>
        <v>17.944567572464845</v>
      </c>
      <c r="BZ6" s="1">
        <f t="shared" si="28"/>
        <v>-444.86617275306912</v>
      </c>
      <c r="CA6" s="1">
        <f t="shared" si="29"/>
        <v>0</v>
      </c>
      <c r="CB6" s="1">
        <f t="shared" si="30"/>
        <v>-195.44444758060428</v>
      </c>
      <c r="CC6" s="1">
        <f t="shared" si="31"/>
        <v>0</v>
      </c>
      <c r="CD6" s="33">
        <f t="shared" si="32"/>
        <v>-2.8946333820915942</v>
      </c>
      <c r="CE6" s="1">
        <f t="shared" si="33"/>
        <v>17.944567572464845</v>
      </c>
      <c r="CF6" s="1">
        <f t="shared" si="34"/>
        <v>-213.3890151530691</v>
      </c>
      <c r="CH6" s="1" t="str">
        <f t="shared" si="35"/>
        <v>Drymill CCS 90</v>
      </c>
      <c r="CI6" s="1">
        <f t="shared" si="36"/>
        <v>0</v>
      </c>
      <c r="CJ6" s="1">
        <f t="shared" si="37"/>
        <v>39.622108043934283</v>
      </c>
      <c r="CK6" s="1">
        <f t="array" ref="CK6">_xlfn.IFS(R6="Biomass_Corn", 1/U6/H6*AI6, R6="Biomass_Agri", 1/U6/H6*AH6, R6="Biomass_Wood", 1/U6/H6*AG6, R6="Biomass_Herb", 1/U6/H6*AF6)</f>
        <v>675.16874743798053</v>
      </c>
      <c r="CL6" s="1">
        <f t="shared" si="38"/>
        <v>49.202789501809718</v>
      </c>
      <c r="CM6" s="1">
        <f t="shared" si="39"/>
        <v>19.952042587512864</v>
      </c>
      <c r="CN6" s="1">
        <f t="shared" si="40"/>
        <v>95.992567785047186</v>
      </c>
      <c r="CO6" s="1">
        <f t="shared" si="41"/>
        <v>349.69385189884565</v>
      </c>
      <c r="CQ6" s="9">
        <v>3.14</v>
      </c>
      <c r="CR6" s="19">
        <f t="shared" si="42"/>
        <v>1.65</v>
      </c>
      <c r="CS6" s="10">
        <v>0.181048235160161</v>
      </c>
      <c r="CT6" s="9">
        <f t="shared" si="43"/>
        <v>0.35376226421514195</v>
      </c>
      <c r="CV6" s="10">
        <f t="shared" si="44"/>
        <v>7.1872802146623727</v>
      </c>
      <c r="CW6" s="10">
        <f t="shared" si="45"/>
        <v>1.050530130234945</v>
      </c>
      <c r="CX6" s="10">
        <f t="shared" si="46"/>
        <v>5.0215352833810751</v>
      </c>
      <c r="CY6" s="10">
        <f t="shared" si="47"/>
        <v>0</v>
      </c>
      <c r="CZ6" s="10">
        <f t="shared" si="48"/>
        <v>8.2378103448973174</v>
      </c>
      <c r="DB6" s="19">
        <f t="shared" si="49"/>
        <v>0.32164167942464827</v>
      </c>
      <c r="DC6" s="19">
        <f t="shared" si="50"/>
        <v>2.8946333820915942</v>
      </c>
      <c r="DD6" s="10">
        <f t="shared" si="51"/>
        <v>3.14</v>
      </c>
      <c r="DE6" s="10">
        <f t="shared" si="52"/>
        <v>1.8815352833810748</v>
      </c>
      <c r="DF6" s="10">
        <f t="shared" si="53"/>
        <v>8.2378103448973174</v>
      </c>
      <c r="DH6" s="1">
        <f t="shared" si="54"/>
        <v>0</v>
      </c>
      <c r="DJ6" s="14">
        <v>4</v>
      </c>
      <c r="DK6" s="14" t="s">
        <v>116</v>
      </c>
      <c r="DL6" s="13" t="s">
        <v>112</v>
      </c>
      <c r="DM6" s="13">
        <v>0.1227</v>
      </c>
      <c r="DN6" s="13">
        <v>0.26</v>
      </c>
      <c r="DO6" s="13">
        <v>1.5508999999999999</v>
      </c>
      <c r="DP6" s="13">
        <v>0</v>
      </c>
      <c r="DQ6" s="13">
        <v>1.32</v>
      </c>
      <c r="DR6" s="13">
        <v>0.83</v>
      </c>
      <c r="DS6" s="13">
        <v>0.13259974769999999</v>
      </c>
      <c r="DT6" s="13">
        <v>727064.6</v>
      </c>
      <c r="DU6" s="13">
        <v>233553.61</v>
      </c>
      <c r="DV6" s="13">
        <v>56.9</v>
      </c>
    </row>
    <row r="7" spans="2:126" x14ac:dyDescent="0.2">
      <c r="B7" s="26"/>
      <c r="C7" s="27"/>
      <c r="D7" s="27"/>
      <c r="E7" s="27"/>
      <c r="F7" s="26"/>
      <c r="G7" s="26"/>
      <c r="H7" s="26"/>
      <c r="I7" s="26"/>
      <c r="J7" s="26"/>
      <c r="K7" s="26"/>
      <c r="L7" s="20"/>
      <c r="M7" s="26"/>
      <c r="N7" s="26"/>
      <c r="O7" s="26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D7" s="16"/>
      <c r="AE7" s="16"/>
      <c r="AF7" s="16"/>
      <c r="AG7" s="16"/>
      <c r="AH7" s="16"/>
      <c r="AI7" s="11"/>
      <c r="AJ7" s="17"/>
      <c r="AK7" s="17"/>
      <c r="AL7" s="16"/>
      <c r="AM7" s="16"/>
      <c r="AN7" s="16"/>
      <c r="AO7" s="17"/>
      <c r="AP7" s="17"/>
      <c r="AQ7" s="17"/>
      <c r="AR7" s="17"/>
      <c r="AS7" s="17"/>
      <c r="AT7" s="17"/>
      <c r="AU7" s="16"/>
      <c r="AV7" s="16"/>
      <c r="AW7" s="16"/>
      <c r="AX7" s="16"/>
      <c r="BB7" s="12"/>
      <c r="BC7" s="12"/>
      <c r="BD7" s="5"/>
      <c r="BE7" s="12"/>
      <c r="BF7" s="12"/>
      <c r="BG7" s="5"/>
      <c r="BH7" s="5"/>
      <c r="CD7" s="33"/>
      <c r="CQ7" s="9"/>
      <c r="CR7" s="19"/>
      <c r="CS7" s="10"/>
      <c r="CT7" s="9"/>
      <c r="CV7" s="10"/>
      <c r="CW7" s="10"/>
      <c r="CX7" s="10"/>
      <c r="CY7" s="10"/>
      <c r="CZ7" s="10"/>
      <c r="DB7" s="19"/>
      <c r="DC7" s="19"/>
      <c r="DD7" s="10"/>
      <c r="DE7" s="10"/>
      <c r="DF7" s="10"/>
      <c r="DJ7" s="14">
        <v>5</v>
      </c>
      <c r="DK7" s="14" t="s">
        <v>126</v>
      </c>
      <c r="DL7" s="13" t="s">
        <v>109</v>
      </c>
      <c r="DM7" s="13">
        <v>0</v>
      </c>
      <c r="DN7" s="13">
        <v>0.40489999999999998</v>
      </c>
      <c r="DO7" s="13">
        <v>3.2587000000000002</v>
      </c>
      <c r="DP7" s="13">
        <v>0.75070000000000003</v>
      </c>
      <c r="DQ7" s="13">
        <v>1.65</v>
      </c>
      <c r="DR7" s="13">
        <v>0.66452746210000002</v>
      </c>
      <c r="DS7" s="13">
        <v>7.3840000000000003E-2</v>
      </c>
      <c r="DT7" s="13">
        <v>36112.15</v>
      </c>
      <c r="DU7" s="13">
        <v>173741.51</v>
      </c>
      <c r="DV7" s="13">
        <v>80.28</v>
      </c>
    </row>
    <row r="8" spans="2:126" x14ac:dyDescent="0.2">
      <c r="B8" s="26"/>
      <c r="C8" s="27"/>
      <c r="D8" s="27"/>
      <c r="E8" s="27"/>
      <c r="F8" s="26"/>
      <c r="G8" s="26"/>
      <c r="H8" s="26"/>
      <c r="I8" s="26"/>
      <c r="J8" s="26"/>
      <c r="K8" s="26"/>
      <c r="L8" s="20"/>
      <c r="M8" s="26"/>
      <c r="N8" s="26"/>
      <c r="O8" s="26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D8" s="16"/>
      <c r="AE8" s="16"/>
      <c r="AF8" s="16"/>
      <c r="AG8" s="16"/>
      <c r="AH8" s="16"/>
      <c r="AI8" s="11"/>
      <c r="AJ8" s="17"/>
      <c r="AK8" s="17"/>
      <c r="AL8" s="16"/>
      <c r="AM8" s="16"/>
      <c r="AN8" s="16"/>
      <c r="AO8" s="17"/>
      <c r="AP8" s="17"/>
      <c r="AQ8" s="17"/>
      <c r="AR8" s="17"/>
      <c r="AS8" s="17"/>
      <c r="AT8" s="17"/>
      <c r="AU8" s="16"/>
      <c r="AV8" s="16"/>
      <c r="AW8" s="16"/>
      <c r="AX8" s="16"/>
      <c r="BB8" s="12"/>
      <c r="BC8" s="12"/>
      <c r="BD8" s="5"/>
      <c r="BE8" s="12"/>
      <c r="BF8" s="12"/>
      <c r="BG8" s="5"/>
      <c r="BH8" s="5"/>
      <c r="CD8" s="33"/>
      <c r="CQ8" s="9"/>
      <c r="CR8" s="19"/>
      <c r="CS8" s="10"/>
      <c r="CT8" s="9"/>
      <c r="CV8" s="10"/>
      <c r="CW8" s="10"/>
      <c r="CX8" s="10"/>
      <c r="CY8" s="10"/>
      <c r="CZ8" s="10"/>
      <c r="DB8" s="19"/>
      <c r="DC8" s="19"/>
      <c r="DD8" s="10"/>
      <c r="DE8" s="10"/>
      <c r="DF8" s="10"/>
    </row>
    <row r="9" spans="2:126" x14ac:dyDescent="0.2">
      <c r="B9" s="26"/>
      <c r="C9" s="27"/>
      <c r="D9" s="27"/>
      <c r="E9" s="27"/>
      <c r="F9" s="26"/>
      <c r="G9" s="26"/>
      <c r="H9" s="26"/>
      <c r="I9" s="26"/>
      <c r="J9" s="26"/>
      <c r="K9" s="26"/>
      <c r="L9" s="20"/>
      <c r="M9" s="26"/>
      <c r="N9" s="26"/>
      <c r="O9" s="26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D9" s="16"/>
      <c r="AE9" s="16"/>
      <c r="AF9" s="16"/>
      <c r="AG9" s="16"/>
      <c r="AH9" s="16"/>
      <c r="AI9" s="11"/>
      <c r="AJ9" s="17"/>
      <c r="AK9" s="17"/>
      <c r="AL9" s="16"/>
      <c r="AM9" s="16"/>
      <c r="AN9" s="16"/>
      <c r="AO9" s="17"/>
      <c r="AP9" s="17"/>
      <c r="AQ9" s="17"/>
      <c r="AR9" s="17"/>
      <c r="AS9" s="17"/>
      <c r="AT9" s="17"/>
      <c r="AU9" s="16"/>
      <c r="AV9" s="16"/>
      <c r="AW9" s="16"/>
      <c r="AX9" s="16"/>
      <c r="BB9" s="12"/>
      <c r="BC9" s="12"/>
      <c r="BD9" s="5"/>
      <c r="BE9" s="12"/>
      <c r="BF9" s="12"/>
      <c r="BG9" s="5"/>
      <c r="BH9" s="5"/>
      <c r="CD9" s="33"/>
      <c r="CQ9" s="9"/>
      <c r="CR9" s="19"/>
      <c r="CS9" s="10"/>
      <c r="CT9" s="9"/>
      <c r="CV9" s="10"/>
      <c r="CW9" s="10"/>
      <c r="CX9" s="10"/>
      <c r="CY9" s="10"/>
      <c r="CZ9" s="10"/>
      <c r="DB9" s="19"/>
      <c r="DC9" s="19"/>
      <c r="DD9" s="10"/>
      <c r="DE9" s="10"/>
      <c r="DF9" s="10"/>
    </row>
    <row r="10" spans="2:126" x14ac:dyDescent="0.2">
      <c r="B10" s="26"/>
      <c r="C10" s="27"/>
      <c r="D10" s="27"/>
      <c r="E10" s="27"/>
      <c r="F10" s="26"/>
      <c r="G10" s="26"/>
      <c r="H10" s="26"/>
      <c r="I10" s="26"/>
      <c r="J10" s="26"/>
      <c r="K10" s="26"/>
      <c r="L10" s="20"/>
      <c r="M10" s="26"/>
      <c r="N10" s="26"/>
      <c r="O10" s="26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D10" s="16"/>
      <c r="AE10" s="16"/>
      <c r="AF10" s="16"/>
      <c r="AG10" s="16"/>
      <c r="AH10" s="16"/>
      <c r="AI10" s="11"/>
      <c r="AJ10" s="17"/>
      <c r="AK10" s="17"/>
      <c r="AL10" s="16"/>
      <c r="AM10" s="16"/>
      <c r="AN10" s="16"/>
      <c r="AO10" s="17"/>
      <c r="AP10" s="17"/>
      <c r="AQ10" s="17"/>
      <c r="AR10" s="17"/>
      <c r="AS10" s="17"/>
      <c r="AT10" s="17"/>
      <c r="AU10" s="16"/>
      <c r="AV10" s="16"/>
      <c r="AW10" s="16"/>
      <c r="AX10" s="16"/>
      <c r="BB10" s="12"/>
      <c r="BC10" s="12"/>
      <c r="BD10" s="5"/>
      <c r="BE10" s="12"/>
      <c r="BF10" s="12"/>
      <c r="BG10" s="5"/>
      <c r="BH10" s="5"/>
      <c r="CD10" s="33"/>
      <c r="CQ10" s="9"/>
      <c r="CR10" s="19"/>
      <c r="CS10" s="10"/>
      <c r="CT10" s="9"/>
      <c r="CV10" s="10"/>
      <c r="CW10" s="10"/>
      <c r="CX10" s="10"/>
      <c r="CY10" s="10"/>
      <c r="CZ10" s="10"/>
      <c r="DB10" s="19"/>
      <c r="DC10" s="19"/>
      <c r="DD10" s="10"/>
      <c r="DE10" s="10"/>
      <c r="DF10" s="10"/>
    </row>
    <row r="11" spans="2:126" x14ac:dyDescent="0.2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0"/>
      <c r="M11" s="27"/>
      <c r="N11" s="27"/>
      <c r="O11" s="27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D11" s="16"/>
      <c r="AE11" s="16"/>
      <c r="AF11" s="16"/>
      <c r="AG11" s="16"/>
      <c r="AH11" s="16"/>
      <c r="AI11" s="11"/>
      <c r="AJ11" s="17"/>
      <c r="AK11" s="17"/>
      <c r="AL11" s="16"/>
      <c r="AM11" s="16"/>
      <c r="AN11" s="16"/>
      <c r="AO11" s="17"/>
      <c r="AP11" s="17"/>
      <c r="AQ11" s="17"/>
      <c r="AR11" s="17"/>
      <c r="AS11" s="17"/>
      <c r="AT11" s="17"/>
      <c r="AU11" s="16"/>
      <c r="AV11" s="16"/>
      <c r="AW11" s="16"/>
      <c r="AX11" s="16"/>
      <c r="BB11" s="12"/>
      <c r="BC11" s="12"/>
      <c r="BD11" s="5"/>
      <c r="BE11" s="12"/>
      <c r="BF11" s="12"/>
      <c r="BG11" s="5"/>
      <c r="BH11" s="5"/>
      <c r="CD11" s="33"/>
      <c r="CQ11" s="9"/>
      <c r="CR11" s="19"/>
      <c r="CS11" s="10"/>
      <c r="CT11" s="9"/>
      <c r="CV11" s="10"/>
      <c r="CW11" s="10"/>
      <c r="CX11" s="10"/>
      <c r="CY11" s="10"/>
      <c r="CZ11" s="10"/>
      <c r="DB11" s="19"/>
      <c r="DC11" s="19"/>
      <c r="DD11" s="10"/>
      <c r="DE11" s="10"/>
      <c r="DF11" s="10"/>
    </row>
    <row r="12" spans="2:126" x14ac:dyDescent="0.2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0"/>
      <c r="M12" s="27"/>
      <c r="N12" s="27"/>
      <c r="O12" s="27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D12" s="16"/>
      <c r="AE12" s="16"/>
      <c r="AF12" s="16"/>
      <c r="AG12" s="16"/>
      <c r="AH12" s="16"/>
      <c r="AI12" s="11"/>
      <c r="AJ12" s="17"/>
      <c r="AK12" s="17"/>
      <c r="AL12" s="16"/>
      <c r="AM12" s="16"/>
      <c r="AN12" s="16"/>
      <c r="AO12" s="17"/>
      <c r="AP12" s="17"/>
      <c r="AQ12" s="17"/>
      <c r="AR12" s="17"/>
      <c r="AS12" s="17"/>
      <c r="AT12" s="17"/>
      <c r="AU12" s="16"/>
      <c r="AV12" s="16"/>
      <c r="AW12" s="16"/>
      <c r="AX12" s="16"/>
      <c r="BB12" s="12"/>
      <c r="BC12" s="12"/>
      <c r="BD12" s="5"/>
      <c r="BE12" s="12"/>
      <c r="BF12" s="12"/>
      <c r="BG12" s="5"/>
      <c r="BH12" s="5"/>
      <c r="CD12" s="33"/>
      <c r="CQ12" s="9"/>
      <c r="CR12" s="19"/>
      <c r="CS12" s="10"/>
      <c r="CT12" s="9"/>
      <c r="CV12" s="10"/>
      <c r="CW12" s="10"/>
      <c r="CX12" s="10"/>
      <c r="CY12" s="10"/>
      <c r="CZ12" s="10"/>
      <c r="DB12" s="19"/>
      <c r="DC12" s="19"/>
      <c r="DD12" s="10"/>
      <c r="DE12" s="10"/>
      <c r="DF12" s="10"/>
    </row>
    <row r="13" spans="2:126" x14ac:dyDescent="0.2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0"/>
      <c r="M13" s="27"/>
      <c r="N13" s="27"/>
      <c r="O13" s="27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D13" s="16"/>
      <c r="AE13" s="16"/>
      <c r="AF13" s="16"/>
      <c r="AG13" s="16"/>
      <c r="AH13" s="16"/>
      <c r="AI13" s="11"/>
      <c r="AJ13" s="17"/>
      <c r="AK13" s="17"/>
      <c r="AL13" s="16"/>
      <c r="AM13" s="16"/>
      <c r="AN13" s="16"/>
      <c r="AO13" s="17"/>
      <c r="AP13" s="17"/>
      <c r="AQ13" s="17"/>
      <c r="AR13" s="17"/>
      <c r="AS13" s="17"/>
      <c r="AT13" s="17"/>
      <c r="AU13" s="16"/>
      <c r="AV13" s="16"/>
      <c r="AW13" s="16"/>
      <c r="AX13" s="16"/>
      <c r="BB13" s="12"/>
      <c r="BC13" s="12"/>
      <c r="BD13" s="5"/>
      <c r="BE13" s="12"/>
      <c r="BF13" s="12"/>
      <c r="BG13" s="5"/>
      <c r="BH13" s="5"/>
      <c r="CD13" s="33"/>
      <c r="CQ13" s="9"/>
      <c r="CR13" s="19"/>
      <c r="CS13" s="10"/>
      <c r="CT13" s="9"/>
      <c r="CV13" s="10"/>
      <c r="CW13" s="10"/>
      <c r="CX13" s="10"/>
      <c r="CY13" s="10"/>
      <c r="CZ13" s="10"/>
      <c r="DB13" s="19"/>
      <c r="DC13" s="19"/>
      <c r="DD13" s="10"/>
      <c r="DE13" s="10"/>
      <c r="DF13" s="10"/>
    </row>
    <row r="14" spans="2:126" x14ac:dyDescent="0.2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0"/>
      <c r="M14" s="27"/>
      <c r="N14" s="27"/>
      <c r="O14" s="27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D14" s="16"/>
      <c r="AE14" s="16"/>
      <c r="AF14" s="16"/>
      <c r="AG14" s="16"/>
      <c r="AH14" s="16"/>
      <c r="AI14" s="11"/>
      <c r="AJ14" s="17"/>
      <c r="AK14" s="17"/>
      <c r="AL14" s="16"/>
      <c r="AM14" s="16"/>
      <c r="AN14" s="16"/>
      <c r="AO14" s="17"/>
      <c r="AP14" s="17"/>
      <c r="AQ14" s="17"/>
      <c r="AR14" s="17"/>
      <c r="AS14" s="17"/>
      <c r="AT14" s="17"/>
      <c r="AU14" s="16"/>
      <c r="AV14" s="16"/>
      <c r="AW14" s="16"/>
      <c r="AX14" s="16"/>
      <c r="BB14" s="12"/>
      <c r="BC14" s="12"/>
      <c r="BD14" s="5"/>
      <c r="BE14" s="12"/>
      <c r="BF14" s="12"/>
      <c r="BG14" s="5"/>
      <c r="BH14" s="5"/>
      <c r="CD14" s="33"/>
      <c r="CQ14" s="9"/>
      <c r="CR14" s="19"/>
      <c r="CS14" s="10"/>
      <c r="CT14" s="9"/>
      <c r="CV14" s="10"/>
      <c r="CW14" s="10"/>
      <c r="CX14" s="10"/>
      <c r="CY14" s="10"/>
      <c r="CZ14" s="10"/>
      <c r="DB14" s="19"/>
      <c r="DC14" s="19"/>
      <c r="DD14" s="10"/>
      <c r="DE14" s="10"/>
      <c r="DF14" s="10"/>
    </row>
    <row r="15" spans="2:126" x14ac:dyDescent="0.2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0"/>
      <c r="M15" s="27"/>
      <c r="N15" s="27"/>
      <c r="O15" s="27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D15" s="16"/>
      <c r="AE15" s="16"/>
      <c r="AF15" s="16"/>
      <c r="AG15" s="16"/>
      <c r="AH15" s="16"/>
      <c r="AI15" s="11"/>
      <c r="AJ15" s="17"/>
      <c r="AK15" s="17"/>
      <c r="AL15" s="16"/>
      <c r="AM15" s="16"/>
      <c r="AN15" s="16"/>
      <c r="AO15" s="17"/>
      <c r="AP15" s="17"/>
      <c r="AQ15" s="17"/>
      <c r="AR15" s="17"/>
      <c r="AS15" s="17"/>
      <c r="AT15" s="17"/>
      <c r="AU15" s="16"/>
      <c r="AV15" s="16"/>
      <c r="AW15" s="16"/>
      <c r="AX15" s="16"/>
      <c r="BB15" s="12"/>
      <c r="BC15" s="12"/>
      <c r="BD15" s="5"/>
      <c r="BE15" s="12"/>
      <c r="BF15" s="12"/>
      <c r="BG15" s="5"/>
      <c r="BH15" s="5"/>
      <c r="CD15" s="33"/>
      <c r="CQ15" s="9"/>
      <c r="CR15" s="19"/>
      <c r="CS15" s="10"/>
      <c r="CT15" s="9"/>
      <c r="CV15" s="10"/>
      <c r="CW15" s="10"/>
      <c r="CX15" s="10"/>
      <c r="CY15" s="10"/>
      <c r="CZ15" s="10"/>
      <c r="DB15" s="19"/>
      <c r="DC15" s="19"/>
      <c r="DD15" s="10"/>
      <c r="DE15" s="10"/>
      <c r="DF15" s="10"/>
    </row>
    <row r="16" spans="2:126" x14ac:dyDescent="0.2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0"/>
      <c r="M16" s="27"/>
      <c r="N16" s="27"/>
      <c r="O16" s="27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D16" s="16"/>
      <c r="AE16" s="16"/>
      <c r="AF16" s="16"/>
      <c r="AG16" s="16"/>
      <c r="AH16" s="16"/>
      <c r="AI16" s="11"/>
      <c r="AJ16" s="17"/>
      <c r="AK16" s="17"/>
      <c r="AL16" s="16"/>
      <c r="AM16" s="16"/>
      <c r="AN16" s="16"/>
      <c r="AO16" s="17"/>
      <c r="AP16" s="17"/>
      <c r="AQ16" s="17"/>
      <c r="AR16" s="17"/>
      <c r="AS16" s="17"/>
      <c r="AT16" s="17"/>
      <c r="AU16" s="16"/>
      <c r="AV16" s="16"/>
      <c r="AW16" s="16"/>
      <c r="AX16" s="16"/>
      <c r="BB16" s="12"/>
      <c r="BC16" s="12"/>
      <c r="BD16" s="5"/>
      <c r="BE16" s="12"/>
      <c r="BF16" s="12"/>
      <c r="BG16" s="5"/>
      <c r="BH16" s="5"/>
      <c r="CD16" s="33"/>
      <c r="CQ16" s="9"/>
      <c r="CR16" s="19"/>
      <c r="CS16" s="10"/>
      <c r="CT16" s="9"/>
      <c r="CV16" s="10"/>
      <c r="CW16" s="10"/>
      <c r="CX16" s="10"/>
      <c r="CY16" s="10"/>
      <c r="CZ16" s="10"/>
      <c r="DB16" s="19"/>
      <c r="DC16" s="19"/>
      <c r="DD16" s="10"/>
      <c r="DE16" s="10"/>
      <c r="DF16" s="10"/>
    </row>
    <row r="17" spans="2:110" x14ac:dyDescent="0.2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0"/>
      <c r="M17" s="27"/>
      <c r="N17" s="27"/>
      <c r="O17" s="27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D17" s="16"/>
      <c r="AE17" s="16"/>
      <c r="AF17" s="16"/>
      <c r="AG17" s="16"/>
      <c r="AH17" s="16"/>
      <c r="AI17" s="11"/>
      <c r="AJ17" s="17"/>
      <c r="AK17" s="17"/>
      <c r="AL17" s="16"/>
      <c r="AM17" s="16"/>
      <c r="AN17" s="16"/>
      <c r="AO17" s="17"/>
      <c r="AP17" s="17"/>
      <c r="AQ17" s="17"/>
      <c r="AR17" s="17"/>
      <c r="AS17" s="17"/>
      <c r="AT17" s="17"/>
      <c r="AU17" s="16"/>
      <c r="AV17" s="16"/>
      <c r="AW17" s="16"/>
      <c r="AX17" s="16"/>
      <c r="BB17" s="12"/>
      <c r="BC17" s="12"/>
      <c r="BD17" s="5"/>
      <c r="BE17" s="12"/>
      <c r="BF17" s="12"/>
      <c r="BG17" s="5"/>
      <c r="BH17" s="5"/>
      <c r="CD17" s="33"/>
      <c r="CQ17" s="9"/>
      <c r="CR17" s="19"/>
      <c r="CS17" s="10"/>
      <c r="CT17" s="9"/>
      <c r="CV17" s="10"/>
      <c r="CW17" s="10"/>
      <c r="CX17" s="10"/>
      <c r="CY17" s="10"/>
      <c r="CZ17" s="10"/>
      <c r="DB17" s="19"/>
      <c r="DC17" s="19"/>
      <c r="DD17" s="10"/>
      <c r="DE17" s="10"/>
      <c r="DF17" s="10"/>
    </row>
    <row r="18" spans="2:110" x14ac:dyDescent="0.2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0"/>
      <c r="M18" s="27"/>
      <c r="N18" s="27"/>
      <c r="O18" s="27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D18" s="16"/>
      <c r="AE18" s="16"/>
      <c r="AF18" s="16"/>
      <c r="AG18" s="16"/>
      <c r="AH18" s="16"/>
      <c r="AI18" s="11"/>
      <c r="AJ18" s="17"/>
      <c r="AK18" s="17"/>
      <c r="AL18" s="16"/>
      <c r="AM18" s="16"/>
      <c r="AN18" s="16"/>
      <c r="AO18" s="17"/>
      <c r="AP18" s="17"/>
      <c r="AQ18" s="17"/>
      <c r="AR18" s="17"/>
      <c r="AS18" s="17"/>
      <c r="AT18" s="17"/>
      <c r="AU18" s="16"/>
      <c r="AV18" s="16"/>
      <c r="AW18" s="16"/>
      <c r="AX18" s="16"/>
      <c r="BB18" s="12"/>
      <c r="BC18" s="12"/>
      <c r="BD18" s="5"/>
      <c r="BE18" s="12"/>
      <c r="BF18" s="12"/>
      <c r="BG18" s="5"/>
      <c r="BH18" s="5"/>
      <c r="CD18" s="33"/>
      <c r="CQ18" s="9"/>
      <c r="CR18" s="19"/>
      <c r="CS18" s="10"/>
      <c r="CT18" s="9"/>
      <c r="CV18" s="10"/>
      <c r="CW18" s="10"/>
      <c r="CX18" s="10"/>
      <c r="CY18" s="10"/>
      <c r="CZ18" s="10"/>
      <c r="DB18" s="19"/>
      <c r="DC18" s="19"/>
      <c r="DD18" s="10"/>
      <c r="DE18" s="10"/>
      <c r="DF18" s="10"/>
    </row>
    <row r="19" spans="2:110" x14ac:dyDescent="0.2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0"/>
      <c r="M19" s="27"/>
      <c r="N19" s="27"/>
      <c r="O19" s="27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D19" s="16"/>
      <c r="AE19" s="16"/>
      <c r="AF19" s="16"/>
      <c r="AG19" s="16"/>
      <c r="AH19" s="16"/>
      <c r="AI19" s="11"/>
      <c r="AJ19" s="17"/>
      <c r="AK19" s="17"/>
      <c r="AL19" s="16"/>
      <c r="AM19" s="16"/>
      <c r="AN19" s="16"/>
      <c r="AO19" s="17"/>
      <c r="AP19" s="17"/>
      <c r="AQ19" s="17"/>
      <c r="AR19" s="17"/>
      <c r="AS19" s="17"/>
      <c r="AT19" s="17"/>
      <c r="AU19" s="16"/>
      <c r="AV19" s="16"/>
      <c r="AW19" s="16"/>
      <c r="AX19" s="16"/>
      <c r="BB19" s="12"/>
      <c r="BC19" s="12"/>
      <c r="BD19" s="5"/>
      <c r="BE19" s="12"/>
      <c r="BF19" s="12"/>
      <c r="BG19" s="5"/>
      <c r="BH19" s="5"/>
      <c r="CD19" s="33"/>
      <c r="CQ19" s="9"/>
      <c r="CR19" s="19"/>
      <c r="CS19" s="10"/>
      <c r="CT19" s="9"/>
      <c r="CV19" s="10"/>
      <c r="CW19" s="10"/>
      <c r="CX19" s="10"/>
      <c r="CY19" s="10"/>
      <c r="CZ19" s="10"/>
      <c r="DB19" s="19"/>
      <c r="DC19" s="19"/>
      <c r="DD19" s="10"/>
      <c r="DE19" s="10"/>
      <c r="DF19" s="10"/>
    </row>
    <row r="20" spans="2:110" x14ac:dyDescent="0.2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0"/>
      <c r="M20" s="27"/>
      <c r="N20" s="27"/>
      <c r="O20" s="27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D20" s="16"/>
      <c r="AE20" s="16"/>
      <c r="AF20" s="16"/>
      <c r="AG20" s="16"/>
      <c r="AH20" s="16"/>
      <c r="AI20" s="11"/>
      <c r="AJ20" s="17"/>
      <c r="AK20" s="17"/>
      <c r="AL20" s="16"/>
      <c r="AM20" s="16"/>
      <c r="AN20" s="16"/>
      <c r="AO20" s="17"/>
      <c r="AP20" s="17"/>
      <c r="AQ20" s="17"/>
      <c r="AR20" s="17"/>
      <c r="AS20" s="17"/>
      <c r="AT20" s="17"/>
      <c r="AU20" s="16"/>
      <c r="AV20" s="16"/>
      <c r="AW20" s="16"/>
      <c r="AX20" s="16"/>
      <c r="BB20" s="12"/>
      <c r="BC20" s="12"/>
      <c r="BD20" s="5"/>
      <c r="BE20" s="12"/>
      <c r="BF20" s="12"/>
      <c r="BG20" s="5"/>
      <c r="BH20" s="5"/>
      <c r="CD20" s="33"/>
      <c r="CQ20" s="9"/>
      <c r="CR20" s="19"/>
      <c r="CS20" s="10"/>
      <c r="CT20" s="9"/>
      <c r="CV20" s="10"/>
      <c r="CW20" s="10"/>
      <c r="CX20" s="10"/>
      <c r="CY20" s="10"/>
      <c r="CZ20" s="10"/>
      <c r="DB20" s="19"/>
      <c r="DC20" s="19"/>
      <c r="DD20" s="10"/>
      <c r="DE20" s="10"/>
      <c r="DF20" s="10"/>
    </row>
    <row r="21" spans="2:110" x14ac:dyDescent="0.2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0"/>
      <c r="M21" s="27"/>
      <c r="N21" s="27"/>
      <c r="O21" s="27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D21" s="16"/>
      <c r="AE21" s="16"/>
      <c r="AF21" s="16"/>
      <c r="AG21" s="16"/>
      <c r="AH21" s="16"/>
      <c r="AI21" s="11"/>
      <c r="AJ21" s="17"/>
      <c r="AK21" s="17"/>
      <c r="AL21" s="16"/>
      <c r="AM21" s="16"/>
      <c r="AN21" s="16"/>
      <c r="AO21" s="17"/>
      <c r="AP21" s="17"/>
      <c r="AQ21" s="17"/>
      <c r="AR21" s="17"/>
      <c r="AS21" s="17"/>
      <c r="AT21" s="17"/>
      <c r="AU21" s="16"/>
      <c r="AV21" s="16"/>
      <c r="AW21" s="16"/>
      <c r="AX21" s="16"/>
      <c r="BB21" s="12"/>
      <c r="BC21" s="12"/>
      <c r="BD21" s="5"/>
      <c r="BE21" s="12"/>
      <c r="BF21" s="12"/>
      <c r="BG21" s="5"/>
      <c r="BH21" s="5"/>
      <c r="CD21" s="33"/>
      <c r="CQ21" s="9"/>
      <c r="CR21" s="19"/>
      <c r="CS21" s="10"/>
      <c r="CT21" s="9"/>
      <c r="CV21" s="10"/>
      <c r="CW21" s="10"/>
      <c r="CX21" s="10"/>
      <c r="CY21" s="10"/>
      <c r="CZ21" s="10"/>
      <c r="DB21" s="19"/>
      <c r="DC21" s="19"/>
      <c r="DD21" s="10"/>
      <c r="DE21" s="10"/>
      <c r="DF21" s="10"/>
    </row>
    <row r="22" spans="2:110" x14ac:dyDescent="0.2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0"/>
      <c r="M22" s="27"/>
      <c r="N22" s="27"/>
      <c r="O22" s="27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D22" s="16"/>
      <c r="AE22" s="16"/>
      <c r="AF22" s="16"/>
      <c r="AG22" s="16"/>
      <c r="AH22" s="16"/>
      <c r="AI22" s="11"/>
      <c r="AJ22" s="17"/>
      <c r="AK22" s="17"/>
      <c r="AL22" s="16"/>
      <c r="AM22" s="16"/>
      <c r="AN22" s="16"/>
      <c r="AO22" s="17"/>
      <c r="AP22" s="17"/>
      <c r="AQ22" s="17"/>
      <c r="AR22" s="17"/>
      <c r="AS22" s="17"/>
      <c r="AT22" s="17"/>
      <c r="AU22" s="16"/>
      <c r="AV22" s="16"/>
      <c r="AW22" s="16"/>
      <c r="AX22" s="16"/>
      <c r="BB22" s="12"/>
      <c r="BC22" s="12"/>
      <c r="BD22" s="5"/>
      <c r="BE22" s="12"/>
      <c r="BF22" s="12"/>
      <c r="BG22" s="5"/>
      <c r="BH22" s="5"/>
      <c r="CD22" s="33"/>
      <c r="CQ22" s="9"/>
      <c r="CR22" s="19"/>
      <c r="CS22" s="10"/>
      <c r="CT22" s="9"/>
      <c r="CV22" s="10"/>
      <c r="CW22" s="10"/>
      <c r="CX22" s="10"/>
      <c r="CY22" s="10"/>
      <c r="CZ22" s="10"/>
      <c r="DB22" s="19"/>
      <c r="DC22" s="19"/>
      <c r="DD22" s="10"/>
      <c r="DE22" s="10"/>
      <c r="DF22" s="10"/>
    </row>
    <row r="23" spans="2:110" x14ac:dyDescent="0.2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0"/>
      <c r="M23" s="27"/>
      <c r="N23" s="27"/>
      <c r="O23" s="27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D23" s="16"/>
      <c r="AE23" s="16"/>
      <c r="AF23" s="16"/>
      <c r="AG23" s="16"/>
      <c r="AH23" s="16"/>
      <c r="AI23" s="11"/>
      <c r="AJ23" s="17"/>
      <c r="AK23" s="17"/>
      <c r="AL23" s="16"/>
      <c r="AM23" s="16"/>
      <c r="AN23" s="16"/>
      <c r="AO23" s="17"/>
      <c r="AP23" s="17"/>
      <c r="AQ23" s="17"/>
      <c r="AR23" s="17"/>
      <c r="AS23" s="17"/>
      <c r="AT23" s="17"/>
      <c r="AU23" s="16"/>
      <c r="AV23" s="16"/>
      <c r="AW23" s="16"/>
      <c r="AX23" s="16"/>
      <c r="BB23" s="12"/>
      <c r="BC23" s="12"/>
      <c r="BD23" s="5"/>
      <c r="BE23" s="12"/>
      <c r="BF23" s="12"/>
      <c r="BG23" s="5"/>
      <c r="BH23" s="5"/>
      <c r="CD23" s="33"/>
      <c r="CQ23" s="9"/>
      <c r="CR23" s="19"/>
      <c r="CS23" s="10"/>
      <c r="CT23" s="9"/>
      <c r="CV23" s="10"/>
      <c r="CW23" s="10"/>
      <c r="CX23" s="10"/>
      <c r="CY23" s="10"/>
      <c r="CZ23" s="10"/>
      <c r="DB23" s="19"/>
      <c r="DC23" s="19"/>
      <c r="DD23" s="10"/>
      <c r="DE23" s="10"/>
      <c r="DF23" s="10"/>
    </row>
    <row r="24" spans="2:110" x14ac:dyDescent="0.2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0"/>
      <c r="M24" s="27"/>
      <c r="N24" s="27"/>
      <c r="O24" s="27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D24" s="16"/>
      <c r="AE24" s="16"/>
      <c r="AF24" s="16"/>
      <c r="AG24" s="16"/>
      <c r="AH24" s="16"/>
      <c r="AI24" s="11"/>
      <c r="AJ24" s="17"/>
      <c r="AK24" s="17"/>
      <c r="AL24" s="16"/>
      <c r="AM24" s="16"/>
      <c r="AN24" s="16"/>
      <c r="AO24" s="17"/>
      <c r="AP24" s="17"/>
      <c r="AQ24" s="17"/>
      <c r="AR24" s="17"/>
      <c r="AS24" s="17"/>
      <c r="AT24" s="17"/>
      <c r="AU24" s="16"/>
      <c r="AV24" s="16"/>
      <c r="AW24" s="16"/>
      <c r="AX24" s="16"/>
      <c r="BB24" s="12"/>
      <c r="BC24" s="12"/>
      <c r="BD24" s="5"/>
      <c r="BE24" s="12"/>
      <c r="BF24" s="12"/>
      <c r="BG24" s="5"/>
      <c r="BH24" s="5"/>
      <c r="CD24" s="33"/>
      <c r="CQ24" s="9"/>
      <c r="CR24" s="19"/>
      <c r="CS24" s="10"/>
      <c r="CT24" s="9"/>
      <c r="CV24" s="10"/>
      <c r="CW24" s="10"/>
      <c r="CX24" s="10"/>
      <c r="CY24" s="10"/>
      <c r="CZ24" s="10"/>
      <c r="DB24" s="19"/>
      <c r="DC24" s="19"/>
      <c r="DD24" s="10"/>
      <c r="DE24" s="10"/>
      <c r="DF24" s="10"/>
    </row>
    <row r="25" spans="2:110" x14ac:dyDescent="0.2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0"/>
      <c r="M25" s="27"/>
      <c r="N25" s="27"/>
      <c r="O25" s="27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D25" s="16"/>
      <c r="AE25" s="16"/>
      <c r="AF25" s="16"/>
      <c r="AG25" s="16"/>
      <c r="AH25" s="16"/>
      <c r="AI25" s="11"/>
      <c r="AJ25" s="17"/>
      <c r="AK25" s="17"/>
      <c r="AL25" s="16"/>
      <c r="AM25" s="16"/>
      <c r="AN25" s="16"/>
      <c r="AO25" s="17"/>
      <c r="AP25" s="17"/>
      <c r="AQ25" s="17"/>
      <c r="AR25" s="17"/>
      <c r="AS25" s="17"/>
      <c r="AT25" s="17"/>
      <c r="AU25" s="16"/>
      <c r="AV25" s="16"/>
      <c r="AW25" s="16"/>
      <c r="AX25" s="16"/>
      <c r="BB25" s="12"/>
      <c r="BC25" s="12"/>
      <c r="BD25" s="5"/>
      <c r="BE25" s="12"/>
      <c r="BF25" s="12"/>
      <c r="BG25" s="5"/>
      <c r="BH25" s="5"/>
      <c r="CD25" s="33"/>
      <c r="CG25" s="18"/>
      <c r="CQ25" s="9"/>
      <c r="CR25" s="19"/>
      <c r="CS25" s="10"/>
      <c r="CT25" s="9"/>
      <c r="CV25" s="10"/>
      <c r="CW25" s="10"/>
      <c r="CX25" s="10"/>
      <c r="CY25" s="10"/>
      <c r="CZ25" s="10"/>
      <c r="DB25" s="19"/>
      <c r="DC25" s="19"/>
      <c r="DD25" s="10"/>
      <c r="DE25" s="10"/>
      <c r="DF25" s="10"/>
    </row>
    <row r="26" spans="2:110" x14ac:dyDescent="0.2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0"/>
      <c r="M26" s="27"/>
      <c r="N26" s="27"/>
      <c r="O26" s="27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D26" s="16"/>
      <c r="AE26" s="16"/>
      <c r="AF26" s="16"/>
      <c r="AG26" s="16"/>
      <c r="AH26" s="16"/>
      <c r="AI26" s="11"/>
      <c r="AJ26" s="17"/>
      <c r="AK26" s="17"/>
      <c r="AL26" s="16"/>
      <c r="AM26" s="16"/>
      <c r="AN26" s="16"/>
      <c r="AO26" s="17"/>
      <c r="AP26" s="17"/>
      <c r="AQ26" s="17"/>
      <c r="AR26" s="17"/>
      <c r="AS26" s="17"/>
      <c r="AT26" s="17"/>
      <c r="AU26" s="16"/>
      <c r="AV26" s="16"/>
      <c r="AW26" s="16"/>
      <c r="AX26" s="16"/>
      <c r="BB26" s="12"/>
      <c r="BC26" s="12"/>
      <c r="BD26" s="5"/>
      <c r="BE26" s="12"/>
      <c r="BF26" s="12"/>
      <c r="BG26" s="5"/>
      <c r="BH26" s="5"/>
      <c r="CD26" s="33"/>
      <c r="CQ26" s="9"/>
      <c r="CR26" s="19"/>
      <c r="CS26" s="10"/>
      <c r="CT26" s="9"/>
      <c r="CV26" s="10"/>
      <c r="CW26" s="10"/>
      <c r="CX26" s="10"/>
      <c r="CY26" s="10"/>
      <c r="CZ26" s="10"/>
      <c r="DB26" s="19"/>
      <c r="DC26" s="19"/>
      <c r="DD26" s="10"/>
      <c r="DE26" s="10"/>
      <c r="DF26" s="10"/>
    </row>
    <row r="27" spans="2:110" x14ac:dyDescent="0.2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0"/>
      <c r="M27" s="27"/>
      <c r="N27" s="27"/>
      <c r="O27" s="27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D27" s="16"/>
      <c r="AE27" s="16"/>
      <c r="AF27" s="16"/>
      <c r="AG27" s="16"/>
      <c r="AH27" s="16"/>
      <c r="AI27" s="11"/>
      <c r="AJ27" s="17"/>
      <c r="AK27" s="17"/>
      <c r="AL27" s="16"/>
      <c r="AM27" s="16"/>
      <c r="AN27" s="16"/>
      <c r="AO27" s="17"/>
      <c r="AP27" s="17"/>
      <c r="AQ27" s="17"/>
      <c r="AR27" s="17"/>
      <c r="AS27" s="17"/>
      <c r="AT27" s="17"/>
      <c r="AU27" s="16"/>
      <c r="AV27" s="16"/>
      <c r="AW27" s="16"/>
      <c r="AX27" s="16"/>
      <c r="BB27" s="12"/>
      <c r="BC27" s="12"/>
      <c r="BD27" s="5"/>
      <c r="BE27" s="12"/>
      <c r="BF27" s="12"/>
      <c r="BG27" s="5"/>
      <c r="BH27" s="5"/>
      <c r="CD27" s="33"/>
      <c r="CQ27" s="9"/>
      <c r="CR27" s="19"/>
      <c r="CS27" s="10"/>
      <c r="CT27" s="9"/>
      <c r="CV27" s="10"/>
      <c r="CW27" s="10"/>
      <c r="CX27" s="10"/>
      <c r="CY27" s="10"/>
      <c r="CZ27" s="10"/>
      <c r="DB27" s="19"/>
      <c r="DC27" s="19"/>
      <c r="DD27" s="10"/>
      <c r="DE27" s="10"/>
      <c r="DF27" s="10"/>
    </row>
    <row r="28" spans="2:110" x14ac:dyDescent="0.2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0"/>
      <c r="M28" s="27"/>
      <c r="N28" s="27"/>
      <c r="O28" s="27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D28" s="16"/>
      <c r="AE28" s="16"/>
      <c r="AF28" s="16"/>
      <c r="AG28" s="16"/>
      <c r="AH28" s="16"/>
      <c r="AI28" s="11"/>
      <c r="AJ28" s="17"/>
      <c r="AK28" s="17"/>
      <c r="AL28" s="16"/>
      <c r="AM28" s="16"/>
      <c r="AN28" s="16"/>
      <c r="AO28" s="17"/>
      <c r="AP28" s="17"/>
      <c r="AQ28" s="17"/>
      <c r="AR28" s="17"/>
      <c r="AS28" s="17"/>
      <c r="AT28" s="17"/>
      <c r="AU28" s="16"/>
      <c r="AV28" s="16"/>
      <c r="AW28" s="16"/>
      <c r="AX28" s="16"/>
      <c r="BB28" s="12"/>
      <c r="BC28" s="12"/>
      <c r="BD28" s="5"/>
      <c r="BE28" s="12"/>
      <c r="BF28" s="12"/>
      <c r="BG28" s="5"/>
      <c r="BH28" s="5"/>
      <c r="CD28" s="33"/>
      <c r="CQ28" s="9"/>
      <c r="CR28" s="19"/>
      <c r="CS28" s="10"/>
      <c r="CT28" s="9"/>
      <c r="CV28" s="10"/>
      <c r="CW28" s="10"/>
      <c r="CX28" s="10"/>
      <c r="CY28" s="10"/>
      <c r="CZ28" s="10"/>
      <c r="DB28" s="19"/>
      <c r="DC28" s="19"/>
      <c r="DD28" s="10"/>
      <c r="DE28" s="10"/>
      <c r="DF28" s="10"/>
    </row>
    <row r="29" spans="2:110" x14ac:dyDescent="0.2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0"/>
      <c r="M29" s="27"/>
      <c r="N29" s="27"/>
      <c r="O29" s="27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D29" s="16"/>
      <c r="AE29" s="16"/>
      <c r="AF29" s="16"/>
      <c r="AG29" s="16"/>
      <c r="AH29" s="16"/>
      <c r="AI29" s="11"/>
      <c r="AJ29" s="17"/>
      <c r="AK29" s="17"/>
      <c r="AL29" s="16"/>
      <c r="AM29" s="16"/>
      <c r="AN29" s="16"/>
      <c r="AO29" s="17"/>
      <c r="AP29" s="17"/>
      <c r="AQ29" s="17"/>
      <c r="AR29" s="17"/>
      <c r="AS29" s="17"/>
      <c r="AT29" s="17"/>
      <c r="AU29" s="16"/>
      <c r="AV29" s="16"/>
      <c r="AW29" s="16"/>
      <c r="AX29" s="16"/>
      <c r="BB29" s="12"/>
      <c r="BC29" s="12"/>
      <c r="BD29" s="5"/>
      <c r="BE29" s="12"/>
      <c r="BF29" s="12"/>
      <c r="BG29" s="5"/>
      <c r="BH29" s="5"/>
      <c r="CD29" s="33"/>
      <c r="CQ29" s="9"/>
      <c r="CR29" s="19"/>
      <c r="CS29" s="10"/>
      <c r="CT29" s="9"/>
      <c r="CV29" s="10"/>
      <c r="CW29" s="10"/>
      <c r="CX29" s="10"/>
      <c r="CY29" s="10"/>
      <c r="CZ29" s="10"/>
      <c r="DB29" s="19"/>
      <c r="DC29" s="19"/>
      <c r="DD29" s="10"/>
      <c r="DE29" s="10"/>
      <c r="DF29" s="10"/>
    </row>
    <row r="30" spans="2:110" x14ac:dyDescent="0.2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0"/>
      <c r="M30" s="27"/>
      <c r="N30" s="27"/>
      <c r="O30" s="27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D30" s="16"/>
      <c r="AE30" s="16"/>
      <c r="AF30" s="16"/>
      <c r="AG30" s="16"/>
      <c r="AH30" s="16"/>
      <c r="AI30" s="11"/>
      <c r="AJ30" s="17"/>
      <c r="AK30" s="17"/>
      <c r="AL30" s="16"/>
      <c r="AM30" s="16"/>
      <c r="AN30" s="16"/>
      <c r="AO30" s="17"/>
      <c r="AP30" s="17"/>
      <c r="AQ30" s="17"/>
      <c r="AR30" s="17"/>
      <c r="AS30" s="17"/>
      <c r="AT30" s="17"/>
      <c r="AU30" s="16"/>
      <c r="AV30" s="16"/>
      <c r="AW30" s="16"/>
      <c r="AX30" s="16"/>
      <c r="BB30" s="12"/>
      <c r="BC30" s="12"/>
      <c r="BD30" s="5"/>
      <c r="BE30" s="12"/>
      <c r="BF30" s="12"/>
      <c r="BG30" s="5"/>
      <c r="BH30" s="5"/>
      <c r="CD30" s="33"/>
      <c r="CQ30" s="9"/>
      <c r="CR30" s="19"/>
      <c r="CS30" s="10"/>
      <c r="CT30" s="9"/>
      <c r="CV30" s="10"/>
      <c r="CW30" s="10"/>
      <c r="CX30" s="10"/>
      <c r="CY30" s="10"/>
      <c r="CZ30" s="10"/>
      <c r="DB30" s="19"/>
      <c r="DC30" s="19"/>
      <c r="DD30" s="10"/>
      <c r="DE30" s="10"/>
      <c r="DF30" s="10"/>
    </row>
    <row r="31" spans="2:110" x14ac:dyDescent="0.2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0"/>
      <c r="M31" s="27"/>
      <c r="N31" s="27"/>
      <c r="O31" s="27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D31" s="16"/>
      <c r="AE31" s="16"/>
      <c r="AF31" s="16"/>
      <c r="AG31" s="16"/>
      <c r="AH31" s="16"/>
      <c r="AI31" s="11"/>
      <c r="AJ31" s="17"/>
      <c r="AK31" s="17"/>
      <c r="AL31" s="16"/>
      <c r="AM31" s="16"/>
      <c r="AN31" s="16"/>
      <c r="AO31" s="17"/>
      <c r="AP31" s="17"/>
      <c r="AQ31" s="17"/>
      <c r="AR31" s="17"/>
      <c r="AS31" s="17"/>
      <c r="AT31" s="17"/>
      <c r="AU31" s="16"/>
      <c r="AV31" s="16"/>
      <c r="AW31" s="16"/>
      <c r="AX31" s="16"/>
      <c r="BB31" s="12"/>
      <c r="BC31" s="12"/>
      <c r="BD31" s="5"/>
      <c r="BE31" s="12"/>
      <c r="BF31" s="12"/>
      <c r="BG31" s="5"/>
      <c r="BH31" s="5"/>
      <c r="CD31" s="33"/>
      <c r="CQ31" s="9"/>
      <c r="CR31" s="19"/>
      <c r="CS31" s="10"/>
      <c r="CT31" s="9"/>
      <c r="CV31" s="10"/>
      <c r="CW31" s="10"/>
      <c r="CX31" s="10"/>
      <c r="CY31" s="10"/>
      <c r="CZ31" s="10"/>
      <c r="DB31" s="19"/>
      <c r="DC31" s="19"/>
      <c r="DD31" s="10"/>
      <c r="DE31" s="10"/>
      <c r="DF31" s="10"/>
    </row>
    <row r="32" spans="2:110" x14ac:dyDescent="0.2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0"/>
      <c r="M32" s="27"/>
      <c r="N32" s="27"/>
      <c r="O32" s="27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D32" s="16"/>
      <c r="AE32" s="16"/>
      <c r="AF32" s="16"/>
      <c r="AG32" s="16"/>
      <c r="AH32" s="16"/>
      <c r="AI32" s="11"/>
      <c r="AJ32" s="17"/>
      <c r="AK32" s="17"/>
      <c r="AL32" s="16"/>
      <c r="AM32" s="16"/>
      <c r="AN32" s="16"/>
      <c r="AO32" s="17"/>
      <c r="AP32" s="17"/>
      <c r="AQ32" s="17"/>
      <c r="AR32" s="17"/>
      <c r="AS32" s="17"/>
      <c r="AT32" s="17"/>
      <c r="AU32" s="16"/>
      <c r="AV32" s="16"/>
      <c r="AW32" s="16"/>
      <c r="AX32" s="16"/>
      <c r="BB32" s="12"/>
      <c r="BC32" s="12"/>
      <c r="BD32" s="5"/>
      <c r="BE32" s="12"/>
      <c r="BF32" s="12"/>
      <c r="BG32" s="5"/>
      <c r="BH32" s="5"/>
      <c r="CD32" s="33"/>
      <c r="CQ32" s="9"/>
      <c r="CR32" s="19"/>
      <c r="CS32" s="10"/>
      <c r="CT32" s="9"/>
      <c r="CV32" s="10"/>
      <c r="CW32" s="10"/>
      <c r="CX32" s="10"/>
      <c r="CY32" s="10"/>
      <c r="CZ32" s="10"/>
      <c r="DB32" s="19"/>
      <c r="DC32" s="19"/>
      <c r="DD32" s="10"/>
      <c r="DE32" s="10"/>
      <c r="DF32" s="10"/>
    </row>
    <row r="33" spans="2:110" x14ac:dyDescent="0.2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0"/>
      <c r="M33" s="27"/>
      <c r="N33" s="27"/>
      <c r="O33" s="27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D33" s="16"/>
      <c r="AE33" s="16"/>
      <c r="AF33" s="16"/>
      <c r="AG33" s="16"/>
      <c r="AH33" s="16"/>
      <c r="AI33" s="11"/>
      <c r="AJ33" s="17"/>
      <c r="AK33" s="17"/>
      <c r="AL33" s="16"/>
      <c r="AM33" s="16"/>
      <c r="AN33" s="16"/>
      <c r="AO33" s="17"/>
      <c r="AP33" s="17"/>
      <c r="AQ33" s="17"/>
      <c r="AR33" s="17"/>
      <c r="AS33" s="17"/>
      <c r="AT33" s="17"/>
      <c r="AU33" s="16"/>
      <c r="AV33" s="16"/>
      <c r="AW33" s="16"/>
      <c r="AX33" s="16"/>
      <c r="BB33" s="12"/>
      <c r="BC33" s="12"/>
      <c r="BD33" s="5"/>
      <c r="BE33" s="12"/>
      <c r="BF33" s="12"/>
      <c r="BG33" s="5"/>
      <c r="BH33" s="5"/>
      <c r="CD33" s="33"/>
      <c r="CQ33" s="9"/>
      <c r="CR33" s="19"/>
      <c r="CS33" s="10"/>
      <c r="CT33" s="9"/>
      <c r="CV33" s="10"/>
      <c r="CW33" s="10"/>
      <c r="CX33" s="10"/>
      <c r="CY33" s="10"/>
      <c r="CZ33" s="10"/>
      <c r="DB33" s="19"/>
      <c r="DC33" s="19"/>
      <c r="DD33" s="10"/>
      <c r="DE33" s="10"/>
      <c r="DF33" s="10"/>
    </row>
    <row r="34" spans="2:110" x14ac:dyDescent="0.2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0"/>
      <c r="M34" s="27"/>
      <c r="N34" s="27"/>
      <c r="O34" s="27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D34" s="16"/>
      <c r="AE34" s="16"/>
      <c r="AF34" s="16"/>
      <c r="AG34" s="16"/>
      <c r="AH34" s="16"/>
      <c r="AI34" s="11"/>
      <c r="AJ34" s="17"/>
      <c r="AK34" s="17"/>
      <c r="AL34" s="16"/>
      <c r="AM34" s="16"/>
      <c r="AN34" s="16"/>
      <c r="AO34" s="17"/>
      <c r="AP34" s="17"/>
      <c r="AQ34" s="17"/>
      <c r="AR34" s="17"/>
      <c r="AS34" s="17"/>
      <c r="AT34" s="17"/>
      <c r="AU34" s="16"/>
      <c r="AV34" s="16"/>
      <c r="AW34" s="16"/>
      <c r="AX34" s="16"/>
      <c r="BB34" s="12"/>
      <c r="BC34" s="12"/>
      <c r="BD34" s="5"/>
      <c r="BE34" s="12"/>
      <c r="BF34" s="12"/>
      <c r="BG34" s="5"/>
      <c r="BH34" s="5"/>
      <c r="CD34" s="33"/>
      <c r="CQ34" s="9"/>
      <c r="CR34" s="19"/>
      <c r="CS34" s="10"/>
      <c r="CT34" s="9"/>
      <c r="CV34" s="10"/>
      <c r="CW34" s="10"/>
      <c r="CX34" s="10"/>
      <c r="CY34" s="10"/>
      <c r="CZ34" s="10"/>
      <c r="DB34" s="19"/>
      <c r="DC34" s="19"/>
      <c r="DD34" s="10"/>
      <c r="DE34" s="10"/>
      <c r="DF34" s="10"/>
    </row>
    <row r="35" spans="2:110" x14ac:dyDescent="0.2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0"/>
      <c r="M35" s="27"/>
      <c r="N35" s="27"/>
      <c r="O35" s="27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D35" s="16"/>
      <c r="AE35" s="16"/>
      <c r="AF35" s="16"/>
      <c r="AG35" s="16"/>
      <c r="AH35" s="16"/>
      <c r="AI35" s="11"/>
      <c r="AJ35" s="17"/>
      <c r="AK35" s="17"/>
      <c r="AL35" s="16"/>
      <c r="AM35" s="16"/>
      <c r="AN35" s="16"/>
      <c r="AO35" s="17"/>
      <c r="AP35" s="17"/>
      <c r="AQ35" s="17"/>
      <c r="AR35" s="17"/>
      <c r="AS35" s="17"/>
      <c r="AT35" s="17"/>
      <c r="AU35" s="16"/>
      <c r="AV35" s="16"/>
      <c r="AW35" s="16"/>
      <c r="AX35" s="16"/>
      <c r="BB35" s="12"/>
      <c r="BC35" s="12"/>
      <c r="BD35" s="5"/>
      <c r="BE35" s="12"/>
      <c r="BF35" s="12"/>
      <c r="BG35" s="5"/>
      <c r="BH35" s="5"/>
      <c r="CD35" s="33"/>
      <c r="CQ35" s="9"/>
      <c r="CR35" s="19"/>
      <c r="CS35" s="10"/>
      <c r="CT35" s="9"/>
      <c r="CV35" s="10"/>
      <c r="CW35" s="10"/>
      <c r="CX35" s="10"/>
      <c r="CY35" s="10"/>
      <c r="CZ35" s="10"/>
      <c r="DB35" s="19"/>
      <c r="DC35" s="19"/>
      <c r="DD35" s="10"/>
      <c r="DE35" s="10"/>
      <c r="DF35" s="10"/>
    </row>
    <row r="36" spans="2:110" x14ac:dyDescent="0.2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0"/>
      <c r="M36" s="27"/>
      <c r="N36" s="27"/>
      <c r="O36" s="27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D36" s="16"/>
      <c r="AE36" s="16"/>
      <c r="AF36" s="16"/>
      <c r="AG36" s="16"/>
      <c r="AH36" s="16"/>
      <c r="AI36" s="11"/>
      <c r="AJ36" s="17"/>
      <c r="AK36" s="17"/>
      <c r="AL36" s="16"/>
      <c r="AM36" s="16"/>
      <c r="AN36" s="16"/>
      <c r="AO36" s="17"/>
      <c r="AP36" s="17"/>
      <c r="AQ36" s="17"/>
      <c r="AR36" s="17"/>
      <c r="AS36" s="17"/>
      <c r="AT36" s="17"/>
      <c r="AU36" s="16"/>
      <c r="AV36" s="16"/>
      <c r="AW36" s="16"/>
      <c r="AX36" s="16"/>
      <c r="BB36" s="12"/>
      <c r="BC36" s="12"/>
      <c r="BD36" s="5"/>
      <c r="BE36" s="12"/>
      <c r="BF36" s="12"/>
      <c r="BG36" s="5"/>
      <c r="BH36" s="5"/>
      <c r="CD36" s="33"/>
      <c r="CQ36" s="9"/>
      <c r="CR36" s="19"/>
      <c r="CS36" s="10"/>
      <c r="CT36" s="9"/>
      <c r="CV36" s="10"/>
      <c r="CW36" s="10"/>
      <c r="CX36" s="10"/>
      <c r="CY36" s="10"/>
      <c r="CZ36" s="10"/>
      <c r="DB36" s="19"/>
      <c r="DC36" s="19"/>
      <c r="DD36" s="10"/>
      <c r="DE36" s="10"/>
      <c r="DF36" s="10"/>
    </row>
    <row r="37" spans="2:110" x14ac:dyDescent="0.2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0"/>
      <c r="M37" s="27"/>
      <c r="N37" s="27"/>
      <c r="O37" s="27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D37" s="16"/>
      <c r="AE37" s="16"/>
      <c r="AF37" s="16"/>
      <c r="AG37" s="16"/>
      <c r="AH37" s="16"/>
      <c r="AI37" s="11"/>
      <c r="AJ37" s="17"/>
      <c r="AK37" s="17"/>
      <c r="AL37" s="16"/>
      <c r="AM37" s="16"/>
      <c r="AN37" s="16"/>
      <c r="AO37" s="17"/>
      <c r="AP37" s="17"/>
      <c r="AQ37" s="17"/>
      <c r="AR37" s="17"/>
      <c r="AS37" s="17"/>
      <c r="AT37" s="17"/>
      <c r="AU37" s="16"/>
      <c r="AV37" s="16"/>
      <c r="AW37" s="16"/>
      <c r="AX37" s="16"/>
      <c r="BB37" s="12"/>
      <c r="BC37" s="12"/>
      <c r="BD37" s="5"/>
      <c r="BE37" s="12"/>
      <c r="BF37" s="12"/>
      <c r="BG37" s="5"/>
      <c r="BH37" s="5"/>
      <c r="CD37" s="33"/>
      <c r="CQ37" s="9"/>
      <c r="CR37" s="19"/>
      <c r="CS37" s="10"/>
      <c r="CT37" s="9"/>
      <c r="CV37" s="10"/>
      <c r="CW37" s="10"/>
      <c r="CX37" s="10"/>
      <c r="CY37" s="10"/>
      <c r="CZ37" s="10"/>
      <c r="DB37" s="19"/>
      <c r="DC37" s="19"/>
      <c r="DD37" s="10"/>
      <c r="DE37" s="10"/>
      <c r="DF37" s="10"/>
    </row>
    <row r="38" spans="2:110" x14ac:dyDescent="0.2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0"/>
      <c r="M38" s="27"/>
      <c r="N38" s="27"/>
      <c r="O38" s="27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D38" s="16"/>
      <c r="AE38" s="16"/>
      <c r="AF38" s="16"/>
      <c r="AG38" s="16"/>
      <c r="AH38" s="16"/>
      <c r="AI38" s="11"/>
      <c r="AJ38" s="17"/>
      <c r="AK38" s="17"/>
      <c r="AL38" s="16"/>
      <c r="AM38" s="16"/>
      <c r="AN38" s="16"/>
      <c r="AO38" s="17"/>
      <c r="AP38" s="17"/>
      <c r="AQ38" s="17"/>
      <c r="AR38" s="17"/>
      <c r="AS38" s="17"/>
      <c r="AT38" s="17"/>
      <c r="AU38" s="16"/>
      <c r="AV38" s="16"/>
      <c r="AW38" s="16"/>
      <c r="AX38" s="16"/>
      <c r="BB38" s="12"/>
      <c r="BC38" s="12"/>
      <c r="BD38" s="5"/>
      <c r="BE38" s="12"/>
      <c r="BF38" s="12"/>
      <c r="BG38" s="5"/>
      <c r="BH38" s="5"/>
      <c r="CD38" s="33"/>
      <c r="CQ38" s="9"/>
      <c r="CR38" s="19"/>
      <c r="CS38" s="10"/>
      <c r="CT38" s="9"/>
      <c r="CV38" s="10"/>
      <c r="CW38" s="10"/>
      <c r="CX38" s="10"/>
      <c r="CY38" s="10"/>
      <c r="CZ38" s="10"/>
      <c r="DB38" s="19"/>
      <c r="DC38" s="19"/>
      <c r="DD38" s="10"/>
      <c r="DE38" s="10"/>
      <c r="DF38" s="10"/>
    </row>
    <row r="39" spans="2:110" x14ac:dyDescent="0.2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0"/>
      <c r="M39" s="27"/>
      <c r="N39" s="27"/>
      <c r="O39" s="27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D39" s="16"/>
      <c r="AE39" s="16"/>
      <c r="AF39" s="16"/>
      <c r="AG39" s="16"/>
      <c r="AH39" s="16"/>
      <c r="AI39" s="11"/>
      <c r="AJ39" s="17"/>
      <c r="AK39" s="17"/>
      <c r="AL39" s="16"/>
      <c r="AM39" s="16"/>
      <c r="AN39" s="16"/>
      <c r="AO39" s="17"/>
      <c r="AP39" s="17"/>
      <c r="AQ39" s="17"/>
      <c r="AR39" s="17"/>
      <c r="AS39" s="17"/>
      <c r="AT39" s="17"/>
      <c r="AU39" s="16"/>
      <c r="AV39" s="16"/>
      <c r="AW39" s="16"/>
      <c r="AX39" s="16"/>
      <c r="BB39" s="12"/>
      <c r="BC39" s="12"/>
      <c r="BD39" s="5"/>
      <c r="BE39" s="12"/>
      <c r="BF39" s="12"/>
      <c r="BG39" s="5"/>
      <c r="BH39" s="5"/>
      <c r="CD39" s="33"/>
      <c r="CQ39" s="9"/>
      <c r="CR39" s="19"/>
      <c r="CS39" s="10"/>
      <c r="CT39" s="9"/>
      <c r="CV39" s="10"/>
      <c r="CW39" s="10"/>
      <c r="CX39" s="10"/>
      <c r="CY39" s="10"/>
      <c r="CZ39" s="10"/>
      <c r="DB39" s="19"/>
      <c r="DC39" s="19"/>
      <c r="DD39" s="10"/>
      <c r="DE39" s="10"/>
      <c r="DF39" s="10"/>
    </row>
    <row r="40" spans="2:110" x14ac:dyDescent="0.2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0"/>
      <c r="M40" s="27"/>
      <c r="N40" s="27"/>
      <c r="O40" s="27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D40" s="16"/>
      <c r="AE40" s="16"/>
      <c r="AF40" s="16"/>
      <c r="AG40" s="16"/>
      <c r="AH40" s="16"/>
      <c r="AI40" s="11"/>
      <c r="AJ40" s="17"/>
      <c r="AK40" s="17"/>
      <c r="AL40" s="16"/>
      <c r="AM40" s="16"/>
      <c r="AN40" s="16"/>
      <c r="AO40" s="17"/>
      <c r="AP40" s="17"/>
      <c r="AQ40" s="17"/>
      <c r="AR40" s="17"/>
      <c r="AS40" s="17"/>
      <c r="AT40" s="17"/>
      <c r="AU40" s="16"/>
      <c r="AV40" s="16"/>
      <c r="AW40" s="16"/>
      <c r="AX40" s="16"/>
      <c r="BB40" s="12"/>
      <c r="BC40" s="12"/>
      <c r="BD40" s="5"/>
      <c r="BE40" s="12"/>
      <c r="BF40" s="12"/>
      <c r="BG40" s="5"/>
      <c r="BH40" s="5"/>
      <c r="CD40" s="33"/>
      <c r="CQ40" s="9"/>
      <c r="CR40" s="19"/>
      <c r="CS40" s="10"/>
      <c r="CT40" s="9"/>
      <c r="CV40" s="10"/>
      <c r="CW40" s="10"/>
      <c r="CX40" s="10"/>
      <c r="CY40" s="10"/>
      <c r="CZ40" s="10"/>
      <c r="DB40" s="19"/>
      <c r="DC40" s="19"/>
      <c r="DD40" s="10"/>
      <c r="DE40" s="10"/>
      <c r="DF40" s="10"/>
    </row>
    <row r="41" spans="2:110" x14ac:dyDescent="0.2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0"/>
      <c r="M41" s="27"/>
      <c r="N41" s="27"/>
      <c r="O41" s="27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D41" s="16"/>
      <c r="AE41" s="16"/>
      <c r="AF41" s="16"/>
      <c r="AG41" s="16"/>
      <c r="AH41" s="16"/>
      <c r="AI41" s="11"/>
      <c r="AJ41" s="17"/>
      <c r="AK41" s="17"/>
      <c r="AL41" s="16"/>
      <c r="AM41" s="16"/>
      <c r="AN41" s="16"/>
      <c r="AO41" s="17"/>
      <c r="AP41" s="17"/>
      <c r="AQ41" s="17"/>
      <c r="AR41" s="17"/>
      <c r="AS41" s="17"/>
      <c r="AT41" s="17"/>
      <c r="AU41" s="16"/>
      <c r="AV41" s="16"/>
      <c r="AW41" s="16"/>
      <c r="AX41" s="16"/>
      <c r="BB41" s="12"/>
      <c r="BC41" s="12"/>
      <c r="BD41" s="5"/>
      <c r="BE41" s="12"/>
      <c r="BF41" s="12"/>
      <c r="BG41" s="5"/>
      <c r="BH41" s="5"/>
      <c r="CD41" s="33"/>
      <c r="CQ41" s="9"/>
      <c r="CR41" s="19"/>
      <c r="CS41" s="10"/>
      <c r="CT41" s="9"/>
      <c r="CV41" s="10"/>
      <c r="CW41" s="10"/>
      <c r="CX41" s="10"/>
      <c r="CY41" s="10"/>
      <c r="CZ41" s="10"/>
      <c r="DB41" s="19"/>
      <c r="DC41" s="19"/>
      <c r="DD41" s="10"/>
      <c r="DE41" s="10"/>
      <c r="DF41" s="10"/>
    </row>
    <row r="42" spans="2:110" x14ac:dyDescent="0.2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0"/>
      <c r="M42" s="27"/>
      <c r="N42" s="27"/>
      <c r="O42" s="27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D42" s="16"/>
      <c r="AE42" s="16"/>
      <c r="AF42" s="16"/>
      <c r="AG42" s="16"/>
      <c r="AH42" s="16"/>
      <c r="AI42" s="11"/>
      <c r="AJ42" s="17"/>
      <c r="AK42" s="17"/>
      <c r="AL42" s="16"/>
      <c r="AM42" s="16"/>
      <c r="AN42" s="16"/>
      <c r="AO42" s="17"/>
      <c r="AP42" s="17"/>
      <c r="AQ42" s="17"/>
      <c r="AR42" s="17"/>
      <c r="AS42" s="17"/>
      <c r="AT42" s="17"/>
      <c r="AU42" s="16"/>
      <c r="AV42" s="16"/>
      <c r="AW42" s="16"/>
      <c r="AX42" s="16"/>
      <c r="BB42" s="12"/>
      <c r="BC42" s="12"/>
      <c r="BD42" s="5"/>
      <c r="BE42" s="12"/>
      <c r="BF42" s="12"/>
      <c r="BG42" s="5"/>
      <c r="BH42" s="5"/>
      <c r="CD42" s="33"/>
      <c r="CQ42" s="9"/>
      <c r="CR42" s="19"/>
      <c r="CS42" s="10"/>
      <c r="CT42" s="9"/>
      <c r="CV42" s="10"/>
      <c r="CW42" s="10"/>
      <c r="CX42" s="10"/>
      <c r="CY42" s="10"/>
      <c r="CZ42" s="10"/>
      <c r="DB42" s="19"/>
      <c r="DC42" s="19"/>
      <c r="DD42" s="10"/>
      <c r="DE42" s="10"/>
      <c r="DF42" s="10"/>
    </row>
    <row r="43" spans="2:110" x14ac:dyDescent="0.2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0"/>
      <c r="M43" s="27"/>
      <c r="N43" s="27"/>
      <c r="O43" s="27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D43" s="16"/>
      <c r="AE43" s="16"/>
      <c r="AF43" s="16"/>
      <c r="AG43" s="16"/>
      <c r="AH43" s="16"/>
      <c r="AI43" s="11"/>
      <c r="AJ43" s="17"/>
      <c r="AK43" s="17"/>
      <c r="AL43" s="16"/>
      <c r="AM43" s="16"/>
      <c r="AN43" s="16"/>
      <c r="AO43" s="17"/>
      <c r="AP43" s="17"/>
      <c r="AQ43" s="17"/>
      <c r="AR43" s="17"/>
      <c r="AS43" s="17"/>
      <c r="AT43" s="17"/>
      <c r="AU43" s="16"/>
      <c r="AV43" s="16"/>
      <c r="AW43" s="16"/>
      <c r="AX43" s="16"/>
      <c r="BB43" s="12"/>
      <c r="BC43" s="12"/>
      <c r="BD43" s="5"/>
      <c r="BE43" s="12"/>
      <c r="BF43" s="12"/>
      <c r="BG43" s="5"/>
      <c r="BH43" s="5"/>
      <c r="CD43" s="33"/>
      <c r="CQ43" s="9"/>
      <c r="CR43" s="19"/>
      <c r="CS43" s="10"/>
      <c r="CT43" s="9"/>
      <c r="CV43" s="10"/>
      <c r="CW43" s="10"/>
      <c r="CX43" s="10"/>
      <c r="CY43" s="10"/>
      <c r="CZ43" s="10"/>
      <c r="DB43" s="19"/>
      <c r="DC43" s="19"/>
      <c r="DD43" s="10"/>
      <c r="DE43" s="10"/>
      <c r="DF43" s="10"/>
    </row>
    <row r="44" spans="2:110" x14ac:dyDescent="0.2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0"/>
      <c r="M44" s="27"/>
      <c r="N44" s="27"/>
      <c r="O44" s="27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D44" s="16"/>
      <c r="AE44" s="16"/>
      <c r="AF44" s="16"/>
      <c r="AG44" s="16"/>
      <c r="AH44" s="16"/>
      <c r="AI44" s="11"/>
      <c r="AJ44" s="17"/>
      <c r="AK44" s="17"/>
      <c r="AL44" s="16"/>
      <c r="AM44" s="16"/>
      <c r="AN44" s="16"/>
      <c r="AO44" s="17"/>
      <c r="AP44" s="17"/>
      <c r="AQ44" s="17"/>
      <c r="AR44" s="17"/>
      <c r="AS44" s="17"/>
      <c r="AT44" s="17"/>
      <c r="AU44" s="16"/>
      <c r="AV44" s="16"/>
      <c r="AW44" s="16"/>
      <c r="AX44" s="16"/>
      <c r="BB44" s="12"/>
      <c r="BC44" s="12"/>
      <c r="BD44" s="5"/>
      <c r="BE44" s="12"/>
      <c r="BF44" s="12"/>
      <c r="BG44" s="5"/>
      <c r="BH44" s="5"/>
      <c r="CD44" s="33"/>
      <c r="CQ44" s="9"/>
      <c r="CR44" s="19"/>
      <c r="CS44" s="10"/>
      <c r="CT44" s="9"/>
      <c r="CV44" s="10"/>
      <c r="CW44" s="10"/>
      <c r="CX44" s="10"/>
      <c r="CY44" s="10"/>
      <c r="CZ44" s="10"/>
      <c r="DB44" s="19"/>
      <c r="DC44" s="19"/>
      <c r="DD44" s="10"/>
      <c r="DE44" s="10"/>
      <c r="DF44" s="10"/>
    </row>
    <row r="45" spans="2:110" x14ac:dyDescent="0.2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0"/>
      <c r="M45" s="27"/>
      <c r="N45" s="27"/>
      <c r="O45" s="27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D45" s="16"/>
      <c r="AE45" s="16"/>
      <c r="AF45" s="16"/>
      <c r="AG45" s="16"/>
      <c r="AH45" s="16"/>
      <c r="AI45" s="11"/>
      <c r="AJ45" s="17"/>
      <c r="AK45" s="17"/>
      <c r="AL45" s="16"/>
      <c r="AM45" s="16"/>
      <c r="AN45" s="16"/>
      <c r="AO45" s="17"/>
      <c r="AP45" s="17"/>
      <c r="AQ45" s="17"/>
      <c r="AR45" s="17"/>
      <c r="AS45" s="17"/>
      <c r="AT45" s="17"/>
      <c r="AU45" s="16"/>
      <c r="AV45" s="16"/>
      <c r="AW45" s="16"/>
      <c r="AX45" s="16"/>
      <c r="BB45" s="12"/>
      <c r="BC45" s="12"/>
      <c r="BD45" s="5"/>
      <c r="BE45" s="12"/>
      <c r="BF45" s="12"/>
      <c r="BG45" s="5"/>
      <c r="BH45" s="5"/>
      <c r="CD45" s="33"/>
      <c r="CQ45" s="9"/>
      <c r="CR45" s="19"/>
      <c r="CS45" s="10"/>
      <c r="CT45" s="9"/>
      <c r="CV45" s="10"/>
      <c r="CW45" s="10"/>
      <c r="CX45" s="10"/>
      <c r="CY45" s="10"/>
      <c r="CZ45" s="10"/>
      <c r="DB45" s="19"/>
      <c r="DC45" s="19"/>
      <c r="DD45" s="10"/>
      <c r="DE45" s="10"/>
      <c r="DF45" s="10"/>
    </row>
    <row r="46" spans="2:110" x14ac:dyDescent="0.2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0"/>
      <c r="M46" s="27"/>
      <c r="N46" s="27"/>
      <c r="O46" s="27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D46" s="16"/>
      <c r="AE46" s="16"/>
      <c r="AF46" s="16"/>
      <c r="AG46" s="16"/>
      <c r="AH46" s="16"/>
      <c r="AI46" s="11"/>
      <c r="AJ46" s="17"/>
      <c r="AK46" s="17"/>
      <c r="AL46" s="16"/>
      <c r="AM46" s="16"/>
      <c r="AN46" s="16"/>
      <c r="AO46" s="17"/>
      <c r="AP46" s="17"/>
      <c r="AQ46" s="17"/>
      <c r="AR46" s="17"/>
      <c r="AS46" s="17"/>
      <c r="AT46" s="17"/>
      <c r="AU46" s="16"/>
      <c r="AV46" s="16"/>
      <c r="AW46" s="16"/>
      <c r="AX46" s="16"/>
      <c r="BB46" s="12"/>
      <c r="BC46" s="12"/>
      <c r="BD46" s="5"/>
      <c r="BE46" s="12"/>
      <c r="BF46" s="12"/>
      <c r="BG46" s="5"/>
      <c r="BH46" s="5"/>
      <c r="CD46" s="33"/>
      <c r="CQ46" s="9"/>
      <c r="CR46" s="19"/>
      <c r="CS46" s="10"/>
      <c r="CT46" s="9"/>
      <c r="CV46" s="10"/>
      <c r="CW46" s="10"/>
      <c r="CX46" s="10"/>
      <c r="CY46" s="10"/>
      <c r="CZ46" s="10"/>
      <c r="DB46" s="19"/>
      <c r="DC46" s="19"/>
      <c r="DD46" s="10"/>
      <c r="DE46" s="10"/>
      <c r="DF46" s="10"/>
    </row>
    <row r="47" spans="2:110" x14ac:dyDescent="0.2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19"/>
      <c r="M47" s="27"/>
      <c r="N47" s="27"/>
      <c r="O47" s="27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D47" s="16"/>
      <c r="AE47" s="16"/>
      <c r="AF47" s="16"/>
      <c r="AG47" s="16"/>
      <c r="AH47" s="16"/>
      <c r="AI47" s="11"/>
      <c r="AJ47" s="17"/>
      <c r="AK47" s="17"/>
      <c r="AL47" s="16"/>
      <c r="AM47" s="16"/>
      <c r="AN47" s="16"/>
      <c r="AO47" s="17"/>
      <c r="AP47" s="17"/>
      <c r="AQ47" s="17"/>
      <c r="AR47" s="17"/>
      <c r="AS47" s="17"/>
      <c r="AT47" s="17"/>
      <c r="AU47" s="16"/>
      <c r="AV47" s="16"/>
      <c r="AW47" s="16"/>
      <c r="AX47" s="16"/>
      <c r="BB47" s="12"/>
      <c r="BC47" s="12"/>
      <c r="BD47" s="5"/>
      <c r="BE47" s="12"/>
      <c r="BF47" s="12"/>
      <c r="BG47" s="5"/>
      <c r="BH47" s="5"/>
      <c r="CQ47" s="9"/>
      <c r="CR47" s="10"/>
      <c r="CS47" s="9"/>
      <c r="CT47" s="9"/>
      <c r="CV47" s="10"/>
      <c r="CW47" s="10"/>
      <c r="CX47" s="10"/>
      <c r="CY47" s="10"/>
      <c r="CZ47" s="10"/>
      <c r="DB47" s="19"/>
      <c r="DC47" s="19"/>
      <c r="DD47" s="10"/>
      <c r="DE47" s="10"/>
      <c r="DF47" s="10"/>
    </row>
    <row r="48" spans="2:110" x14ac:dyDescent="0.2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19"/>
      <c r="M48" s="27"/>
      <c r="N48" s="27"/>
      <c r="O48" s="27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D48" s="16"/>
      <c r="AE48" s="16"/>
      <c r="AF48" s="16"/>
      <c r="AG48" s="16"/>
      <c r="AH48" s="16"/>
      <c r="AI48" s="11"/>
      <c r="AJ48" s="17"/>
      <c r="AK48" s="17"/>
      <c r="AL48" s="16"/>
      <c r="AM48" s="16"/>
      <c r="AN48" s="16"/>
      <c r="AO48" s="17"/>
      <c r="AP48" s="17"/>
      <c r="AQ48" s="17"/>
      <c r="AR48" s="17"/>
      <c r="AS48" s="17"/>
      <c r="AT48" s="17"/>
      <c r="AU48" s="16"/>
      <c r="AV48" s="16"/>
      <c r="AW48" s="16"/>
      <c r="AX48" s="16"/>
      <c r="BB48" s="12"/>
      <c r="BC48" s="12"/>
      <c r="BD48" s="5"/>
      <c r="BE48" s="12"/>
      <c r="BF48" s="12"/>
      <c r="BG48" s="5"/>
      <c r="BH48" s="5"/>
      <c r="CQ48" s="9"/>
      <c r="CR48" s="10"/>
      <c r="CS48" s="9"/>
      <c r="CT48" s="9"/>
      <c r="CV48" s="10"/>
      <c r="CW48" s="10"/>
      <c r="CX48" s="10"/>
      <c r="CY48" s="10"/>
      <c r="CZ48" s="10"/>
      <c r="DB48" s="19"/>
      <c r="DC48" s="19"/>
      <c r="DD48" s="10"/>
      <c r="DE48" s="10"/>
      <c r="DF48" s="10"/>
    </row>
    <row r="49" spans="2:110" x14ac:dyDescent="0.2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19"/>
      <c r="M49" s="27"/>
      <c r="N49" s="27"/>
      <c r="O49" s="27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D49" s="16"/>
      <c r="AE49" s="16"/>
      <c r="AF49" s="16"/>
      <c r="AG49" s="16"/>
      <c r="AH49" s="16"/>
      <c r="AI49" s="11"/>
      <c r="AJ49" s="17"/>
      <c r="AK49" s="17"/>
      <c r="AL49" s="16"/>
      <c r="AM49" s="16"/>
      <c r="AN49" s="16"/>
      <c r="AO49" s="17"/>
      <c r="AP49" s="17"/>
      <c r="AQ49" s="17"/>
      <c r="AR49" s="17"/>
      <c r="AS49" s="17"/>
      <c r="AT49" s="17"/>
      <c r="AU49" s="16"/>
      <c r="AV49" s="16"/>
      <c r="AW49" s="16"/>
      <c r="AX49" s="16"/>
      <c r="BB49" s="12"/>
      <c r="BC49" s="12"/>
      <c r="BD49" s="5"/>
      <c r="BE49" s="12"/>
      <c r="BF49" s="12"/>
      <c r="BG49" s="5"/>
      <c r="BH49" s="5"/>
      <c r="CQ49" s="9"/>
      <c r="CR49" s="10"/>
      <c r="CS49" s="9"/>
      <c r="CT49" s="9"/>
      <c r="CV49" s="10"/>
      <c r="CW49" s="10"/>
      <c r="CX49" s="10"/>
      <c r="CY49" s="10"/>
      <c r="CZ49" s="10"/>
      <c r="DB49" s="19"/>
      <c r="DC49" s="19"/>
      <c r="DD49" s="10"/>
      <c r="DE49" s="10"/>
      <c r="DF49" s="10"/>
    </row>
    <row r="50" spans="2:110" x14ac:dyDescent="0.2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19"/>
      <c r="M50" s="27"/>
      <c r="N50" s="27"/>
      <c r="O50" s="27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D50" s="16"/>
      <c r="AE50" s="16"/>
      <c r="AF50" s="16"/>
      <c r="AG50" s="16"/>
      <c r="AH50" s="16"/>
      <c r="AI50" s="11"/>
      <c r="AJ50" s="17"/>
      <c r="AK50" s="17"/>
      <c r="AL50" s="16"/>
      <c r="AM50" s="16"/>
      <c r="AN50" s="16"/>
      <c r="AO50" s="17"/>
      <c r="AP50" s="17"/>
      <c r="AQ50" s="17"/>
      <c r="AR50" s="17"/>
      <c r="AS50" s="17"/>
      <c r="AT50" s="17"/>
      <c r="AU50" s="16"/>
      <c r="AV50" s="16"/>
      <c r="AW50" s="16"/>
      <c r="AX50" s="16"/>
      <c r="BB50" s="12"/>
      <c r="BC50" s="12"/>
      <c r="BD50" s="5"/>
      <c r="BE50" s="12"/>
      <c r="BF50" s="12"/>
      <c r="BG50" s="5"/>
      <c r="BH50" s="5"/>
      <c r="CQ50" s="9"/>
      <c r="CR50" s="10"/>
      <c r="CS50" s="9"/>
      <c r="CT50" s="9"/>
      <c r="CV50" s="10"/>
      <c r="CW50" s="10"/>
      <c r="CX50" s="10"/>
      <c r="CY50" s="10"/>
      <c r="CZ50" s="10"/>
      <c r="DB50" s="19"/>
      <c r="DC50" s="19"/>
      <c r="DD50" s="10"/>
      <c r="DE50" s="10"/>
      <c r="DF50" s="10"/>
    </row>
    <row r="51" spans="2:110" x14ac:dyDescent="0.2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19"/>
      <c r="M51" s="27"/>
      <c r="N51" s="27"/>
      <c r="O51" s="27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D51" s="16"/>
      <c r="AE51" s="16"/>
      <c r="AF51" s="16"/>
      <c r="AG51" s="16"/>
      <c r="AH51" s="16"/>
      <c r="AI51" s="11"/>
      <c r="AJ51" s="17"/>
      <c r="AK51" s="17"/>
      <c r="AL51" s="16"/>
      <c r="AM51" s="16"/>
      <c r="AN51" s="16"/>
      <c r="AO51" s="17"/>
      <c r="AP51" s="17"/>
      <c r="AQ51" s="17"/>
      <c r="AR51" s="17"/>
      <c r="AS51" s="17"/>
      <c r="AT51" s="17"/>
      <c r="AU51" s="16"/>
      <c r="AV51" s="16"/>
      <c r="AW51" s="16"/>
      <c r="AX51" s="16"/>
      <c r="BB51" s="12"/>
      <c r="BC51" s="12"/>
      <c r="BD51" s="5"/>
      <c r="BE51" s="12"/>
      <c r="BF51" s="12"/>
      <c r="BG51" s="5"/>
      <c r="BH51" s="5"/>
      <c r="CQ51" s="9"/>
      <c r="CR51" s="10"/>
      <c r="CS51" s="9"/>
      <c r="CT51" s="9"/>
      <c r="CV51" s="10"/>
      <c r="CW51" s="10"/>
      <c r="CX51" s="10"/>
      <c r="CY51" s="10"/>
      <c r="CZ51" s="10"/>
      <c r="DB51" s="19"/>
      <c r="DC51" s="19"/>
      <c r="DD51" s="10"/>
      <c r="DE51" s="10"/>
      <c r="DF51" s="10"/>
    </row>
    <row r="52" spans="2:110" x14ac:dyDescent="0.2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19"/>
      <c r="M52" s="27"/>
      <c r="N52" s="27"/>
      <c r="O52" s="27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D52" s="16"/>
      <c r="AE52" s="16"/>
      <c r="AF52" s="16"/>
      <c r="AG52" s="16"/>
      <c r="AH52" s="16"/>
      <c r="AI52" s="11"/>
      <c r="AJ52" s="17"/>
      <c r="AK52" s="17"/>
      <c r="AL52" s="16"/>
      <c r="AM52" s="16"/>
      <c r="AN52" s="16"/>
      <c r="AO52" s="17"/>
      <c r="AP52" s="17"/>
      <c r="AQ52" s="17"/>
      <c r="AR52" s="17"/>
      <c r="AS52" s="17"/>
      <c r="AT52" s="17"/>
      <c r="AU52" s="16"/>
      <c r="AV52" s="16"/>
      <c r="AW52" s="16"/>
      <c r="AX52" s="16"/>
      <c r="BB52" s="12"/>
      <c r="BC52" s="12"/>
      <c r="BD52" s="5"/>
      <c r="BE52" s="12"/>
      <c r="BF52" s="12"/>
      <c r="BG52" s="5"/>
      <c r="BH52" s="5"/>
      <c r="CQ52" s="9"/>
      <c r="CR52" s="10"/>
      <c r="CS52" s="9"/>
      <c r="CT52" s="9"/>
      <c r="CV52" s="10"/>
      <c r="CW52" s="10"/>
      <c r="CX52" s="10"/>
      <c r="CY52" s="10"/>
      <c r="CZ52" s="10"/>
      <c r="DB52" s="19"/>
      <c r="DC52" s="19"/>
      <c r="DD52" s="10"/>
      <c r="DE52" s="10"/>
      <c r="DF52" s="10"/>
    </row>
    <row r="53" spans="2:110" x14ac:dyDescent="0.2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19"/>
      <c r="M53" s="27"/>
      <c r="N53" s="27"/>
      <c r="O53" s="27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D53" s="16"/>
      <c r="AE53" s="16"/>
      <c r="AF53" s="16"/>
      <c r="AG53" s="16"/>
      <c r="AH53" s="16"/>
      <c r="AI53" s="11"/>
      <c r="AJ53" s="17"/>
      <c r="AK53" s="17"/>
      <c r="AL53" s="16"/>
      <c r="AM53" s="16"/>
      <c r="AN53" s="16"/>
      <c r="AO53" s="17"/>
      <c r="AP53" s="17"/>
      <c r="AQ53" s="17"/>
      <c r="AR53" s="17"/>
      <c r="AS53" s="17"/>
      <c r="AT53" s="17"/>
      <c r="AU53" s="16"/>
      <c r="AV53" s="16"/>
      <c r="AW53" s="16"/>
      <c r="AX53" s="16"/>
      <c r="BB53" s="12"/>
      <c r="BC53" s="12"/>
      <c r="BD53" s="5"/>
      <c r="BE53" s="12"/>
      <c r="BF53" s="12"/>
      <c r="BG53" s="5"/>
      <c r="BH53" s="5"/>
      <c r="CQ53" s="9"/>
      <c r="CR53" s="10"/>
      <c r="CS53" s="9"/>
      <c r="CT53" s="9"/>
      <c r="CV53" s="10"/>
      <c r="CW53" s="10"/>
      <c r="CX53" s="10"/>
      <c r="CY53" s="10"/>
      <c r="CZ53" s="10"/>
      <c r="DB53" s="19"/>
      <c r="DC53" s="19"/>
      <c r="DD53" s="10"/>
      <c r="DE53" s="10"/>
      <c r="DF53" s="10"/>
    </row>
    <row r="54" spans="2:110" x14ac:dyDescent="0.2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19"/>
      <c r="M54" s="27"/>
      <c r="N54" s="27"/>
      <c r="O54" s="27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D54" s="16"/>
      <c r="AE54" s="16"/>
      <c r="AF54" s="16"/>
      <c r="AG54" s="16"/>
      <c r="AH54" s="16"/>
      <c r="AI54" s="11"/>
      <c r="AJ54" s="17"/>
      <c r="AK54" s="17"/>
      <c r="AL54" s="16"/>
      <c r="AM54" s="16"/>
      <c r="AN54" s="16"/>
      <c r="AO54" s="17"/>
      <c r="AP54" s="17"/>
      <c r="AQ54" s="17"/>
      <c r="AR54" s="17"/>
      <c r="AS54" s="17"/>
      <c r="AT54" s="17"/>
      <c r="AU54" s="16"/>
      <c r="AV54" s="16"/>
      <c r="AW54" s="16"/>
      <c r="AX54" s="16"/>
      <c r="BB54" s="12"/>
      <c r="BC54" s="12"/>
      <c r="BD54" s="5"/>
      <c r="BE54" s="12"/>
      <c r="BF54" s="12"/>
      <c r="BG54" s="5"/>
      <c r="BH54" s="5"/>
      <c r="CQ54" s="9"/>
      <c r="CR54" s="10"/>
      <c r="CS54" s="9"/>
      <c r="CT54" s="9"/>
      <c r="CV54" s="10"/>
      <c r="CW54" s="10"/>
      <c r="CX54" s="10"/>
      <c r="CY54" s="10"/>
      <c r="CZ54" s="10"/>
      <c r="DB54" s="19"/>
      <c r="DC54" s="19"/>
      <c r="DD54" s="10"/>
      <c r="DE54" s="10"/>
      <c r="DF54" s="10"/>
    </row>
    <row r="55" spans="2:110" x14ac:dyDescent="0.2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19"/>
      <c r="M55" s="27"/>
      <c r="N55" s="27"/>
      <c r="O55" s="27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D55" s="16"/>
      <c r="AE55" s="16"/>
      <c r="AF55" s="16"/>
      <c r="AG55" s="16"/>
      <c r="AH55" s="16"/>
      <c r="AI55" s="11"/>
      <c r="AJ55" s="17"/>
      <c r="AK55" s="17"/>
      <c r="AL55" s="16"/>
      <c r="AM55" s="16"/>
      <c r="AN55" s="16"/>
      <c r="AO55" s="17"/>
      <c r="AP55" s="17"/>
      <c r="AQ55" s="17"/>
      <c r="AR55" s="17"/>
      <c r="AS55" s="17"/>
      <c r="AT55" s="17"/>
      <c r="AU55" s="16"/>
      <c r="AV55" s="16"/>
      <c r="AW55" s="16"/>
      <c r="AX55" s="16"/>
      <c r="BB55" s="12"/>
      <c r="BC55" s="12"/>
      <c r="BD55" s="5"/>
      <c r="BE55" s="12"/>
      <c r="BF55" s="12"/>
      <c r="BG55" s="5"/>
      <c r="BH55" s="5"/>
      <c r="CQ55" s="9"/>
      <c r="CR55" s="10"/>
      <c r="CS55" s="9"/>
      <c r="CT55" s="9"/>
      <c r="CV55" s="10"/>
      <c r="CW55" s="10"/>
      <c r="CX55" s="10"/>
      <c r="CY55" s="10"/>
      <c r="CZ55" s="10"/>
      <c r="DB55" s="19"/>
      <c r="DC55" s="19"/>
      <c r="DD55" s="10"/>
      <c r="DE55" s="10"/>
      <c r="DF55" s="10"/>
    </row>
    <row r="56" spans="2:110" x14ac:dyDescent="0.2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19"/>
      <c r="M56" s="27"/>
      <c r="N56" s="27"/>
      <c r="O56" s="27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D56" s="16"/>
      <c r="AE56" s="16"/>
      <c r="AF56" s="16"/>
      <c r="AG56" s="16"/>
      <c r="AH56" s="16"/>
      <c r="AI56" s="11"/>
      <c r="AJ56" s="17"/>
      <c r="AK56" s="17"/>
      <c r="AL56" s="16"/>
      <c r="AM56" s="16"/>
      <c r="AN56" s="16"/>
      <c r="AO56" s="17"/>
      <c r="AP56" s="17"/>
      <c r="AQ56" s="17"/>
      <c r="AR56" s="17"/>
      <c r="AS56" s="17"/>
      <c r="AT56" s="17"/>
      <c r="AU56" s="16"/>
      <c r="AV56" s="16"/>
      <c r="AW56" s="16"/>
      <c r="AX56" s="16"/>
      <c r="BB56" s="12"/>
      <c r="BC56" s="12"/>
      <c r="BD56" s="5"/>
      <c r="BE56" s="12"/>
      <c r="BF56" s="12"/>
      <c r="BG56" s="5"/>
      <c r="BH56" s="5"/>
      <c r="CQ56" s="9"/>
      <c r="CR56" s="10"/>
      <c r="CS56" s="9"/>
      <c r="CT56" s="9"/>
      <c r="CV56" s="10"/>
      <c r="CW56" s="10"/>
      <c r="CX56" s="10"/>
      <c r="CY56" s="10"/>
      <c r="CZ56" s="10"/>
      <c r="DB56" s="19"/>
      <c r="DC56" s="19"/>
      <c r="DD56" s="10"/>
      <c r="DE56" s="10"/>
      <c r="DF56" s="10"/>
    </row>
    <row r="57" spans="2:110" x14ac:dyDescent="0.2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19"/>
      <c r="M57" s="27"/>
      <c r="N57" s="27"/>
      <c r="O57" s="27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D57" s="17"/>
      <c r="AE57" s="17"/>
      <c r="AF57" s="16"/>
      <c r="AG57" s="16"/>
      <c r="AH57" s="16"/>
      <c r="AI57" s="11"/>
      <c r="AJ57" s="17"/>
      <c r="AK57" s="17"/>
      <c r="AL57" s="16"/>
      <c r="AM57" s="16"/>
      <c r="AN57" s="17"/>
      <c r="AO57" s="17"/>
      <c r="AP57" s="17"/>
      <c r="AQ57" s="17"/>
      <c r="AR57" s="17"/>
      <c r="AS57" s="17"/>
      <c r="AT57" s="17"/>
      <c r="AU57" s="16"/>
      <c r="AV57" s="16"/>
      <c r="AW57" s="16"/>
      <c r="AX57" s="16"/>
      <c r="BB57" s="12"/>
      <c r="BC57" s="12"/>
      <c r="BD57" s="5"/>
      <c r="BE57" s="12"/>
      <c r="BF57" s="12"/>
      <c r="BG57" s="5"/>
      <c r="BH57" s="5"/>
      <c r="CQ57" s="9"/>
      <c r="CR57" s="10"/>
      <c r="CS57" s="9"/>
      <c r="CT57" s="9"/>
      <c r="CV57" s="10"/>
      <c r="CW57" s="10"/>
      <c r="CX57" s="10"/>
      <c r="CY57" s="10"/>
      <c r="CZ57" s="10"/>
      <c r="DB57" s="19"/>
      <c r="DC57" s="19"/>
      <c r="DD57" s="10"/>
      <c r="DE57" s="10"/>
      <c r="DF57" s="10"/>
    </row>
    <row r="58" spans="2:110" x14ac:dyDescent="0.2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19"/>
      <c r="M58" s="27"/>
      <c r="N58" s="27"/>
      <c r="O58" s="27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D58" s="17"/>
      <c r="AE58" s="17"/>
      <c r="AF58" s="16"/>
      <c r="AG58" s="16"/>
      <c r="AH58" s="16"/>
      <c r="AI58" s="11"/>
      <c r="AJ58" s="17"/>
      <c r="AK58" s="17"/>
      <c r="AL58" s="16"/>
      <c r="AM58" s="16"/>
      <c r="AN58" s="17"/>
      <c r="AO58" s="17"/>
      <c r="AP58" s="17"/>
      <c r="AQ58" s="17"/>
      <c r="AR58" s="17"/>
      <c r="AS58" s="17"/>
      <c r="AT58" s="17"/>
      <c r="AU58" s="16"/>
      <c r="AV58" s="16"/>
      <c r="AW58" s="16"/>
      <c r="AX58" s="16"/>
      <c r="BB58" s="12"/>
      <c r="BC58" s="12"/>
      <c r="BD58" s="5"/>
      <c r="BE58" s="12"/>
      <c r="BF58" s="12"/>
      <c r="BG58" s="5"/>
      <c r="BH58" s="5"/>
      <c r="CQ58" s="9"/>
      <c r="CR58" s="10"/>
      <c r="CS58" s="9"/>
      <c r="CT58" s="9"/>
      <c r="CV58" s="10"/>
      <c r="CW58" s="10"/>
      <c r="CX58" s="10"/>
      <c r="CY58" s="10"/>
      <c r="CZ58" s="10"/>
      <c r="DB58" s="19"/>
      <c r="DC58" s="19"/>
      <c r="DD58" s="10"/>
      <c r="DE58" s="10"/>
      <c r="DF58" s="10"/>
    </row>
    <row r="59" spans="2:110" x14ac:dyDescent="0.2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19"/>
      <c r="M59" s="27"/>
      <c r="N59" s="27"/>
      <c r="O59" s="27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D59" s="17"/>
      <c r="AE59" s="17"/>
      <c r="AF59" s="16"/>
      <c r="AG59" s="16"/>
      <c r="AH59" s="16"/>
      <c r="AI59" s="11"/>
      <c r="AJ59" s="17"/>
      <c r="AK59" s="17"/>
      <c r="AL59" s="16"/>
      <c r="AM59" s="16"/>
      <c r="AN59" s="17"/>
      <c r="AO59" s="17"/>
      <c r="AP59" s="17"/>
      <c r="AQ59" s="17"/>
      <c r="AR59" s="17"/>
      <c r="AS59" s="17"/>
      <c r="AT59" s="17"/>
      <c r="AU59" s="16"/>
      <c r="AV59" s="16"/>
      <c r="AW59" s="16"/>
      <c r="AX59" s="16"/>
      <c r="BB59" s="12"/>
      <c r="BC59" s="12"/>
      <c r="BD59" s="5"/>
      <c r="BE59" s="12"/>
      <c r="BF59" s="12"/>
      <c r="BG59" s="5"/>
      <c r="BH59" s="5"/>
      <c r="CQ59" s="9"/>
      <c r="CR59" s="10"/>
      <c r="CS59" s="9"/>
      <c r="CT59" s="9"/>
      <c r="CV59" s="10"/>
      <c r="CW59" s="10"/>
      <c r="CX59" s="10"/>
      <c r="CY59" s="10"/>
      <c r="CZ59" s="10"/>
      <c r="DB59" s="19"/>
      <c r="DC59" s="19"/>
      <c r="DD59" s="10"/>
      <c r="DE59" s="10"/>
      <c r="DF59" s="10"/>
    </row>
    <row r="60" spans="2:110" x14ac:dyDescent="0.2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19"/>
      <c r="M60" s="27"/>
      <c r="N60" s="27"/>
      <c r="O60" s="27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D60" s="17"/>
      <c r="AE60" s="17"/>
      <c r="AF60" s="16"/>
      <c r="AG60" s="16"/>
      <c r="AH60" s="16"/>
      <c r="AI60" s="11"/>
      <c r="AJ60" s="17"/>
      <c r="AK60" s="17"/>
      <c r="AL60" s="16"/>
      <c r="AM60" s="16"/>
      <c r="AN60" s="17"/>
      <c r="AO60" s="17"/>
      <c r="AP60" s="17"/>
      <c r="AQ60" s="17"/>
      <c r="AR60" s="17"/>
      <c r="AS60" s="17"/>
      <c r="AT60" s="17"/>
      <c r="AU60" s="16"/>
      <c r="AV60" s="16"/>
      <c r="AW60" s="16"/>
      <c r="AX60" s="16"/>
      <c r="BB60" s="12"/>
      <c r="BC60" s="12"/>
      <c r="BD60" s="5"/>
      <c r="BE60" s="12"/>
      <c r="BF60" s="12"/>
      <c r="BG60" s="5"/>
      <c r="BH60" s="5"/>
      <c r="CQ60" s="9"/>
      <c r="CR60" s="10"/>
      <c r="CS60" s="9"/>
      <c r="CT60" s="9"/>
      <c r="CV60" s="10"/>
      <c r="CW60" s="10"/>
      <c r="CX60" s="10"/>
      <c r="CY60" s="10"/>
      <c r="CZ60" s="10"/>
      <c r="DB60" s="19"/>
      <c r="DC60" s="19"/>
      <c r="DD60" s="10"/>
      <c r="DE60" s="10"/>
      <c r="DF60" s="10"/>
    </row>
    <row r="61" spans="2:110" x14ac:dyDescent="0.2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19"/>
      <c r="M61" s="27"/>
      <c r="N61" s="27"/>
      <c r="O61" s="27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D61" s="17"/>
      <c r="AE61" s="17"/>
      <c r="AF61" s="16"/>
      <c r="AG61" s="16"/>
      <c r="AH61" s="16"/>
      <c r="AI61" s="11"/>
      <c r="AJ61" s="17"/>
      <c r="AK61" s="17"/>
      <c r="AL61" s="16"/>
      <c r="AM61" s="16"/>
      <c r="AN61" s="17"/>
      <c r="AO61" s="17"/>
      <c r="AP61" s="17"/>
      <c r="AQ61" s="17"/>
      <c r="AR61" s="17"/>
      <c r="AS61" s="17"/>
      <c r="AT61" s="17"/>
      <c r="AU61" s="16"/>
      <c r="AV61" s="16"/>
      <c r="AW61" s="16"/>
      <c r="AX61" s="16"/>
      <c r="BB61" s="12"/>
      <c r="BC61" s="12"/>
      <c r="BD61" s="5"/>
      <c r="BE61" s="12"/>
      <c r="BF61" s="12"/>
      <c r="BG61" s="5"/>
      <c r="BH61" s="5"/>
      <c r="CQ61" s="9"/>
      <c r="CR61" s="10"/>
      <c r="CS61" s="9"/>
      <c r="CT61" s="9"/>
      <c r="CV61" s="10"/>
      <c r="CW61" s="10"/>
      <c r="CX61" s="10"/>
      <c r="CY61" s="10"/>
      <c r="CZ61" s="10"/>
      <c r="DB61" s="19"/>
      <c r="DC61" s="19"/>
      <c r="DD61" s="10"/>
      <c r="DE61" s="10"/>
      <c r="DF61" s="10"/>
    </row>
    <row r="62" spans="2:110" x14ac:dyDescent="0.2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19"/>
      <c r="M62" s="27"/>
      <c r="N62" s="27"/>
      <c r="O62" s="27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D62" s="17"/>
      <c r="AE62" s="17"/>
      <c r="AF62" s="16"/>
      <c r="AG62" s="16"/>
      <c r="AH62" s="16"/>
      <c r="AI62" s="11"/>
      <c r="AJ62" s="17"/>
      <c r="AK62" s="17"/>
      <c r="AL62" s="16"/>
      <c r="AM62" s="16"/>
      <c r="AN62" s="17"/>
      <c r="AO62" s="17"/>
      <c r="AP62" s="17"/>
      <c r="AQ62" s="17"/>
      <c r="AR62" s="17"/>
      <c r="AS62" s="17"/>
      <c r="AT62" s="17"/>
      <c r="AU62" s="16"/>
      <c r="AV62" s="16"/>
      <c r="AW62" s="16"/>
      <c r="AX62" s="16"/>
      <c r="BB62" s="12"/>
      <c r="BC62" s="12"/>
      <c r="BD62" s="5"/>
      <c r="BE62" s="12"/>
      <c r="BF62" s="12"/>
      <c r="BG62" s="5"/>
      <c r="BH62" s="5"/>
      <c r="CQ62" s="9"/>
      <c r="CR62" s="10"/>
      <c r="CS62" s="9"/>
      <c r="CT62" s="9"/>
      <c r="CV62" s="10"/>
      <c r="CW62" s="10"/>
      <c r="CX62" s="10"/>
      <c r="CY62" s="10"/>
      <c r="CZ62" s="10"/>
      <c r="DB62" s="19"/>
      <c r="DC62" s="19"/>
      <c r="DD62" s="10"/>
      <c r="DE62" s="10"/>
      <c r="DF62" s="10"/>
    </row>
    <row r="63" spans="2:110" x14ac:dyDescent="0.2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19"/>
      <c r="M63" s="27"/>
      <c r="N63" s="27"/>
      <c r="O63" s="27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D63" s="17"/>
      <c r="AE63" s="17"/>
      <c r="AF63" s="16"/>
      <c r="AG63" s="16"/>
      <c r="AH63" s="16"/>
      <c r="AI63" s="11"/>
      <c r="AJ63" s="17"/>
      <c r="AK63" s="17"/>
      <c r="AL63" s="16"/>
      <c r="AM63" s="16"/>
      <c r="AN63" s="17"/>
      <c r="AO63" s="17"/>
      <c r="AP63" s="17"/>
      <c r="AQ63" s="17"/>
      <c r="AR63" s="17"/>
      <c r="AS63" s="17"/>
      <c r="AT63" s="17"/>
      <c r="AU63" s="16"/>
      <c r="AV63" s="16"/>
      <c r="AW63" s="16"/>
      <c r="AX63" s="16"/>
      <c r="BB63" s="12"/>
      <c r="BC63" s="12"/>
      <c r="BD63" s="5"/>
      <c r="BE63" s="12"/>
      <c r="BF63" s="12"/>
      <c r="BG63" s="5"/>
      <c r="BH63" s="5"/>
      <c r="CQ63" s="9"/>
      <c r="CR63" s="10"/>
      <c r="CS63" s="9"/>
      <c r="CT63" s="9"/>
      <c r="CV63" s="10"/>
      <c r="CW63" s="10"/>
      <c r="CX63" s="10"/>
      <c r="CY63" s="10"/>
      <c r="CZ63" s="10"/>
      <c r="DB63" s="19"/>
      <c r="DC63" s="19"/>
      <c r="DD63" s="10"/>
      <c r="DE63" s="10"/>
      <c r="DF63" s="10"/>
    </row>
    <row r="64" spans="2:110" x14ac:dyDescent="0.2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19"/>
      <c r="M64" s="27"/>
      <c r="N64" s="27"/>
      <c r="O64" s="27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D64" s="17"/>
      <c r="AE64" s="17"/>
      <c r="AF64" s="16"/>
      <c r="AG64" s="16"/>
      <c r="AH64" s="16"/>
      <c r="AI64" s="11"/>
      <c r="AJ64" s="17"/>
      <c r="AK64" s="17"/>
      <c r="AL64" s="16"/>
      <c r="AM64" s="16"/>
      <c r="AN64" s="17"/>
      <c r="AO64" s="17"/>
      <c r="AP64" s="17"/>
      <c r="AQ64" s="17"/>
      <c r="AR64" s="17"/>
      <c r="AS64" s="17"/>
      <c r="AT64" s="17"/>
      <c r="AU64" s="16"/>
      <c r="AV64" s="16"/>
      <c r="AW64" s="16"/>
      <c r="AX64" s="16"/>
      <c r="BB64" s="12"/>
      <c r="BC64" s="12"/>
      <c r="BD64" s="5"/>
      <c r="BE64" s="12"/>
      <c r="BF64" s="12"/>
      <c r="BG64" s="5"/>
      <c r="BH64" s="5"/>
      <c r="CQ64" s="9"/>
      <c r="CR64" s="10"/>
      <c r="CS64" s="9"/>
      <c r="CT64" s="9"/>
      <c r="CV64" s="10"/>
      <c r="CW64" s="10"/>
      <c r="CX64" s="10"/>
      <c r="CY64" s="10"/>
      <c r="CZ64" s="10"/>
      <c r="DB64" s="19"/>
      <c r="DC64" s="19"/>
      <c r="DD64" s="10"/>
      <c r="DE64" s="10"/>
      <c r="DF64" s="10"/>
    </row>
    <row r="65" spans="2:110" x14ac:dyDescent="0.2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19"/>
      <c r="M65" s="27"/>
      <c r="N65" s="27"/>
      <c r="O65" s="27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D65" s="17"/>
      <c r="AE65" s="17"/>
      <c r="AF65" s="16"/>
      <c r="AG65" s="16"/>
      <c r="AH65" s="16"/>
      <c r="AI65" s="11"/>
      <c r="AJ65" s="17"/>
      <c r="AK65" s="17"/>
      <c r="AL65" s="16"/>
      <c r="AM65" s="16"/>
      <c r="AN65" s="17"/>
      <c r="AO65" s="17"/>
      <c r="AP65" s="17"/>
      <c r="AQ65" s="17"/>
      <c r="AR65" s="17"/>
      <c r="AS65" s="17"/>
      <c r="AT65" s="17"/>
      <c r="AU65" s="16"/>
      <c r="AV65" s="16"/>
      <c r="AW65" s="16"/>
      <c r="AX65" s="16"/>
      <c r="BB65" s="12"/>
      <c r="BC65" s="12"/>
      <c r="BD65" s="5"/>
      <c r="BE65" s="12"/>
      <c r="BF65" s="12"/>
      <c r="BG65" s="5"/>
      <c r="BH65" s="5"/>
      <c r="CQ65" s="9"/>
      <c r="CR65" s="10"/>
      <c r="CS65" s="9"/>
      <c r="CT65" s="9"/>
      <c r="CV65" s="10"/>
      <c r="CW65" s="10"/>
      <c r="CX65" s="10"/>
      <c r="CY65" s="10"/>
      <c r="CZ65" s="10"/>
      <c r="DB65" s="19"/>
      <c r="DC65" s="19"/>
      <c r="DD65" s="10"/>
      <c r="DE65" s="10"/>
      <c r="DF65" s="10"/>
    </row>
    <row r="66" spans="2:110" x14ac:dyDescent="0.2">
      <c r="BB66" s="5"/>
      <c r="BC66" s="5"/>
      <c r="BD66" s="5"/>
      <c r="BE66" s="5"/>
      <c r="BF66" s="5"/>
      <c r="BG66" s="5"/>
      <c r="BH66" s="5"/>
      <c r="CQ66" s="8"/>
      <c r="CS66" s="8"/>
      <c r="CT66" s="8"/>
    </row>
    <row r="67" spans="2:110" x14ac:dyDescent="0.2">
      <c r="BB67" s="5"/>
      <c r="BC67" s="5"/>
      <c r="BD67" s="5"/>
      <c r="BE67" s="5"/>
      <c r="BF67" s="5"/>
      <c r="BG67" s="5"/>
      <c r="BH67" s="5"/>
      <c r="CQ67" s="8"/>
      <c r="CS67" s="8"/>
      <c r="CT67" s="8"/>
    </row>
    <row r="68" spans="2:110" x14ac:dyDescent="0.2">
      <c r="BB68" s="5"/>
      <c r="BC68" s="5"/>
      <c r="BD68" s="5"/>
      <c r="BE68" s="5"/>
      <c r="BF68" s="5"/>
      <c r="BG68" s="5"/>
      <c r="BH68" s="5"/>
      <c r="CQ68" s="8"/>
      <c r="CS68" s="8"/>
      <c r="CT68" s="8"/>
    </row>
    <row r="69" spans="2:110" x14ac:dyDescent="0.2">
      <c r="BB69" s="5"/>
      <c r="BC69" s="5"/>
      <c r="BD69" s="5"/>
      <c r="BE69" s="5"/>
      <c r="BF69" s="5"/>
      <c r="BG69" s="5"/>
      <c r="BH69" s="5"/>
      <c r="CQ69" s="8"/>
      <c r="CS69" s="8"/>
      <c r="CT69" s="8"/>
    </row>
    <row r="70" spans="2:110" x14ac:dyDescent="0.2">
      <c r="BB70" s="5"/>
      <c r="BC70" s="5"/>
      <c r="BD70" s="5"/>
      <c r="BE70" s="5"/>
      <c r="BF70" s="5"/>
      <c r="BG70" s="5"/>
      <c r="BH70" s="5"/>
      <c r="CQ70" s="8"/>
      <c r="CS70" s="8"/>
      <c r="CT70" s="8"/>
    </row>
    <row r="71" spans="2:110" x14ac:dyDescent="0.2">
      <c r="BB71" s="5"/>
      <c r="BC71" s="5"/>
      <c r="BD71" s="5"/>
      <c r="BE71" s="5"/>
      <c r="BF71" s="5"/>
      <c r="BG71" s="5"/>
      <c r="BH71" s="5"/>
      <c r="CQ71" s="8"/>
      <c r="CS71" s="8"/>
      <c r="CT71" s="8"/>
    </row>
    <row r="72" spans="2:110" x14ac:dyDescent="0.2">
      <c r="BB72" s="5"/>
      <c r="BC72" s="5"/>
      <c r="BD72" s="5"/>
      <c r="BE72" s="5"/>
      <c r="BF72" s="5"/>
      <c r="BG72" s="5"/>
      <c r="BH72" s="5"/>
      <c r="CQ72" s="8"/>
      <c r="CS72" s="8"/>
      <c r="CT72" s="8"/>
    </row>
    <row r="73" spans="2:110" x14ac:dyDescent="0.2">
      <c r="BB73" s="5"/>
      <c r="BC73" s="5"/>
      <c r="BD73" s="5"/>
      <c r="BE73" s="5"/>
      <c r="BF73" s="5"/>
      <c r="BG73" s="5"/>
      <c r="BH73" s="5"/>
      <c r="CQ73" s="8"/>
      <c r="CS73" s="8"/>
      <c r="CT73" s="8"/>
    </row>
    <row r="74" spans="2:110" x14ac:dyDescent="0.2">
      <c r="BB74" s="5"/>
      <c r="BC74" s="5"/>
      <c r="BD74" s="5"/>
      <c r="BE74" s="5"/>
      <c r="BF74" s="5"/>
      <c r="BG74" s="5"/>
      <c r="BH74" s="5"/>
      <c r="CQ74" s="8"/>
      <c r="CS74" s="8"/>
      <c r="CT74" s="8"/>
    </row>
    <row r="75" spans="2:110" x14ac:dyDescent="0.2">
      <c r="BB75" s="5"/>
      <c r="BC75" s="5"/>
      <c r="BD75" s="5"/>
      <c r="BE75" s="5"/>
      <c r="BF75" s="5"/>
      <c r="BG75" s="5"/>
      <c r="BH75" s="5"/>
      <c r="CQ75" s="8"/>
      <c r="CS75" s="8"/>
      <c r="CT75" s="8"/>
    </row>
    <row r="76" spans="2:110" x14ac:dyDescent="0.2">
      <c r="BB76" s="5"/>
      <c r="BC76" s="5"/>
      <c r="BD76" s="5"/>
      <c r="BE76" s="5"/>
      <c r="BF76" s="5"/>
      <c r="BG76" s="5"/>
      <c r="BH76" s="5"/>
      <c r="CQ76" s="8"/>
      <c r="CS76" s="8"/>
      <c r="CT76" s="8"/>
    </row>
    <row r="77" spans="2:110" x14ac:dyDescent="0.2">
      <c r="BB77" s="5"/>
      <c r="BC77" s="5"/>
      <c r="BD77" s="5"/>
      <c r="BE77" s="5"/>
      <c r="BF77" s="5"/>
      <c r="BG77" s="5"/>
      <c r="BH77" s="5"/>
      <c r="CQ77" s="8"/>
      <c r="CS77" s="8"/>
      <c r="CT77" s="8"/>
    </row>
    <row r="78" spans="2:110" x14ac:dyDescent="0.2">
      <c r="BB78" s="5"/>
      <c r="BC78" s="5"/>
      <c r="BD78" s="5"/>
      <c r="BE78" s="5"/>
      <c r="BF78" s="5"/>
      <c r="BG78" s="5"/>
      <c r="BH78" s="5"/>
      <c r="CQ78" s="8"/>
      <c r="CS78" s="8"/>
      <c r="CT78" s="8"/>
    </row>
    <row r="79" spans="2:110" x14ac:dyDescent="0.2">
      <c r="BB79" s="5"/>
      <c r="BC79" s="5"/>
      <c r="BD79" s="5"/>
      <c r="BE79" s="5"/>
      <c r="BF79" s="5"/>
      <c r="BG79" s="5"/>
      <c r="BH79" s="5"/>
      <c r="CQ79" s="8"/>
      <c r="CS79" s="8"/>
      <c r="CT79" s="8"/>
    </row>
    <row r="80" spans="2:110" x14ac:dyDescent="0.2">
      <c r="BB80" s="5"/>
      <c r="BC80" s="5"/>
      <c r="BD80" s="5"/>
      <c r="BE80" s="5"/>
      <c r="BF80" s="5"/>
      <c r="BG80" s="5"/>
      <c r="BH80" s="5"/>
      <c r="CQ80" s="8"/>
      <c r="CS80" s="8"/>
      <c r="CT80" s="8"/>
    </row>
    <row r="81" spans="54:98" x14ac:dyDescent="0.2">
      <c r="BB81" s="5"/>
      <c r="BC81" s="5"/>
      <c r="BD81" s="5"/>
      <c r="BE81" s="5"/>
      <c r="BF81" s="5"/>
      <c r="BG81" s="5"/>
      <c r="BH81" s="5"/>
      <c r="CQ81" s="8"/>
      <c r="CS81" s="8"/>
      <c r="CT81" s="8"/>
    </row>
    <row r="82" spans="54:98" x14ac:dyDescent="0.2">
      <c r="BB82" s="5"/>
      <c r="BC82" s="5"/>
      <c r="BD82" s="5"/>
      <c r="BE82" s="5"/>
      <c r="BF82" s="5"/>
      <c r="BG82" s="5"/>
      <c r="BH82" s="5"/>
      <c r="CQ82" s="8"/>
      <c r="CS82" s="8"/>
      <c r="CT82" s="8"/>
    </row>
    <row r="83" spans="54:98" x14ac:dyDescent="0.2">
      <c r="BB83" s="5"/>
      <c r="BC83" s="5"/>
      <c r="BD83" s="5"/>
      <c r="BE83" s="5"/>
      <c r="BF83" s="5"/>
      <c r="BG83" s="5"/>
      <c r="BH83" s="5"/>
      <c r="CQ83" s="8"/>
      <c r="CS83" s="8"/>
      <c r="CT83" s="8"/>
    </row>
    <row r="84" spans="54:98" x14ac:dyDescent="0.2">
      <c r="BB84" s="5"/>
      <c r="BC84" s="5"/>
      <c r="BD84" s="5"/>
      <c r="BE84" s="5"/>
      <c r="BF84" s="5"/>
      <c r="BG84" s="5"/>
      <c r="BH84" s="5"/>
      <c r="CQ84" s="8"/>
      <c r="CS84" s="8"/>
      <c r="CT84" s="8"/>
    </row>
    <row r="85" spans="54:98" x14ac:dyDescent="0.2">
      <c r="BB85" s="5"/>
      <c r="BC85" s="5"/>
      <c r="BD85" s="5"/>
      <c r="BE85" s="5"/>
      <c r="BF85" s="5"/>
      <c r="BG85" s="5"/>
      <c r="BH85" s="5"/>
      <c r="CQ85" s="8"/>
      <c r="CS85" s="8"/>
      <c r="CT85" s="8"/>
    </row>
    <row r="86" spans="54:98" x14ac:dyDescent="0.2">
      <c r="BB86" s="5"/>
      <c r="BC86" s="5"/>
      <c r="BD86" s="5"/>
      <c r="BE86" s="5"/>
      <c r="BF86" s="5"/>
      <c r="BG86" s="5"/>
      <c r="BH86" s="5"/>
      <c r="CQ86" s="8"/>
      <c r="CS86" s="8"/>
      <c r="CT86" s="8"/>
    </row>
    <row r="87" spans="54:98" x14ac:dyDescent="0.2">
      <c r="BB87" s="5"/>
      <c r="BC87" s="5"/>
      <c r="BD87" s="5"/>
      <c r="BE87" s="5"/>
      <c r="BF87" s="5"/>
      <c r="BG87" s="5"/>
      <c r="BH87" s="5"/>
      <c r="CQ87" s="8"/>
      <c r="CS87" s="8"/>
      <c r="CT87" s="8"/>
    </row>
    <row r="88" spans="54:98" x14ac:dyDescent="0.2">
      <c r="BB88" s="5"/>
      <c r="BC88" s="5"/>
      <c r="BD88" s="5"/>
      <c r="BE88" s="5"/>
      <c r="BF88" s="5"/>
      <c r="BG88" s="5"/>
      <c r="BH88" s="5"/>
      <c r="CQ88" s="8"/>
      <c r="CS88" s="8"/>
      <c r="CT88" s="8"/>
    </row>
    <row r="89" spans="54:98" x14ac:dyDescent="0.2">
      <c r="BB89" s="5"/>
      <c r="BC89" s="5"/>
      <c r="BD89" s="5"/>
      <c r="BE89" s="5"/>
      <c r="BF89" s="5"/>
      <c r="BG89" s="5"/>
      <c r="BH89" s="5"/>
      <c r="CQ89" s="8"/>
      <c r="CS89" s="8"/>
      <c r="CT89" s="8"/>
    </row>
    <row r="90" spans="54:98" x14ac:dyDescent="0.2">
      <c r="BB90" s="5"/>
      <c r="BC90" s="5"/>
      <c r="BD90" s="5"/>
      <c r="BE90" s="5"/>
      <c r="BF90" s="5"/>
      <c r="BG90" s="5"/>
      <c r="BH90" s="5"/>
      <c r="CQ90" s="8"/>
      <c r="CS90" s="8"/>
      <c r="CT90" s="8"/>
    </row>
    <row r="91" spans="54:98" x14ac:dyDescent="0.2">
      <c r="BB91" s="5"/>
      <c r="BC91" s="5"/>
      <c r="BD91" s="5"/>
      <c r="BE91" s="5"/>
      <c r="BF91" s="5"/>
      <c r="BG91" s="5"/>
      <c r="BH91" s="5"/>
      <c r="CQ91" s="8"/>
      <c r="CS91" s="8"/>
      <c r="CT91" s="8"/>
    </row>
    <row r="92" spans="54:98" x14ac:dyDescent="0.2">
      <c r="BB92" s="5"/>
      <c r="BC92" s="5"/>
      <c r="BD92" s="5"/>
      <c r="BE92" s="5"/>
      <c r="BF92" s="5"/>
      <c r="BG92" s="5"/>
      <c r="BH92" s="5"/>
      <c r="CQ92" s="8"/>
      <c r="CS92" s="8"/>
      <c r="CT92" s="8"/>
    </row>
    <row r="93" spans="54:98" x14ac:dyDescent="0.2">
      <c r="BB93" s="5"/>
      <c r="BC93" s="5"/>
      <c r="BD93" s="5"/>
      <c r="BE93" s="5"/>
      <c r="BF93" s="5"/>
      <c r="BG93" s="5"/>
      <c r="BH93" s="5"/>
      <c r="CQ93" s="8"/>
      <c r="CS93" s="8"/>
      <c r="CT93" s="8"/>
    </row>
    <row r="94" spans="54:98" x14ac:dyDescent="0.2">
      <c r="BB94" s="5"/>
      <c r="BC94" s="5"/>
      <c r="BD94" s="5"/>
      <c r="BE94" s="5"/>
      <c r="BF94" s="5"/>
      <c r="BG94" s="5"/>
      <c r="BH94" s="5"/>
      <c r="CQ94" s="8"/>
      <c r="CS94" s="8"/>
      <c r="CT94" s="8"/>
    </row>
    <row r="95" spans="54:98" x14ac:dyDescent="0.2">
      <c r="BB95" s="5"/>
      <c r="BC95" s="5"/>
      <c r="BD95" s="5"/>
      <c r="BE95" s="5"/>
      <c r="BF95" s="5"/>
      <c r="BG95" s="5"/>
      <c r="BH95" s="5"/>
      <c r="CQ95" s="8"/>
      <c r="CS95" s="8"/>
      <c r="CT95" s="8"/>
    </row>
    <row r="96" spans="54:98" x14ac:dyDescent="0.2">
      <c r="BB96" s="5"/>
      <c r="BC96" s="5"/>
      <c r="BD96" s="5"/>
      <c r="BE96" s="5"/>
      <c r="BF96" s="5"/>
      <c r="BG96" s="5"/>
      <c r="BH96" s="5"/>
      <c r="CQ96" s="8"/>
      <c r="CS96" s="8"/>
      <c r="CT96" s="8"/>
    </row>
    <row r="97" spans="54:98" x14ac:dyDescent="0.2">
      <c r="BB97" s="5"/>
      <c r="BC97" s="5"/>
      <c r="BD97" s="5"/>
      <c r="BE97" s="5"/>
      <c r="BF97" s="5"/>
      <c r="BG97" s="5"/>
      <c r="BH97" s="5"/>
      <c r="CQ97" s="8"/>
      <c r="CS97" s="8"/>
      <c r="CT97" s="8"/>
    </row>
    <row r="98" spans="54:98" x14ac:dyDescent="0.2">
      <c r="BB98" s="5"/>
      <c r="BC98" s="5"/>
      <c r="BD98" s="5"/>
      <c r="BE98" s="5"/>
      <c r="BF98" s="5"/>
      <c r="BG98" s="5"/>
      <c r="BH98" s="5"/>
      <c r="CQ98" s="8"/>
      <c r="CS98" s="8"/>
      <c r="CT98" s="8"/>
    </row>
    <row r="99" spans="54:98" x14ac:dyDescent="0.2">
      <c r="BB99" s="5"/>
      <c r="BC99" s="5"/>
      <c r="BD99" s="5"/>
      <c r="BE99" s="5"/>
      <c r="BF99" s="5"/>
      <c r="BG99" s="5"/>
      <c r="BH99" s="5"/>
      <c r="CQ99" s="8"/>
      <c r="CS99" s="8"/>
      <c r="CT99" s="8"/>
    </row>
    <row r="100" spans="54:98" x14ac:dyDescent="0.2">
      <c r="BB100" s="5"/>
      <c r="BC100" s="5"/>
      <c r="BD100" s="5"/>
      <c r="BE100" s="5"/>
      <c r="BF100" s="5"/>
      <c r="BG100" s="5"/>
      <c r="BH100" s="5"/>
      <c r="CQ100" s="8"/>
      <c r="CS100" s="8"/>
      <c r="CT100" s="8"/>
    </row>
    <row r="101" spans="54:98" x14ac:dyDescent="0.2">
      <c r="BB101" s="5"/>
      <c r="BC101" s="5"/>
      <c r="BD101" s="5"/>
      <c r="BE101" s="5"/>
      <c r="BF101" s="5"/>
      <c r="BG101" s="5"/>
      <c r="BH101" s="5"/>
      <c r="CQ101" s="8"/>
      <c r="CS101" s="8"/>
      <c r="CT101" s="8"/>
    </row>
    <row r="102" spans="54:98" x14ac:dyDescent="0.2">
      <c r="BB102" s="5"/>
      <c r="BC102" s="5"/>
      <c r="BD102" s="5"/>
      <c r="BE102" s="5"/>
      <c r="BF102" s="5"/>
      <c r="BG102" s="5"/>
      <c r="BH102" s="5"/>
      <c r="CQ102" s="8"/>
      <c r="CS102" s="8"/>
      <c r="CT102" s="8"/>
    </row>
    <row r="103" spans="54:98" x14ac:dyDescent="0.2">
      <c r="BB103" s="5"/>
      <c r="BC103" s="5"/>
      <c r="BD103" s="5"/>
      <c r="BE103" s="5"/>
      <c r="BF103" s="5"/>
      <c r="BG103" s="5"/>
      <c r="BH103" s="5"/>
      <c r="CQ103" s="8"/>
      <c r="CS103" s="8"/>
      <c r="CT103" s="8"/>
    </row>
    <row r="104" spans="54:98" x14ac:dyDescent="0.2">
      <c r="BB104" s="5"/>
      <c r="BC104" s="5"/>
      <c r="BD104" s="5"/>
      <c r="BE104" s="5"/>
      <c r="BF104" s="5"/>
      <c r="BG104" s="5"/>
      <c r="BH104" s="5"/>
    </row>
    <row r="105" spans="54:98" x14ac:dyDescent="0.2">
      <c r="BB105" s="5"/>
      <c r="BC105" s="5"/>
      <c r="BD105" s="5"/>
      <c r="BE105" s="5"/>
      <c r="BF105" s="5"/>
      <c r="BG105" s="5"/>
      <c r="BH105" s="5"/>
    </row>
    <row r="106" spans="54:98" x14ac:dyDescent="0.2">
      <c r="BB106" s="5"/>
      <c r="BC106" s="5"/>
      <c r="BD106" s="5"/>
      <c r="BE106" s="5"/>
      <c r="BF106" s="5"/>
      <c r="BG106" s="5"/>
      <c r="BH106" s="5"/>
    </row>
    <row r="107" spans="54:98" x14ac:dyDescent="0.2">
      <c r="BH107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58"/>
  <sheetViews>
    <sheetView zoomScaleNormal="100" workbookViewId="0">
      <selection activeCell="B17" sqref="B17"/>
    </sheetView>
  </sheetViews>
  <sheetFormatPr baseColWidth="10" defaultRowHeight="16" x14ac:dyDescent="0.2"/>
  <cols>
    <col min="1" max="1" width="78.33203125" style="22" bestFit="1" customWidth="1"/>
    <col min="2" max="2" width="9.6640625" style="22" customWidth="1"/>
    <col min="3" max="3" width="9.33203125" style="22" customWidth="1"/>
    <col min="4" max="4" width="14.5" style="22" bestFit="1" customWidth="1"/>
    <col min="5" max="5" width="13.1640625" style="22" customWidth="1"/>
    <col min="6" max="6" width="18.1640625" style="22" customWidth="1"/>
    <col min="7" max="7" width="10.33203125" style="22" bestFit="1" customWidth="1"/>
    <col min="8" max="8" width="18.1640625" style="22" bestFit="1" customWidth="1"/>
    <col min="9" max="9" width="9.6640625" style="22" customWidth="1"/>
    <col min="10" max="10" width="12.5" style="22" customWidth="1"/>
    <col min="11" max="11" width="8.5" style="22" customWidth="1"/>
    <col min="12" max="12" width="11.33203125" style="22" customWidth="1"/>
    <col min="13" max="13" width="10.5" style="22" customWidth="1"/>
    <col min="14" max="14" width="15.33203125" style="22" customWidth="1"/>
    <col min="15" max="15" width="10.6640625" style="22" customWidth="1"/>
    <col min="16" max="16" width="12.83203125" style="22" bestFit="1" customWidth="1"/>
    <col min="17" max="17" width="4.6640625" style="22" bestFit="1" customWidth="1"/>
    <col min="18" max="18" width="8.6640625" style="22" bestFit="1" customWidth="1"/>
    <col min="19" max="19" width="9.83203125" style="22" bestFit="1" customWidth="1"/>
    <col min="20" max="20" width="15.83203125" style="22" bestFit="1" customWidth="1"/>
    <col min="21" max="21" width="3.5" customWidth="1"/>
    <col min="22" max="22" width="11.6640625" bestFit="1" customWidth="1"/>
    <col min="24" max="24" width="12.33203125" bestFit="1" customWidth="1"/>
    <col min="25" max="25" width="2.83203125" customWidth="1"/>
  </cols>
  <sheetData>
    <row r="1" spans="1:45" x14ac:dyDescent="0.2">
      <c r="A1" s="21" t="s">
        <v>117</v>
      </c>
      <c r="V1" s="28" t="s">
        <v>118</v>
      </c>
      <c r="Z1" s="21" t="s">
        <v>119</v>
      </c>
    </row>
    <row r="2" spans="1:45" ht="32" customHeight="1" x14ac:dyDescent="0.2">
      <c r="A2" s="23" t="s">
        <v>68</v>
      </c>
      <c r="B2" s="23" t="s">
        <v>72</v>
      </c>
      <c r="C2" s="23" t="s">
        <v>73</v>
      </c>
      <c r="D2" s="23" t="s">
        <v>74</v>
      </c>
      <c r="E2" s="23" t="s">
        <v>75</v>
      </c>
      <c r="F2" s="23" t="s">
        <v>76</v>
      </c>
      <c r="G2" s="23" t="s">
        <v>77</v>
      </c>
      <c r="H2" s="23" t="s">
        <v>78</v>
      </c>
      <c r="I2" s="23" t="s">
        <v>79</v>
      </c>
      <c r="J2" s="23" t="s">
        <v>80</v>
      </c>
      <c r="K2" s="23" t="s">
        <v>81</v>
      </c>
      <c r="L2" s="23" t="s">
        <v>82</v>
      </c>
      <c r="M2" s="23" t="s">
        <v>83</v>
      </c>
      <c r="N2" s="23" t="s">
        <v>84</v>
      </c>
      <c r="O2" s="24" t="s">
        <v>86</v>
      </c>
      <c r="P2" s="24" t="s">
        <v>87</v>
      </c>
      <c r="Q2" s="24" t="s">
        <v>85</v>
      </c>
      <c r="R2" s="25" t="s">
        <v>70</v>
      </c>
      <c r="S2" s="25" t="s">
        <v>120</v>
      </c>
      <c r="T2" s="25" t="s">
        <v>121</v>
      </c>
      <c r="V2" t="s">
        <v>122</v>
      </c>
      <c r="W2">
        <v>45.6</v>
      </c>
      <c r="X2" t="s">
        <v>123</v>
      </c>
      <c r="Z2" s="23" t="s">
        <v>68</v>
      </c>
      <c r="AA2" s="23" t="s">
        <v>72</v>
      </c>
      <c r="AB2" s="23" t="s">
        <v>73</v>
      </c>
      <c r="AC2" s="23" t="s">
        <v>74</v>
      </c>
      <c r="AD2" s="23" t="s">
        <v>75</v>
      </c>
      <c r="AE2" s="23" t="s">
        <v>76</v>
      </c>
      <c r="AF2" s="23" t="s">
        <v>77</v>
      </c>
      <c r="AG2" s="23" t="s">
        <v>78</v>
      </c>
      <c r="AH2" s="23" t="s">
        <v>79</v>
      </c>
      <c r="AI2" s="23" t="s">
        <v>80</v>
      </c>
      <c r="AJ2" s="23" t="s">
        <v>81</v>
      </c>
      <c r="AK2" s="23" t="s">
        <v>82</v>
      </c>
      <c r="AL2" s="23" t="s">
        <v>83</v>
      </c>
      <c r="AM2" s="23" t="s">
        <v>84</v>
      </c>
      <c r="AN2" s="24" t="s">
        <v>86</v>
      </c>
      <c r="AO2" s="24" t="s">
        <v>87</v>
      </c>
      <c r="AP2" s="24" t="s">
        <v>85</v>
      </c>
      <c r="AQ2" s="25" t="s">
        <v>70</v>
      </c>
      <c r="AR2" s="25" t="s">
        <v>120</v>
      </c>
      <c r="AS2" s="25" t="s">
        <v>121</v>
      </c>
    </row>
    <row r="3" spans="1:45" ht="32" customHeight="1" x14ac:dyDescent="0.2">
      <c r="A3" s="30" t="str">
        <f>lc_detailed!AZ3</f>
        <v>NCEN_Ethanol_Dehydration_NGfuel</v>
      </c>
      <c r="B3" s="31">
        <f>lc_detailed!BH3/$W$2</f>
        <v>0</v>
      </c>
      <c r="C3" s="31">
        <f>lc_detailed!BI3/$W$2</f>
        <v>0.11573906528483473</v>
      </c>
      <c r="D3" s="31">
        <f>lc_detailed!BJ3/$W$2</f>
        <v>0.88598405432325578</v>
      </c>
      <c r="E3" s="31">
        <f>lc_detailed!BK3/$W$2</f>
        <v>0</v>
      </c>
      <c r="F3" s="31">
        <f>lc_detailed!BL3/$W$2</f>
        <v>14.806332180657467</v>
      </c>
      <c r="G3" s="31">
        <f>lc_detailed!BM3/$W$2</f>
        <v>0.53330915553326297</v>
      </c>
      <c r="H3" s="31">
        <f>lc_detailed!BN3/$W$2</f>
        <v>1.0723487242084466</v>
      </c>
      <c r="I3" s="31">
        <f>lc_detailed!BO3/$W$2</f>
        <v>0.25972008040490513</v>
      </c>
      <c r="J3" s="31">
        <f>lc_detailed!BP3/$W$2</f>
        <v>0.43754479358580839</v>
      </c>
      <c r="K3" s="31">
        <f>lc_detailed!BQ3/$W$2</f>
        <v>0.24969769997021227</v>
      </c>
      <c r="L3" s="31">
        <f>lc_detailed!BR3/$W$2</f>
        <v>2.105100170724719</v>
      </c>
      <c r="M3" s="31">
        <f>lc_detailed!BS3/$W$2</f>
        <v>3.4649122793943513E-2</v>
      </c>
      <c r="N3" s="31">
        <f>lc_detailed!BT3/$W$2</f>
        <v>7.6687248223431057</v>
      </c>
      <c r="O3" s="31">
        <f>lc_detailed!CB3/$W$2</f>
        <v>-4.292533476043304</v>
      </c>
      <c r="P3" s="31">
        <f>lc_detailed!CC3/$W$2</f>
        <v>0</v>
      </c>
      <c r="Q3" s="31">
        <f>lc_detailed!CA3</f>
        <v>0</v>
      </c>
      <c r="R3" s="32">
        <f>lc_detailed!BE3</f>
        <v>1088.7737075566715</v>
      </c>
      <c r="S3" s="32">
        <f t="shared" ref="S3:S10" si="0">R3/$W$2</f>
        <v>23.876616393786655</v>
      </c>
      <c r="T3" s="32">
        <f t="shared" ref="T3:T10" si="1">SUM(B3:P3)</f>
        <v>23.876616393786655</v>
      </c>
      <c r="Z3">
        <f t="array" ref="Z3:AS34">_xlfn._xlws.SORT(A3:T34, 18, 1)</f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ht="32" customHeight="1" x14ac:dyDescent="0.2">
      <c r="A4" s="30" t="str">
        <f>lc_detailed!AZ4</f>
        <v>NCEN_Ethanol_Dehydration_H2fuel</v>
      </c>
      <c r="B4" s="31">
        <f>lc_detailed!BH4/$W$2</f>
        <v>0.46149515530235591</v>
      </c>
      <c r="C4" s="31">
        <f>lc_detailed!BI4/$W$2</f>
        <v>0.11573906528483473</v>
      </c>
      <c r="D4" s="31">
        <f>lc_detailed!BJ4/$W$2</f>
        <v>0.88598405432325578</v>
      </c>
      <c r="E4" s="31">
        <f>lc_detailed!BK4/$W$2</f>
        <v>0</v>
      </c>
      <c r="F4" s="31">
        <f>lc_detailed!BL4/$W$2</f>
        <v>14.806332180657467</v>
      </c>
      <c r="G4" s="31">
        <f>lc_detailed!BM4/$W$2</f>
        <v>0</v>
      </c>
      <c r="H4" s="31">
        <f>lc_detailed!BN4/$W$2</f>
        <v>1.0723487242084466</v>
      </c>
      <c r="I4" s="31">
        <f>lc_detailed!BO4/$W$2</f>
        <v>0.25972008040490513</v>
      </c>
      <c r="J4" s="31">
        <f>lc_detailed!BP4/$W$2</f>
        <v>0.43754479358580839</v>
      </c>
      <c r="K4" s="31">
        <f>lc_detailed!BQ4/$W$2</f>
        <v>0.24969769997021227</v>
      </c>
      <c r="L4" s="31">
        <f>lc_detailed!BR4/$W$2</f>
        <v>2.105100170724719</v>
      </c>
      <c r="M4" s="31">
        <f>lc_detailed!BS4/$W$2</f>
        <v>3.4649122793943513E-2</v>
      </c>
      <c r="N4" s="31">
        <f>lc_detailed!BT4/$W$2</f>
        <v>7.6687248223431057</v>
      </c>
      <c r="O4" s="31">
        <f>lc_detailed!CB4/$W$2</f>
        <v>-4.292533476043304</v>
      </c>
      <c r="P4" s="31">
        <f>lc_detailed!CC4/$W$2</f>
        <v>0</v>
      </c>
      <c r="Q4" s="31">
        <f>lc_detailed!CA4</f>
        <v>0</v>
      </c>
      <c r="R4" s="32">
        <f>lc_detailed!BE4</f>
        <v>1085.4989891461423</v>
      </c>
      <c r="S4" s="32">
        <f t="shared" si="0"/>
        <v>23.80480239355575</v>
      </c>
      <c r="T4" s="32">
        <f t="shared" si="1"/>
        <v>23.804802393555747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ht="32" customHeight="1" x14ac:dyDescent="0.2">
      <c r="A5" s="30" t="str">
        <f>lc_detailed!AZ5</f>
        <v>CEN_Ethanol_Dehydration_NGfuel</v>
      </c>
      <c r="B5" s="31">
        <f>lc_detailed!BH5/$W$2</f>
        <v>0</v>
      </c>
      <c r="C5" s="31">
        <f>lc_detailed!BI5/$W$2</f>
        <v>0.11350808591599583</v>
      </c>
      <c r="D5" s="31">
        <f>lc_detailed!BJ5/$W$2</f>
        <v>0.86890587815645359</v>
      </c>
      <c r="E5" s="31">
        <f>lc_detailed!BK5/$W$2</f>
        <v>0</v>
      </c>
      <c r="F5" s="31">
        <f>lc_detailed!BL5/$W$2</f>
        <v>14.806332180657467</v>
      </c>
      <c r="G5" s="31">
        <f>lc_detailed!BM5/$W$2</f>
        <v>0.53662126992817305</v>
      </c>
      <c r="H5" s="31">
        <f>lc_detailed!BN5/$W$2</f>
        <v>1.0790085417063535</v>
      </c>
      <c r="I5" s="31">
        <f>lc_detailed!BO5/$W$2</f>
        <v>0.25972008040490513</v>
      </c>
      <c r="J5" s="31">
        <f>lc_detailed!BP5/$W$2</f>
        <v>0.43754479358580839</v>
      </c>
      <c r="K5" s="31">
        <f>lc_detailed!BQ5/$W$2</f>
        <v>0.24969769997021227</v>
      </c>
      <c r="L5" s="31">
        <f>lc_detailed!BR5/$W$2</f>
        <v>2.105100170724719</v>
      </c>
      <c r="M5" s="31">
        <f>lc_detailed!BS5/$W$2</f>
        <v>3.4649122793943513E-2</v>
      </c>
      <c r="N5" s="31">
        <f>lc_detailed!BT5/$W$2</f>
        <v>7.6687248223431057</v>
      </c>
      <c r="O5" s="31">
        <f>lc_detailed!CB5/$W$2</f>
        <v>-4.2860624469430757</v>
      </c>
      <c r="P5" s="31">
        <f>lc_detailed!CC5/$W$2</f>
        <v>0</v>
      </c>
      <c r="Q5" s="31">
        <f>lc_detailed!CA5</f>
        <v>0</v>
      </c>
      <c r="R5" s="32">
        <f>lc_detailed!BE5</f>
        <v>1088.6430090855295</v>
      </c>
      <c r="S5" s="32">
        <f t="shared" si="0"/>
        <v>23.873750199244068</v>
      </c>
      <c r="T5" s="32">
        <f t="shared" si="1"/>
        <v>23.873750199244057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ht="32" customHeight="1" x14ac:dyDescent="0.2">
      <c r="A6" s="30" t="str">
        <f>lc_detailed!AZ6</f>
        <v>CEN_Ethanol_Dehydration_H2fuel</v>
      </c>
      <c r="B6" s="31">
        <f>lc_detailed!BH6/$W$2</f>
        <v>0.46459247718319879</v>
      </c>
      <c r="C6" s="31">
        <f>lc_detailed!BI6/$W$2</f>
        <v>0.11350808591599583</v>
      </c>
      <c r="D6" s="31">
        <f>lc_detailed!BJ6/$W$2</f>
        <v>0.86890587815645359</v>
      </c>
      <c r="E6" s="31">
        <f>lc_detailed!BK6/$W$2</f>
        <v>0</v>
      </c>
      <c r="F6" s="31">
        <f>lc_detailed!BL6/$W$2</f>
        <v>14.806332180657467</v>
      </c>
      <c r="G6" s="31">
        <f>lc_detailed!BM6/$W$2</f>
        <v>0</v>
      </c>
      <c r="H6" s="31">
        <f>lc_detailed!BN6/$W$2</f>
        <v>1.0790085417063535</v>
      </c>
      <c r="I6" s="31">
        <f>lc_detailed!BO6/$W$2</f>
        <v>0.25972008040490513</v>
      </c>
      <c r="J6" s="31">
        <f>lc_detailed!BP6/$W$2</f>
        <v>0.43754479358580839</v>
      </c>
      <c r="K6" s="31">
        <f>lc_detailed!BQ6/$W$2</f>
        <v>0.24969769997021227</v>
      </c>
      <c r="L6" s="31">
        <f>lc_detailed!BR6/$W$2</f>
        <v>2.105100170724719</v>
      </c>
      <c r="M6" s="31">
        <f>lc_detailed!BS6/$W$2</f>
        <v>3.4649122793943513E-2</v>
      </c>
      <c r="N6" s="31">
        <f>lc_detailed!BT6/$W$2</f>
        <v>7.6687248223431057</v>
      </c>
      <c r="O6" s="31">
        <f>lc_detailed!CB6/$W$2</f>
        <v>-4.2860624469430757</v>
      </c>
      <c r="P6" s="31">
        <f>lc_detailed!CC6/$W$2</f>
        <v>0</v>
      </c>
      <c r="Q6" s="31">
        <f>lc_detailed!CA6</f>
        <v>0</v>
      </c>
      <c r="R6" s="32">
        <f>lc_detailed!BE6</f>
        <v>1085.3584961363583</v>
      </c>
      <c r="S6" s="32">
        <f t="shared" si="0"/>
        <v>23.801721406499084</v>
      </c>
      <c r="T6" s="32">
        <f t="shared" si="1"/>
        <v>23.801721406499084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ht="32" customHeight="1" x14ac:dyDescent="0.2">
      <c r="A7" s="30">
        <f>lc_detailed!AZ7</f>
        <v>0</v>
      </c>
      <c r="B7" s="31">
        <f>lc_detailed!BH7/$W$2</f>
        <v>0</v>
      </c>
      <c r="C7" s="31">
        <f>lc_detailed!BI7/$W$2</f>
        <v>0</v>
      </c>
      <c r="D7" s="31">
        <f>lc_detailed!BJ7/$W$2</f>
        <v>0</v>
      </c>
      <c r="E7" s="31">
        <f>lc_detailed!BK7/$W$2</f>
        <v>0</v>
      </c>
      <c r="F7" s="31">
        <f>lc_detailed!BL7/$W$2</f>
        <v>0</v>
      </c>
      <c r="G7" s="31">
        <f>lc_detailed!BM7/$W$2</f>
        <v>0</v>
      </c>
      <c r="H7" s="31">
        <f>lc_detailed!BN7/$W$2</f>
        <v>0</v>
      </c>
      <c r="I7" s="31">
        <f>lc_detailed!BO7/$W$2</f>
        <v>0</v>
      </c>
      <c r="J7" s="31">
        <f>lc_detailed!BP7/$W$2</f>
        <v>0</v>
      </c>
      <c r="K7" s="31">
        <f>lc_detailed!BQ7/$W$2</f>
        <v>0</v>
      </c>
      <c r="L7" s="31">
        <f>lc_detailed!BR7/$W$2</f>
        <v>0</v>
      </c>
      <c r="M7" s="31">
        <f>lc_detailed!BS7/$W$2</f>
        <v>0</v>
      </c>
      <c r="N7" s="31">
        <f>lc_detailed!BT7/$W$2</f>
        <v>0</v>
      </c>
      <c r="O7" s="31">
        <f>lc_detailed!CB7/$W$2</f>
        <v>0</v>
      </c>
      <c r="P7" s="31">
        <f>lc_detailed!CC7/$W$2</f>
        <v>0</v>
      </c>
      <c r="Q7" s="31">
        <f>lc_detailed!CA7</f>
        <v>0</v>
      </c>
      <c r="R7" s="32">
        <f>lc_detailed!BE7</f>
        <v>0</v>
      </c>
      <c r="S7" s="32">
        <f t="shared" si="0"/>
        <v>0</v>
      </c>
      <c r="T7" s="32">
        <f t="shared" si="1"/>
        <v>0</v>
      </c>
      <c r="Z7" t="str">
        <v>CEN_Ethanol_Dehydration_H2fuel</v>
      </c>
      <c r="AA7">
        <v>0.46459247718319879</v>
      </c>
      <c r="AB7">
        <v>0.11350808591599583</v>
      </c>
      <c r="AC7">
        <v>0.86890587815645359</v>
      </c>
      <c r="AD7">
        <v>0</v>
      </c>
      <c r="AE7">
        <v>14.806332180657467</v>
      </c>
      <c r="AF7">
        <v>0</v>
      </c>
      <c r="AG7">
        <v>1.0790085417063535</v>
      </c>
      <c r="AH7">
        <v>0.25972008040490513</v>
      </c>
      <c r="AI7">
        <v>0.43754479358580839</v>
      </c>
      <c r="AJ7">
        <v>0.24969769997021227</v>
      </c>
      <c r="AK7">
        <v>2.105100170724719</v>
      </c>
      <c r="AL7">
        <v>3.4649122793943513E-2</v>
      </c>
      <c r="AM7">
        <v>7.6687248223431057</v>
      </c>
      <c r="AN7">
        <v>-4.2860624469430757</v>
      </c>
      <c r="AO7">
        <v>0</v>
      </c>
      <c r="AP7">
        <v>0</v>
      </c>
      <c r="AQ7">
        <v>1085.3584961363583</v>
      </c>
      <c r="AR7">
        <v>23.801721406499084</v>
      </c>
      <c r="AS7">
        <v>23.801721406499084</v>
      </c>
    </row>
    <row r="8" spans="1:45" ht="32" customHeight="1" x14ac:dyDescent="0.2">
      <c r="A8" s="30">
        <f>lc_detailed!AZ8</f>
        <v>0</v>
      </c>
      <c r="B8" s="31">
        <f>lc_detailed!BH8/$W$2</f>
        <v>0</v>
      </c>
      <c r="C8" s="31">
        <f>lc_detailed!BI8/$W$2</f>
        <v>0</v>
      </c>
      <c r="D8" s="31">
        <f>lc_detailed!BJ8/$W$2</f>
        <v>0</v>
      </c>
      <c r="E8" s="31">
        <f>lc_detailed!BK8/$W$2</f>
        <v>0</v>
      </c>
      <c r="F8" s="31">
        <f>lc_detailed!BL8/$W$2</f>
        <v>0</v>
      </c>
      <c r="G8" s="31">
        <f>lc_detailed!BM8/$W$2</f>
        <v>0</v>
      </c>
      <c r="H8" s="31">
        <f>lc_detailed!BN8/$W$2</f>
        <v>0</v>
      </c>
      <c r="I8" s="31">
        <f>lc_detailed!BO8/$W$2</f>
        <v>0</v>
      </c>
      <c r="J8" s="31">
        <f>lc_detailed!BP8/$W$2</f>
        <v>0</v>
      </c>
      <c r="K8" s="31">
        <f>lc_detailed!BQ8/$W$2</f>
        <v>0</v>
      </c>
      <c r="L8" s="31">
        <f>lc_detailed!BR8/$W$2</f>
        <v>0</v>
      </c>
      <c r="M8" s="31">
        <f>lc_detailed!BS8/$W$2</f>
        <v>0</v>
      </c>
      <c r="N8" s="31">
        <f>lc_detailed!BT8/$W$2</f>
        <v>0</v>
      </c>
      <c r="O8" s="31">
        <f>lc_detailed!CB8/$W$2</f>
        <v>0</v>
      </c>
      <c r="P8" s="31">
        <f>lc_detailed!CC8/$W$2</f>
        <v>0</v>
      </c>
      <c r="Q8" s="31">
        <f>lc_detailed!CA8</f>
        <v>0</v>
      </c>
      <c r="R8" s="32">
        <f>lc_detailed!BE8</f>
        <v>0</v>
      </c>
      <c r="S8" s="32">
        <f t="shared" si="0"/>
        <v>0</v>
      </c>
      <c r="T8" s="32">
        <f t="shared" si="1"/>
        <v>0</v>
      </c>
      <c r="Z8" t="str">
        <v>NCEN_Ethanol_Dehydration_H2fuel</v>
      </c>
      <c r="AA8">
        <v>0.46149515530235591</v>
      </c>
      <c r="AB8">
        <v>0.11573906528483473</v>
      </c>
      <c r="AC8">
        <v>0.88598405432325578</v>
      </c>
      <c r="AD8">
        <v>0</v>
      </c>
      <c r="AE8">
        <v>14.806332180657467</v>
      </c>
      <c r="AF8">
        <v>0</v>
      </c>
      <c r="AG8">
        <v>1.0723487242084466</v>
      </c>
      <c r="AH8">
        <v>0.25972008040490513</v>
      </c>
      <c r="AI8">
        <v>0.43754479358580839</v>
      </c>
      <c r="AJ8">
        <v>0.24969769997021227</v>
      </c>
      <c r="AK8">
        <v>2.105100170724719</v>
      </c>
      <c r="AL8">
        <v>3.4649122793943513E-2</v>
      </c>
      <c r="AM8">
        <v>7.6687248223431057</v>
      </c>
      <c r="AN8">
        <v>-4.292533476043304</v>
      </c>
      <c r="AO8">
        <v>0</v>
      </c>
      <c r="AP8">
        <v>0</v>
      </c>
      <c r="AQ8">
        <v>1085.4989891461423</v>
      </c>
      <c r="AR8">
        <v>23.80480239355575</v>
      </c>
      <c r="AS8">
        <v>23.804802393555747</v>
      </c>
    </row>
    <row r="9" spans="1:45" ht="32" customHeight="1" x14ac:dyDescent="0.2">
      <c r="A9" s="30">
        <f>lc_detailed!AZ9</f>
        <v>0</v>
      </c>
      <c r="B9" s="31">
        <f>lc_detailed!BH9/$W$2</f>
        <v>0</v>
      </c>
      <c r="C9" s="31">
        <f>lc_detailed!BI9/$W$2</f>
        <v>0</v>
      </c>
      <c r="D9" s="31">
        <f>lc_detailed!BJ9/$W$2</f>
        <v>0</v>
      </c>
      <c r="E9" s="31">
        <f>lc_detailed!BK9/$W$2</f>
        <v>0</v>
      </c>
      <c r="F9" s="31">
        <f>lc_detailed!BL9/$W$2</f>
        <v>0</v>
      </c>
      <c r="G9" s="31">
        <f>lc_detailed!BM9/$W$2</f>
        <v>0</v>
      </c>
      <c r="H9" s="31">
        <f>lc_detailed!BN9/$W$2</f>
        <v>0</v>
      </c>
      <c r="I9" s="31">
        <f>lc_detailed!BO9/$W$2</f>
        <v>0</v>
      </c>
      <c r="J9" s="31">
        <f>lc_detailed!BP9/$W$2</f>
        <v>0</v>
      </c>
      <c r="K9" s="31">
        <f>lc_detailed!BQ9/$W$2</f>
        <v>0</v>
      </c>
      <c r="L9" s="31">
        <f>lc_detailed!BR9/$W$2</f>
        <v>0</v>
      </c>
      <c r="M9" s="31">
        <f>lc_detailed!BS9/$W$2</f>
        <v>0</v>
      </c>
      <c r="N9" s="31">
        <f>lc_detailed!BT9/$W$2</f>
        <v>0</v>
      </c>
      <c r="O9" s="31">
        <f>lc_detailed!CB9/$W$2</f>
        <v>0</v>
      </c>
      <c r="P9" s="31">
        <f>lc_detailed!CC9/$W$2</f>
        <v>0</v>
      </c>
      <c r="Q9" s="31">
        <f>lc_detailed!CA9</f>
        <v>0</v>
      </c>
      <c r="R9" s="32">
        <f>lc_detailed!BE9</f>
        <v>0</v>
      </c>
      <c r="S9" s="32">
        <f t="shared" si="0"/>
        <v>0</v>
      </c>
      <c r="T9" s="32">
        <f t="shared" si="1"/>
        <v>0</v>
      </c>
      <c r="Z9" t="str">
        <v>CEN_Ethanol_Dehydration_NGfuel</v>
      </c>
      <c r="AA9">
        <v>0</v>
      </c>
      <c r="AB9">
        <v>0.11350808591599583</v>
      </c>
      <c r="AC9">
        <v>0.86890587815645359</v>
      </c>
      <c r="AD9">
        <v>0</v>
      </c>
      <c r="AE9">
        <v>14.806332180657467</v>
      </c>
      <c r="AF9">
        <v>0.53662126992817305</v>
      </c>
      <c r="AG9">
        <v>1.0790085417063535</v>
      </c>
      <c r="AH9">
        <v>0.25972008040490513</v>
      </c>
      <c r="AI9">
        <v>0.43754479358580839</v>
      </c>
      <c r="AJ9">
        <v>0.24969769997021227</v>
      </c>
      <c r="AK9">
        <v>2.105100170724719</v>
      </c>
      <c r="AL9">
        <v>3.4649122793943513E-2</v>
      </c>
      <c r="AM9">
        <v>7.6687248223431057</v>
      </c>
      <c r="AN9">
        <v>-4.2860624469430757</v>
      </c>
      <c r="AO9">
        <v>0</v>
      </c>
      <c r="AP9">
        <v>0</v>
      </c>
      <c r="AQ9">
        <v>1088.6430090855295</v>
      </c>
      <c r="AR9">
        <v>23.873750199244068</v>
      </c>
      <c r="AS9">
        <v>23.873750199244057</v>
      </c>
    </row>
    <row r="10" spans="1:45" ht="32" customHeight="1" x14ac:dyDescent="0.2">
      <c r="A10" s="30">
        <f>lc_detailed!AZ10</f>
        <v>0</v>
      </c>
      <c r="B10" s="31">
        <f>lc_detailed!BH10/$W$2</f>
        <v>0</v>
      </c>
      <c r="C10" s="31">
        <f>lc_detailed!BI10/$W$2</f>
        <v>0</v>
      </c>
      <c r="D10" s="31">
        <f>lc_detailed!BJ10/$W$2</f>
        <v>0</v>
      </c>
      <c r="E10" s="31">
        <f>lc_detailed!BK10/$W$2</f>
        <v>0</v>
      </c>
      <c r="F10" s="31">
        <f>lc_detailed!BL10/$W$2</f>
        <v>0</v>
      </c>
      <c r="G10" s="31">
        <f>lc_detailed!BM10/$W$2</f>
        <v>0</v>
      </c>
      <c r="H10" s="31">
        <f>lc_detailed!BN10/$W$2</f>
        <v>0</v>
      </c>
      <c r="I10" s="31">
        <f>lc_detailed!BO10/$W$2</f>
        <v>0</v>
      </c>
      <c r="J10" s="31">
        <f>lc_detailed!BP10/$W$2</f>
        <v>0</v>
      </c>
      <c r="K10" s="31">
        <f>lc_detailed!BQ10/$W$2</f>
        <v>0</v>
      </c>
      <c r="L10" s="31">
        <f>lc_detailed!BR10/$W$2</f>
        <v>0</v>
      </c>
      <c r="M10" s="31">
        <f>lc_detailed!BS10/$W$2</f>
        <v>0</v>
      </c>
      <c r="N10" s="31">
        <f>lc_detailed!BT10/$W$2</f>
        <v>0</v>
      </c>
      <c r="O10" s="31">
        <f>lc_detailed!CB10/$W$2</f>
        <v>0</v>
      </c>
      <c r="P10" s="31">
        <f>lc_detailed!CC10/$W$2</f>
        <v>0</v>
      </c>
      <c r="Q10" s="31">
        <f>lc_detailed!CA10</f>
        <v>0</v>
      </c>
      <c r="R10" s="32">
        <f>lc_detailed!BE10</f>
        <v>0</v>
      </c>
      <c r="S10" s="32">
        <f t="shared" si="0"/>
        <v>0</v>
      </c>
      <c r="T10" s="32">
        <f t="shared" si="1"/>
        <v>0</v>
      </c>
      <c r="Z10" t="str">
        <v>NCEN_Ethanol_Dehydration_NGfuel</v>
      </c>
      <c r="AA10">
        <v>0</v>
      </c>
      <c r="AB10">
        <v>0.11573906528483473</v>
      </c>
      <c r="AC10">
        <v>0.88598405432325578</v>
      </c>
      <c r="AD10">
        <v>0</v>
      </c>
      <c r="AE10">
        <v>14.806332180657467</v>
      </c>
      <c r="AF10">
        <v>0.53330915553326297</v>
      </c>
      <c r="AG10">
        <v>1.0723487242084466</v>
      </c>
      <c r="AH10">
        <v>0.25972008040490513</v>
      </c>
      <c r="AI10">
        <v>0.43754479358580839</v>
      </c>
      <c r="AJ10">
        <v>0.24969769997021227</v>
      </c>
      <c r="AK10">
        <v>2.105100170724719</v>
      </c>
      <c r="AL10">
        <v>3.4649122793943513E-2</v>
      </c>
      <c r="AM10">
        <v>7.6687248223431057</v>
      </c>
      <c r="AN10">
        <v>-4.292533476043304</v>
      </c>
      <c r="AO10">
        <v>0</v>
      </c>
      <c r="AP10">
        <v>0</v>
      </c>
      <c r="AQ10">
        <v>1088.7737075566715</v>
      </c>
      <c r="AR10">
        <v>23.876616393786655</v>
      </c>
      <c r="AS10">
        <v>23.876616393786655</v>
      </c>
    </row>
    <row r="11" spans="1:45" ht="17" customHeight="1" x14ac:dyDescent="0.2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2"/>
      <c r="S11" s="32"/>
      <c r="T11" s="32"/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ht="17" customHeight="1" x14ac:dyDescent="0.2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2"/>
      <c r="S12" s="32"/>
      <c r="T12" s="32"/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ht="17" customHeight="1" x14ac:dyDescent="0.2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2"/>
      <c r="S13" s="32"/>
      <c r="T13" s="32"/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ht="17" customHeight="1" x14ac:dyDescent="0.2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2"/>
      <c r="S14" s="32"/>
      <c r="T14" s="32"/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ht="17" customHeight="1" x14ac:dyDescent="0.2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2"/>
      <c r="S15" s="32"/>
      <c r="T15" s="32"/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ht="17" customHeight="1" x14ac:dyDescent="0.2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2"/>
      <c r="S16" s="32"/>
      <c r="T16" s="32"/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ht="17" customHeight="1" x14ac:dyDescent="0.2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2"/>
      <c r="S17" s="32"/>
      <c r="T17" s="32"/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ht="17" customHeight="1" x14ac:dyDescent="0.2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2"/>
      <c r="S18" s="32"/>
      <c r="T18" s="32"/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ht="17" customHeight="1" x14ac:dyDescent="0.2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2"/>
      <c r="S19" s="32"/>
      <c r="T19" s="32"/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ht="17" customHeight="1" x14ac:dyDescent="0.2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2"/>
      <c r="S20" s="32"/>
      <c r="T20" s="32"/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ht="17" customHeight="1" x14ac:dyDescent="0.2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2"/>
      <c r="S21" s="32"/>
      <c r="T21" s="32"/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ht="17" customHeight="1" x14ac:dyDescent="0.2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2"/>
      <c r="S22" s="32"/>
      <c r="T22" s="32"/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ht="17" customHeight="1" x14ac:dyDescent="0.2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2"/>
      <c r="S23" s="32"/>
      <c r="T23" s="32"/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ht="17" customHeight="1" x14ac:dyDescent="0.2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2"/>
      <c r="S24" s="32"/>
      <c r="T24" s="32"/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ht="17" customHeight="1" x14ac:dyDescent="0.2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2"/>
      <c r="S25" s="32"/>
      <c r="T25" s="32"/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ht="17" customHeight="1" x14ac:dyDescent="0.2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2"/>
      <c r="S26" s="32"/>
      <c r="T26" s="32"/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ht="17" customHeight="1" x14ac:dyDescent="0.2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2"/>
      <c r="S27" s="32"/>
      <c r="T27" s="32"/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ht="17" customHeight="1" x14ac:dyDescent="0.2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2"/>
      <c r="S28" s="32"/>
      <c r="T28" s="32"/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ht="17" customHeight="1" x14ac:dyDescent="0.2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2"/>
      <c r="S29" s="32"/>
      <c r="T29" s="32"/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ht="17" customHeight="1" x14ac:dyDescent="0.2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2"/>
      <c r="S30" s="32"/>
      <c r="T30" s="32"/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ht="17" customHeight="1" x14ac:dyDescent="0.2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2"/>
      <c r="S31" s="32"/>
      <c r="T31" s="32"/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ht="17" customHeight="1" x14ac:dyDescent="0.2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2"/>
      <c r="S32" s="32"/>
      <c r="T32" s="32"/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ht="17" customHeight="1" x14ac:dyDescent="0.2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2"/>
      <c r="S33" s="32"/>
      <c r="T33" s="32"/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ht="17" customHeight="1" x14ac:dyDescent="0.2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2"/>
      <c r="S34" s="32"/>
      <c r="T34" s="32"/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ht="17" customHeight="1" x14ac:dyDescent="0.2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2"/>
      <c r="S35" s="32"/>
      <c r="T35" s="32"/>
    </row>
    <row r="36" spans="1:45" ht="17" customHeight="1" x14ac:dyDescent="0.2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2"/>
      <c r="S36" s="32"/>
      <c r="T36" s="32"/>
    </row>
    <row r="37" spans="1:45" ht="17" customHeight="1" x14ac:dyDescent="0.2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2"/>
      <c r="S37" s="32"/>
      <c r="T37" s="32"/>
    </row>
    <row r="38" spans="1:45" ht="17" customHeight="1" x14ac:dyDescent="0.2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2"/>
      <c r="S38" s="32"/>
      <c r="T38" s="32"/>
    </row>
    <row r="39" spans="1:45" ht="17" customHeight="1" x14ac:dyDescent="0.2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2"/>
      <c r="S39" s="32"/>
      <c r="T39" s="32"/>
    </row>
    <row r="40" spans="1:45" ht="17" customHeight="1" x14ac:dyDescent="0.2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2"/>
      <c r="S40" s="32"/>
      <c r="T40" s="32"/>
    </row>
    <row r="41" spans="1:45" ht="17" customHeight="1" x14ac:dyDescent="0.2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2"/>
      <c r="S41" s="32"/>
      <c r="T41" s="32"/>
    </row>
    <row r="42" spans="1:45" ht="17" customHeight="1" x14ac:dyDescent="0.2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2"/>
      <c r="T42" s="32"/>
    </row>
    <row r="43" spans="1:45" ht="17" customHeight="1" x14ac:dyDescent="0.2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2"/>
      <c r="S43" s="32"/>
      <c r="T43" s="32"/>
    </row>
    <row r="44" spans="1:45" ht="17" customHeight="1" x14ac:dyDescent="0.2">
      <c r="A44" s="30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2"/>
      <c r="S44" s="32"/>
      <c r="T44" s="32"/>
    </row>
    <row r="45" spans="1:45" ht="17" customHeight="1" x14ac:dyDescent="0.2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2"/>
      <c r="S45" s="32"/>
      <c r="T45" s="32"/>
    </row>
    <row r="46" spans="1:45" ht="17" customHeight="1" x14ac:dyDescent="0.2">
      <c r="A46" s="30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2"/>
      <c r="S46" s="32"/>
      <c r="T46" s="32"/>
    </row>
    <row r="47" spans="1:45" ht="17" customHeight="1" x14ac:dyDescent="0.2">
      <c r="A47" s="30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2"/>
      <c r="S47" s="32"/>
      <c r="T47" s="32"/>
    </row>
    <row r="48" spans="1:45" ht="17" customHeight="1" x14ac:dyDescent="0.2">
      <c r="A48" s="30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2"/>
      <c r="S48" s="32"/>
      <c r="T48" s="32"/>
    </row>
    <row r="49" spans="1:20" ht="17" customHeight="1" x14ac:dyDescent="0.2">
      <c r="A49" s="30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2"/>
      <c r="S49" s="32"/>
      <c r="T49" s="32"/>
    </row>
    <row r="50" spans="1:20" ht="17" customHeight="1" x14ac:dyDescent="0.2">
      <c r="A50" s="30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2"/>
      <c r="S50" s="32"/>
      <c r="T50" s="32"/>
    </row>
    <row r="51" spans="1:20" ht="17" customHeight="1" x14ac:dyDescent="0.2">
      <c r="A51" s="3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2"/>
      <c r="S51" s="32"/>
      <c r="T51" s="32"/>
    </row>
    <row r="52" spans="1:20" ht="17" customHeight="1" x14ac:dyDescent="0.2">
      <c r="A52" s="30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2"/>
      <c r="S52" s="32"/>
      <c r="T52" s="32"/>
    </row>
    <row r="53" spans="1:20" ht="17" customHeight="1" x14ac:dyDescent="0.2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2"/>
      <c r="S53" s="32"/>
      <c r="T53" s="32"/>
    </row>
    <row r="54" spans="1:20" ht="17" customHeight="1" x14ac:dyDescent="0.2">
      <c r="A54" s="30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2"/>
      <c r="S54" s="32"/>
      <c r="T54" s="32"/>
    </row>
    <row r="55" spans="1:20" ht="17" customHeight="1" x14ac:dyDescent="0.2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2"/>
      <c r="S55" s="32"/>
      <c r="T55" s="32"/>
    </row>
    <row r="56" spans="1:20" ht="17" customHeight="1" x14ac:dyDescent="0.2">
      <c r="A56" s="30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2"/>
      <c r="S56" s="32"/>
      <c r="T56" s="32"/>
    </row>
    <row r="57" spans="1:20" ht="17" customHeight="1" x14ac:dyDescent="0.2">
      <c r="A57" s="30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2"/>
      <c r="S57" s="32"/>
      <c r="T57" s="32"/>
    </row>
    <row r="58" spans="1:20" ht="17" customHeight="1" x14ac:dyDescent="0.2">
      <c r="A58" s="30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2"/>
      <c r="S58" s="32"/>
      <c r="T58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35"/>
  <sheetViews>
    <sheetView zoomScale="59" workbookViewId="0">
      <selection activeCell="A7" sqref="A7:XFD10"/>
    </sheetView>
  </sheetViews>
  <sheetFormatPr baseColWidth="10" defaultRowHeight="16" x14ac:dyDescent="0.2"/>
  <cols>
    <col min="1" max="1" width="49.1640625" customWidth="1"/>
    <col min="2" max="2" width="14.5" bestFit="1" customWidth="1"/>
    <col min="3" max="3" width="15.5" bestFit="1" customWidth="1"/>
    <col min="4" max="4" width="16.33203125" bestFit="1" customWidth="1"/>
    <col min="5" max="5" width="14.83203125" bestFit="1" customWidth="1"/>
    <col min="6" max="6" width="19.33203125" customWidth="1"/>
    <col min="7" max="7" width="17.5" bestFit="1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7.5" bestFit="1" customWidth="1"/>
    <col min="18" max="18" width="14.6640625" bestFit="1" customWidth="1"/>
    <col min="19" max="19" width="12.5" bestFit="1" customWidth="1"/>
    <col min="20" max="20" width="13.83203125" bestFit="1" customWidth="1"/>
    <col min="21" max="21" width="2.6640625" customWidth="1"/>
    <col min="22" max="22" width="12.83203125" bestFit="1" customWidth="1"/>
    <col min="23" max="23" width="5.5" bestFit="1" customWidth="1"/>
    <col min="24" max="24" width="13.1640625" bestFit="1" customWidth="1"/>
    <col min="25" max="25" width="2.83203125" customWidth="1"/>
    <col min="26" max="26" width="52" customWidth="1"/>
  </cols>
  <sheetData>
    <row r="1" spans="1:45" x14ac:dyDescent="0.2">
      <c r="A1" s="21" t="s">
        <v>124</v>
      </c>
      <c r="V1" s="28" t="s">
        <v>118</v>
      </c>
      <c r="Z1" s="21" t="s">
        <v>125</v>
      </c>
    </row>
    <row r="2" spans="1:45" ht="32" customHeight="1" x14ac:dyDescent="0.2">
      <c r="A2" s="23" t="s">
        <v>68</v>
      </c>
      <c r="B2" s="23" t="s">
        <v>72</v>
      </c>
      <c r="C2" s="23" t="s">
        <v>73</v>
      </c>
      <c r="D2" s="23" t="s">
        <v>74</v>
      </c>
      <c r="E2" s="23" t="s">
        <v>75</v>
      </c>
      <c r="F2" s="23" t="s">
        <v>76</v>
      </c>
      <c r="G2" s="23" t="s">
        <v>77</v>
      </c>
      <c r="H2" s="23" t="s">
        <v>78</v>
      </c>
      <c r="I2" s="23" t="s">
        <v>79</v>
      </c>
      <c r="J2" s="23" t="s">
        <v>80</v>
      </c>
      <c r="K2" s="23" t="s">
        <v>81</v>
      </c>
      <c r="L2" s="23" t="s">
        <v>82</v>
      </c>
      <c r="M2" s="23" t="s">
        <v>83</v>
      </c>
      <c r="N2" s="23" t="s">
        <v>84</v>
      </c>
      <c r="O2" s="24" t="s">
        <v>86</v>
      </c>
      <c r="P2" s="24" t="s">
        <v>87</v>
      </c>
      <c r="Q2" s="24" t="s">
        <v>85</v>
      </c>
      <c r="R2" s="25" t="s">
        <v>70</v>
      </c>
      <c r="S2" s="25" t="s">
        <v>120</v>
      </c>
      <c r="T2" s="25" t="s">
        <v>121</v>
      </c>
      <c r="V2" t="s">
        <v>122</v>
      </c>
      <c r="W2">
        <v>45.6</v>
      </c>
      <c r="X2" t="s">
        <v>123</v>
      </c>
      <c r="Z2" s="23" t="s">
        <v>68</v>
      </c>
      <c r="AA2" s="23" t="s">
        <v>72</v>
      </c>
      <c r="AB2" s="23" t="s">
        <v>73</v>
      </c>
      <c r="AC2" s="23" t="s">
        <v>74</v>
      </c>
      <c r="AD2" s="23" t="s">
        <v>75</v>
      </c>
      <c r="AE2" s="23" t="s">
        <v>76</v>
      </c>
      <c r="AF2" s="23" t="s">
        <v>77</v>
      </c>
      <c r="AG2" s="23" t="s">
        <v>78</v>
      </c>
      <c r="AH2" s="23" t="s">
        <v>79</v>
      </c>
      <c r="AI2" s="23" t="s">
        <v>80</v>
      </c>
      <c r="AJ2" s="23" t="s">
        <v>81</v>
      </c>
      <c r="AK2" s="23" t="s">
        <v>82</v>
      </c>
      <c r="AL2" s="23" t="s">
        <v>83</v>
      </c>
      <c r="AM2" s="23" t="s">
        <v>84</v>
      </c>
      <c r="AN2" s="24" t="s">
        <v>86</v>
      </c>
      <c r="AO2" s="24" t="s">
        <v>87</v>
      </c>
      <c r="AP2" s="24" t="s">
        <v>85</v>
      </c>
      <c r="AQ2" s="25" t="s">
        <v>70</v>
      </c>
      <c r="AR2" s="25" t="s">
        <v>120</v>
      </c>
      <c r="AS2" s="25" t="s">
        <v>121</v>
      </c>
    </row>
    <row r="3" spans="1:45" x14ac:dyDescent="0.2">
      <c r="A3" t="str">
        <f>lc_detailed!AZ3</f>
        <v>NCEN_Ethanol_Dehydration_NGfuel</v>
      </c>
      <c r="B3" s="29">
        <f>lc_detailed!BH3/$W$2</f>
        <v>0</v>
      </c>
      <c r="C3" s="29">
        <f>lc_detailed!BI3/$W$2</f>
        <v>0.11573906528483473</v>
      </c>
      <c r="D3" s="29">
        <f>lc_detailed!BJ3/$W$2</f>
        <v>0.88598405432325578</v>
      </c>
      <c r="E3" s="29">
        <f>lc_detailed!BK3/$W$2</f>
        <v>0</v>
      </c>
      <c r="F3" s="29">
        <f>lc_detailed!BL3/$W$2</f>
        <v>14.806332180657467</v>
      </c>
      <c r="G3" s="29">
        <f>lc_detailed!BM3/$W$2</f>
        <v>0.53330915553326297</v>
      </c>
      <c r="H3" s="29">
        <f>lc_detailed!BN3/$W$2</f>
        <v>1.0723487242084466</v>
      </c>
      <c r="I3" s="29">
        <f>lc_detailed!BO3/$W$2</f>
        <v>0.25972008040490513</v>
      </c>
      <c r="J3" s="29">
        <f>lc_detailed!BP3/$W$2</f>
        <v>0.43754479358580839</v>
      </c>
      <c r="K3" s="29">
        <f>lc_detailed!BQ3/$W$2</f>
        <v>0.24969769997021227</v>
      </c>
      <c r="L3" s="29">
        <f>lc_detailed!BR3/$W$2</f>
        <v>2.105100170724719</v>
      </c>
      <c r="M3" s="29">
        <f>lc_detailed!BS3/$W$2</f>
        <v>3.4649122793943513E-2</v>
      </c>
      <c r="N3" s="29">
        <f>lc_detailed!BT3/$W$2</f>
        <v>7.6687248223431057</v>
      </c>
      <c r="O3" s="29">
        <f>lc_detailed!BV3/$W$2</f>
        <v>-4.292533476043304</v>
      </c>
      <c r="P3" s="29">
        <f>lc_detailed!BW3/$W$2</f>
        <v>-5.0762534561403507</v>
      </c>
      <c r="Q3" s="29">
        <f>lc_detailed!BU3</f>
        <v>-3.14</v>
      </c>
      <c r="R3" s="29">
        <f>lc_detailed!BB3</f>
        <v>857.29654995667147</v>
      </c>
      <c r="S3" s="29">
        <f t="shared" ref="S3:S10" si="0">R3/$W$2</f>
        <v>18.800362937646305</v>
      </c>
      <c r="T3" s="29">
        <f t="shared" ref="T3:T10" si="1">SUM(B3:P3)</f>
        <v>18.800362937646305</v>
      </c>
      <c r="U3" s="29"/>
      <c r="V3" s="29"/>
      <c r="W3" s="29"/>
      <c r="X3" s="29"/>
      <c r="Z3">
        <f t="array" ref="Z3:AS34">_xlfn._xlws.SORT(A3:T34, 18, 1)</f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2">
      <c r="A4" t="str">
        <f>lc_detailed!AZ4</f>
        <v>NCEN_Ethanol_Dehydration_H2fuel</v>
      </c>
      <c r="B4" s="29">
        <f>lc_detailed!BH4/$W$2</f>
        <v>0.46149515530235591</v>
      </c>
      <c r="C4" s="29">
        <f>lc_detailed!BI4/$W$2</f>
        <v>0.11573906528483473</v>
      </c>
      <c r="D4" s="29">
        <f>lc_detailed!BJ4/$W$2</f>
        <v>0.88598405432325578</v>
      </c>
      <c r="E4" s="29">
        <f>lc_detailed!BK4/$W$2</f>
        <v>0</v>
      </c>
      <c r="F4" s="29">
        <f>lc_detailed!BL4/$W$2</f>
        <v>14.806332180657467</v>
      </c>
      <c r="G4" s="29">
        <f>lc_detailed!BM4/$W$2</f>
        <v>0</v>
      </c>
      <c r="H4" s="29">
        <f>lc_detailed!BN4/$W$2</f>
        <v>1.0723487242084466</v>
      </c>
      <c r="I4" s="29">
        <f>lc_detailed!BO4/$W$2</f>
        <v>0.25972008040490513</v>
      </c>
      <c r="J4" s="29">
        <f>lc_detailed!BP4/$W$2</f>
        <v>0.43754479358580839</v>
      </c>
      <c r="K4" s="29">
        <f>lc_detailed!BQ4/$W$2</f>
        <v>0.24969769997021227</v>
      </c>
      <c r="L4" s="29">
        <f>lc_detailed!BR4/$W$2</f>
        <v>2.105100170724719</v>
      </c>
      <c r="M4" s="29">
        <f>lc_detailed!BS4/$W$2</f>
        <v>3.4649122793943513E-2</v>
      </c>
      <c r="N4" s="29">
        <f>lc_detailed!BT4/$W$2</f>
        <v>7.6687248223431057</v>
      </c>
      <c r="O4" s="29">
        <f>lc_detailed!BV4/$W$2</f>
        <v>-4.292533476043304</v>
      </c>
      <c r="P4" s="29">
        <f>lc_detailed!BW4/$W$2</f>
        <v>-5.0762534561403507</v>
      </c>
      <c r="Q4" s="29">
        <f>lc_detailed!BU4</f>
        <v>-3.14</v>
      </c>
      <c r="R4" s="29">
        <f>lc_detailed!BB4</f>
        <v>854.02183154614227</v>
      </c>
      <c r="S4" s="29">
        <f t="shared" si="0"/>
        <v>18.7285489374154</v>
      </c>
      <c r="T4" s="29">
        <f t="shared" si="1"/>
        <v>18.728548937415397</v>
      </c>
      <c r="U4" s="29"/>
      <c r="V4" s="29"/>
      <c r="W4" s="29"/>
      <c r="X4" s="29"/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2">
      <c r="A5" t="str">
        <f>lc_detailed!AZ5</f>
        <v>CEN_Ethanol_Dehydration_NGfuel</v>
      </c>
      <c r="B5" s="29">
        <f>lc_detailed!BH5/$W$2</f>
        <v>0</v>
      </c>
      <c r="C5" s="29">
        <f>lc_detailed!BI5/$W$2</f>
        <v>0.11350808591599583</v>
      </c>
      <c r="D5" s="29">
        <f>lc_detailed!BJ5/$W$2</f>
        <v>0.86890587815645359</v>
      </c>
      <c r="E5" s="29">
        <f>lc_detailed!BK5/$W$2</f>
        <v>0</v>
      </c>
      <c r="F5" s="29">
        <f>lc_detailed!BL5/$W$2</f>
        <v>14.806332180657467</v>
      </c>
      <c r="G5" s="29">
        <f>lc_detailed!BM5/$W$2</f>
        <v>0.53662126992817305</v>
      </c>
      <c r="H5" s="29">
        <f>lc_detailed!BN5/$W$2</f>
        <v>1.0790085417063535</v>
      </c>
      <c r="I5" s="29">
        <f>lc_detailed!BO5/$W$2</f>
        <v>0.25972008040490513</v>
      </c>
      <c r="J5" s="29">
        <f>lc_detailed!BP5/$W$2</f>
        <v>0.43754479358580839</v>
      </c>
      <c r="K5" s="29">
        <f>lc_detailed!BQ5/$W$2</f>
        <v>0.24969769997021227</v>
      </c>
      <c r="L5" s="29">
        <f>lc_detailed!BR5/$W$2</f>
        <v>2.105100170724719</v>
      </c>
      <c r="M5" s="29">
        <f>lc_detailed!BS5/$W$2</f>
        <v>3.4649122793943513E-2</v>
      </c>
      <c r="N5" s="29">
        <f>lc_detailed!BT5/$W$2</f>
        <v>7.6687248223431057</v>
      </c>
      <c r="O5" s="29">
        <f>lc_detailed!BV5/$W$2</f>
        <v>-4.2860624469430757</v>
      </c>
      <c r="P5" s="29">
        <f>lc_detailed!BW5/$W$2</f>
        <v>-5.0762534561403507</v>
      </c>
      <c r="Q5" s="29">
        <f>lc_detailed!BU5</f>
        <v>-3.14</v>
      </c>
      <c r="R5" s="29">
        <f>lc_detailed!BB5</f>
        <v>857.1658514855294</v>
      </c>
      <c r="S5" s="29">
        <f t="shared" si="0"/>
        <v>18.797496743103714</v>
      </c>
      <c r="T5" s="29">
        <f t="shared" si="1"/>
        <v>18.797496743103707</v>
      </c>
      <c r="U5" s="29"/>
      <c r="V5" s="29"/>
      <c r="W5" s="29"/>
      <c r="X5" s="29"/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2">
      <c r="A6" t="str">
        <f>lc_detailed!AZ6</f>
        <v>CEN_Ethanol_Dehydration_H2fuel</v>
      </c>
      <c r="B6" s="29">
        <f>lc_detailed!BH6/$W$2</f>
        <v>0.46459247718319879</v>
      </c>
      <c r="C6" s="29">
        <f>lc_detailed!BI6/$W$2</f>
        <v>0.11350808591599583</v>
      </c>
      <c r="D6" s="29">
        <f>lc_detailed!BJ6/$W$2</f>
        <v>0.86890587815645359</v>
      </c>
      <c r="E6" s="29">
        <f>lc_detailed!BK6/$W$2</f>
        <v>0</v>
      </c>
      <c r="F6" s="29">
        <f>lc_detailed!BL6/$W$2</f>
        <v>14.806332180657467</v>
      </c>
      <c r="G6" s="29">
        <f>lc_detailed!BM6/$W$2</f>
        <v>0</v>
      </c>
      <c r="H6" s="29">
        <f>lc_detailed!BN6/$W$2</f>
        <v>1.0790085417063535</v>
      </c>
      <c r="I6" s="29">
        <f>lc_detailed!BO6/$W$2</f>
        <v>0.25972008040490513</v>
      </c>
      <c r="J6" s="29">
        <f>lc_detailed!BP6/$W$2</f>
        <v>0.43754479358580839</v>
      </c>
      <c r="K6" s="29">
        <f>lc_detailed!BQ6/$W$2</f>
        <v>0.24969769997021227</v>
      </c>
      <c r="L6" s="29">
        <f>lc_detailed!BR6/$W$2</f>
        <v>2.105100170724719</v>
      </c>
      <c r="M6" s="29">
        <f>lc_detailed!BS6/$W$2</f>
        <v>3.4649122793943513E-2</v>
      </c>
      <c r="N6" s="29">
        <f>lc_detailed!BT6/$W$2</f>
        <v>7.6687248223431057</v>
      </c>
      <c r="O6" s="29">
        <f>lc_detailed!BV6/$W$2</f>
        <v>-4.2860624469430757</v>
      </c>
      <c r="P6" s="29">
        <f>lc_detailed!BW6/$W$2</f>
        <v>-5.0762534561403507</v>
      </c>
      <c r="Q6" s="29">
        <f>lc_detailed!BU6</f>
        <v>-3.14</v>
      </c>
      <c r="R6" s="29">
        <f>lc_detailed!BB6</f>
        <v>853.88133853635827</v>
      </c>
      <c r="S6" s="29">
        <f t="shared" si="0"/>
        <v>18.725467950358734</v>
      </c>
      <c r="T6" s="29">
        <f t="shared" si="1"/>
        <v>18.725467950358734</v>
      </c>
      <c r="U6" s="29"/>
      <c r="V6" s="29"/>
      <c r="W6" s="29"/>
      <c r="X6" s="29"/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2">
      <c r="A7">
        <f>lc_detailed!AZ7</f>
        <v>0</v>
      </c>
      <c r="B7" s="29">
        <f>lc_detailed!BH7/$W$2</f>
        <v>0</v>
      </c>
      <c r="C7" s="29">
        <f>lc_detailed!BI7/$W$2</f>
        <v>0</v>
      </c>
      <c r="D7" s="29">
        <f>lc_detailed!BJ7/$W$2</f>
        <v>0</v>
      </c>
      <c r="E7" s="29">
        <f>lc_detailed!BK7/$W$2</f>
        <v>0</v>
      </c>
      <c r="F7" s="29">
        <f>lc_detailed!BL7/$W$2</f>
        <v>0</v>
      </c>
      <c r="G7" s="29">
        <f>lc_detailed!BM7/$W$2</f>
        <v>0</v>
      </c>
      <c r="H7" s="29">
        <f>lc_detailed!BN7/$W$2</f>
        <v>0</v>
      </c>
      <c r="I7" s="29">
        <f>lc_detailed!BO7/$W$2</f>
        <v>0</v>
      </c>
      <c r="J7" s="29">
        <f>lc_detailed!BP7/$W$2</f>
        <v>0</v>
      </c>
      <c r="K7" s="29">
        <f>lc_detailed!BQ7/$W$2</f>
        <v>0</v>
      </c>
      <c r="L7" s="29">
        <f>lc_detailed!BR7/$W$2</f>
        <v>0</v>
      </c>
      <c r="M7" s="29">
        <f>lc_detailed!BS7/$W$2</f>
        <v>0</v>
      </c>
      <c r="N7" s="29">
        <f>lc_detailed!BT7/$W$2</f>
        <v>0</v>
      </c>
      <c r="O7" s="29">
        <f>lc_detailed!BV7/$W$2</f>
        <v>0</v>
      </c>
      <c r="P7" s="29">
        <f>lc_detailed!BW7/$W$2</f>
        <v>0</v>
      </c>
      <c r="Q7" s="29">
        <f>lc_detailed!BU7</f>
        <v>0</v>
      </c>
      <c r="R7" s="29">
        <f>lc_detailed!BB7</f>
        <v>0</v>
      </c>
      <c r="S7" s="29">
        <f t="shared" si="0"/>
        <v>0</v>
      </c>
      <c r="T7" s="29">
        <f t="shared" si="1"/>
        <v>0</v>
      </c>
      <c r="U7" s="29"/>
      <c r="V7" s="29"/>
      <c r="W7" s="29"/>
      <c r="X7" s="29"/>
      <c r="Z7" t="str">
        <v>CEN_Ethanol_Dehydration_H2fuel</v>
      </c>
      <c r="AA7">
        <v>0.46459247718319879</v>
      </c>
      <c r="AB7">
        <v>0.11350808591599583</v>
      </c>
      <c r="AC7">
        <v>0.86890587815645359</v>
      </c>
      <c r="AD7">
        <v>0</v>
      </c>
      <c r="AE7">
        <v>14.806332180657467</v>
      </c>
      <c r="AF7">
        <v>0</v>
      </c>
      <c r="AG7">
        <v>1.0790085417063535</v>
      </c>
      <c r="AH7">
        <v>0.25972008040490513</v>
      </c>
      <c r="AI7">
        <v>0.43754479358580839</v>
      </c>
      <c r="AJ7">
        <v>0.24969769997021227</v>
      </c>
      <c r="AK7">
        <v>2.105100170724719</v>
      </c>
      <c r="AL7">
        <v>3.4649122793943513E-2</v>
      </c>
      <c r="AM7">
        <v>7.6687248223431057</v>
      </c>
      <c r="AN7">
        <v>-4.2860624469430757</v>
      </c>
      <c r="AO7">
        <v>-5.0762534561403507</v>
      </c>
      <c r="AP7">
        <v>-3.14</v>
      </c>
      <c r="AQ7">
        <v>853.88133853635827</v>
      </c>
      <c r="AR7">
        <v>18.725467950358734</v>
      </c>
      <c r="AS7">
        <v>18.725467950358734</v>
      </c>
    </row>
    <row r="8" spans="1:45" x14ac:dyDescent="0.2">
      <c r="A8">
        <f>lc_detailed!AZ8</f>
        <v>0</v>
      </c>
      <c r="B8" s="29">
        <f>lc_detailed!BH8/$W$2</f>
        <v>0</v>
      </c>
      <c r="C8" s="29">
        <f>lc_detailed!BI8/$W$2</f>
        <v>0</v>
      </c>
      <c r="D8" s="29">
        <f>lc_detailed!BJ8/$W$2</f>
        <v>0</v>
      </c>
      <c r="E8" s="29">
        <f>lc_detailed!BK8/$W$2</f>
        <v>0</v>
      </c>
      <c r="F8" s="29">
        <f>lc_detailed!BL8/$W$2</f>
        <v>0</v>
      </c>
      <c r="G8" s="29">
        <f>lc_detailed!BM8/$W$2</f>
        <v>0</v>
      </c>
      <c r="H8" s="29">
        <f>lc_detailed!BN8/$W$2</f>
        <v>0</v>
      </c>
      <c r="I8" s="29">
        <f>lc_detailed!BO8/$W$2</f>
        <v>0</v>
      </c>
      <c r="J8" s="29">
        <f>lc_detailed!BP8/$W$2</f>
        <v>0</v>
      </c>
      <c r="K8" s="29">
        <f>lc_detailed!BQ8/$W$2</f>
        <v>0</v>
      </c>
      <c r="L8" s="29">
        <f>lc_detailed!BR8/$W$2</f>
        <v>0</v>
      </c>
      <c r="M8" s="29">
        <f>lc_detailed!BS8/$W$2</f>
        <v>0</v>
      </c>
      <c r="N8" s="29">
        <f>lc_detailed!BT8/$W$2</f>
        <v>0</v>
      </c>
      <c r="O8" s="29">
        <f>lc_detailed!BV8/$W$2</f>
        <v>0</v>
      </c>
      <c r="P8" s="29">
        <f>lc_detailed!BW8/$W$2</f>
        <v>0</v>
      </c>
      <c r="Q8" s="29">
        <f>lc_detailed!BU8</f>
        <v>0</v>
      </c>
      <c r="R8" s="29">
        <f>lc_detailed!BB8</f>
        <v>0</v>
      </c>
      <c r="S8" s="29">
        <f t="shared" si="0"/>
        <v>0</v>
      </c>
      <c r="T8" s="29">
        <f t="shared" si="1"/>
        <v>0</v>
      </c>
      <c r="U8" s="29"/>
      <c r="V8" s="29"/>
      <c r="W8" s="29"/>
      <c r="X8" s="29"/>
      <c r="Z8" t="str">
        <v>NCEN_Ethanol_Dehydration_H2fuel</v>
      </c>
      <c r="AA8">
        <v>0.46149515530235591</v>
      </c>
      <c r="AB8">
        <v>0.11573906528483473</v>
      </c>
      <c r="AC8">
        <v>0.88598405432325578</v>
      </c>
      <c r="AD8">
        <v>0</v>
      </c>
      <c r="AE8">
        <v>14.806332180657467</v>
      </c>
      <c r="AF8">
        <v>0</v>
      </c>
      <c r="AG8">
        <v>1.0723487242084466</v>
      </c>
      <c r="AH8">
        <v>0.25972008040490513</v>
      </c>
      <c r="AI8">
        <v>0.43754479358580839</v>
      </c>
      <c r="AJ8">
        <v>0.24969769997021227</v>
      </c>
      <c r="AK8">
        <v>2.105100170724719</v>
      </c>
      <c r="AL8">
        <v>3.4649122793943513E-2</v>
      </c>
      <c r="AM8">
        <v>7.6687248223431057</v>
      </c>
      <c r="AN8">
        <v>-4.292533476043304</v>
      </c>
      <c r="AO8">
        <v>-5.0762534561403507</v>
      </c>
      <c r="AP8">
        <v>-3.14</v>
      </c>
      <c r="AQ8">
        <v>854.02183154614227</v>
      </c>
      <c r="AR8">
        <v>18.7285489374154</v>
      </c>
      <c r="AS8">
        <v>18.728548937415397</v>
      </c>
    </row>
    <row r="9" spans="1:45" x14ac:dyDescent="0.2">
      <c r="A9">
        <f>lc_detailed!AZ9</f>
        <v>0</v>
      </c>
      <c r="B9" s="29">
        <f>lc_detailed!BH9/$W$2</f>
        <v>0</v>
      </c>
      <c r="C9" s="29">
        <f>lc_detailed!BI9/$W$2</f>
        <v>0</v>
      </c>
      <c r="D9" s="29">
        <f>lc_detailed!BJ9/$W$2</f>
        <v>0</v>
      </c>
      <c r="E9" s="29">
        <f>lc_detailed!BK9/$W$2</f>
        <v>0</v>
      </c>
      <c r="F9" s="29">
        <f>lc_detailed!BL9/$W$2</f>
        <v>0</v>
      </c>
      <c r="G9" s="29">
        <f>lc_detailed!BM9/$W$2</f>
        <v>0</v>
      </c>
      <c r="H9" s="29">
        <f>lc_detailed!BN9/$W$2</f>
        <v>0</v>
      </c>
      <c r="I9" s="29">
        <f>lc_detailed!BO9/$W$2</f>
        <v>0</v>
      </c>
      <c r="J9" s="29">
        <f>lc_detailed!BP9/$W$2</f>
        <v>0</v>
      </c>
      <c r="K9" s="29">
        <f>lc_detailed!BQ9/$W$2</f>
        <v>0</v>
      </c>
      <c r="L9" s="29">
        <f>lc_detailed!BR9/$W$2</f>
        <v>0</v>
      </c>
      <c r="M9" s="29">
        <f>lc_detailed!BS9/$W$2</f>
        <v>0</v>
      </c>
      <c r="N9" s="29">
        <f>lc_detailed!BT9/$W$2</f>
        <v>0</v>
      </c>
      <c r="O9" s="29">
        <f>lc_detailed!BV9/$W$2</f>
        <v>0</v>
      </c>
      <c r="P9" s="29">
        <f>lc_detailed!BW9/$W$2</f>
        <v>0</v>
      </c>
      <c r="Q9" s="29">
        <f>lc_detailed!BU9</f>
        <v>0</v>
      </c>
      <c r="R9" s="29">
        <f>lc_detailed!BB9</f>
        <v>0</v>
      </c>
      <c r="S9" s="29">
        <f t="shared" si="0"/>
        <v>0</v>
      </c>
      <c r="T9" s="29">
        <f t="shared" si="1"/>
        <v>0</v>
      </c>
      <c r="U9" s="29"/>
      <c r="V9" s="29"/>
      <c r="W9" s="29"/>
      <c r="X9" s="29"/>
      <c r="Z9" t="str">
        <v>CEN_Ethanol_Dehydration_NGfuel</v>
      </c>
      <c r="AA9">
        <v>0</v>
      </c>
      <c r="AB9">
        <v>0.11350808591599583</v>
      </c>
      <c r="AC9">
        <v>0.86890587815645359</v>
      </c>
      <c r="AD9">
        <v>0</v>
      </c>
      <c r="AE9">
        <v>14.806332180657467</v>
      </c>
      <c r="AF9">
        <v>0.53662126992817305</v>
      </c>
      <c r="AG9">
        <v>1.0790085417063535</v>
      </c>
      <c r="AH9">
        <v>0.25972008040490513</v>
      </c>
      <c r="AI9">
        <v>0.43754479358580839</v>
      </c>
      <c r="AJ9">
        <v>0.24969769997021227</v>
      </c>
      <c r="AK9">
        <v>2.105100170724719</v>
      </c>
      <c r="AL9">
        <v>3.4649122793943513E-2</v>
      </c>
      <c r="AM9">
        <v>7.6687248223431057</v>
      </c>
      <c r="AN9">
        <v>-4.2860624469430757</v>
      </c>
      <c r="AO9">
        <v>-5.0762534561403507</v>
      </c>
      <c r="AP9">
        <v>-3.14</v>
      </c>
      <c r="AQ9">
        <v>857.1658514855294</v>
      </c>
      <c r="AR9">
        <v>18.797496743103714</v>
      </c>
      <c r="AS9">
        <v>18.797496743103707</v>
      </c>
    </row>
    <row r="10" spans="1:45" x14ac:dyDescent="0.2">
      <c r="A10">
        <f>lc_detailed!AZ10</f>
        <v>0</v>
      </c>
      <c r="B10" s="29">
        <f>lc_detailed!BH10/$W$2</f>
        <v>0</v>
      </c>
      <c r="C10" s="29">
        <f>lc_detailed!BI10/$W$2</f>
        <v>0</v>
      </c>
      <c r="D10" s="29">
        <f>lc_detailed!BJ10/$W$2</f>
        <v>0</v>
      </c>
      <c r="E10" s="29">
        <f>lc_detailed!BK10/$W$2</f>
        <v>0</v>
      </c>
      <c r="F10" s="29">
        <f>lc_detailed!BL10/$W$2</f>
        <v>0</v>
      </c>
      <c r="G10" s="29">
        <f>lc_detailed!BM10/$W$2</f>
        <v>0</v>
      </c>
      <c r="H10" s="29">
        <f>lc_detailed!BN10/$W$2</f>
        <v>0</v>
      </c>
      <c r="I10" s="29">
        <f>lc_detailed!BO10/$W$2</f>
        <v>0</v>
      </c>
      <c r="J10" s="29">
        <f>lc_detailed!BP10/$W$2</f>
        <v>0</v>
      </c>
      <c r="K10" s="29">
        <f>lc_detailed!BQ10/$W$2</f>
        <v>0</v>
      </c>
      <c r="L10" s="29">
        <f>lc_detailed!BR10/$W$2</f>
        <v>0</v>
      </c>
      <c r="M10" s="29">
        <f>lc_detailed!BS10/$W$2</f>
        <v>0</v>
      </c>
      <c r="N10" s="29">
        <f>lc_detailed!BT10/$W$2</f>
        <v>0</v>
      </c>
      <c r="O10" s="29">
        <f>lc_detailed!BV10/$W$2</f>
        <v>0</v>
      </c>
      <c r="P10" s="29">
        <f>lc_detailed!BW10/$W$2</f>
        <v>0</v>
      </c>
      <c r="Q10" s="29">
        <f>lc_detailed!BU10</f>
        <v>0</v>
      </c>
      <c r="R10" s="29">
        <f>lc_detailed!BB10</f>
        <v>0</v>
      </c>
      <c r="S10" s="29">
        <f t="shared" si="0"/>
        <v>0</v>
      </c>
      <c r="T10" s="29">
        <f t="shared" si="1"/>
        <v>0</v>
      </c>
      <c r="U10" s="29"/>
      <c r="V10" s="29"/>
      <c r="W10" s="29"/>
      <c r="X10" s="29"/>
      <c r="Z10" t="str">
        <v>NCEN_Ethanol_Dehydration_NGfuel</v>
      </c>
      <c r="AA10">
        <v>0</v>
      </c>
      <c r="AB10">
        <v>0.11573906528483473</v>
      </c>
      <c r="AC10">
        <v>0.88598405432325578</v>
      </c>
      <c r="AD10">
        <v>0</v>
      </c>
      <c r="AE10">
        <v>14.806332180657467</v>
      </c>
      <c r="AF10">
        <v>0.53330915553326297</v>
      </c>
      <c r="AG10">
        <v>1.0723487242084466</v>
      </c>
      <c r="AH10">
        <v>0.25972008040490513</v>
      </c>
      <c r="AI10">
        <v>0.43754479358580839</v>
      </c>
      <c r="AJ10">
        <v>0.24969769997021227</v>
      </c>
      <c r="AK10">
        <v>2.105100170724719</v>
      </c>
      <c r="AL10">
        <v>3.4649122793943513E-2</v>
      </c>
      <c r="AM10">
        <v>7.6687248223431057</v>
      </c>
      <c r="AN10">
        <v>-4.292533476043304</v>
      </c>
      <c r="AO10">
        <v>-5.0762534561403507</v>
      </c>
      <c r="AP10">
        <v>-3.14</v>
      </c>
      <c r="AQ10">
        <v>857.29654995667147</v>
      </c>
      <c r="AR10">
        <v>18.800362937646305</v>
      </c>
      <c r="AS10">
        <v>18.800362937646305</v>
      </c>
    </row>
    <row r="11" spans="1:45" x14ac:dyDescent="0.2"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2"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2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2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2"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2"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2:45" x14ac:dyDescent="0.2"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2:45" x14ac:dyDescent="0.2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2:45" x14ac:dyDescent="0.2"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2:45" x14ac:dyDescent="0.2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2:45" x14ac:dyDescent="0.2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2:45" x14ac:dyDescent="0.2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2:45" x14ac:dyDescent="0.2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2:45" x14ac:dyDescent="0.2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2:45" x14ac:dyDescent="0.2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2:45" x14ac:dyDescent="0.2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2:45" x14ac:dyDescent="0.2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2:45" x14ac:dyDescent="0.2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2:45" x14ac:dyDescent="0.2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2:45" x14ac:dyDescent="0.2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2:45" x14ac:dyDescent="0.2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2:45" x14ac:dyDescent="0.2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2:45" x14ac:dyDescent="0.2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2:45" x14ac:dyDescent="0.2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2:45" x14ac:dyDescent="0.2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lc_detailed</vt:lpstr>
      <vt:lpstr>lc_summary_noseq</vt:lpstr>
      <vt:lpstr>lc_summary_seq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2026-04-13T20:21:50Z</dcterms:modified>
</cp:coreProperties>
</file>