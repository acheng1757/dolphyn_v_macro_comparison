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ethylene/bio_ethylene_lcoe/"/>
    </mc:Choice>
  </mc:AlternateContent>
  <xr:revisionPtr revIDLastSave="0" documentId="13_ncr:1_{E7F14799-8D10-6F47-AB43-554C2BA55053}" xr6:coauthVersionLast="47" xr6:coauthVersionMax="47" xr10:uidLastSave="{00000000-0000-0000-0000-000000000000}"/>
  <bookViews>
    <workbookView xWindow="0" yWindow="740" windowWidth="29400" windowHeight="17500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2" i="2" l="1"/>
  <c r="K61" i="2"/>
  <c r="G60" i="2"/>
  <c r="G58" i="2"/>
  <c r="B57" i="2"/>
  <c r="B54" i="2"/>
  <c r="M51" i="2"/>
  <c r="K51" i="2"/>
  <c r="G49" i="2"/>
  <c r="I46" i="2"/>
  <c r="B45" i="2"/>
  <c r="G44" i="2"/>
  <c r="B44" i="2"/>
  <c r="A44" i="2"/>
  <c r="I39" i="2"/>
  <c r="K37" i="2"/>
  <c r="I37" i="2"/>
  <c r="G33" i="2"/>
  <c r="B33" i="2"/>
  <c r="B29" i="2"/>
  <c r="K24" i="2"/>
  <c r="H23" i="2"/>
  <c r="M21" i="2"/>
  <c r="K18" i="2"/>
  <c r="K17" i="2"/>
  <c r="B17" i="2"/>
  <c r="C16" i="2"/>
  <c r="G14" i="2"/>
  <c r="A13" i="2"/>
  <c r="I12" i="2"/>
  <c r="K11" i="2"/>
  <c r="B11" i="2"/>
  <c r="A10" i="2"/>
  <c r="G8" i="2"/>
  <c r="C6" i="2"/>
  <c r="F4" i="2"/>
  <c r="A4" i="2"/>
  <c r="CL66" i="1"/>
  <c r="CG66" i="1"/>
  <c r="CF66" i="1"/>
  <c r="BZ66" i="1"/>
  <c r="BY66" i="1"/>
  <c r="CK66" i="1" s="1"/>
  <c r="BG66" i="1"/>
  <c r="BE66" i="1"/>
  <c r="BC66" i="1"/>
  <c r="BA66" i="1"/>
  <c r="AW66" i="1"/>
  <c r="AV66" i="1"/>
  <c r="AR66" i="1"/>
  <c r="AQ66" i="1"/>
  <c r="AE66" i="1"/>
  <c r="AD66" i="1"/>
  <c r="AC66" i="1"/>
  <c r="BU66" i="1" s="1"/>
  <c r="BD66" i="1" s="1"/>
  <c r="AB66" i="1"/>
  <c r="X66" i="1"/>
  <c r="W66" i="1"/>
  <c r="V66" i="1"/>
  <c r="BW66" i="1" s="1"/>
  <c r="BH66" i="1" s="1"/>
  <c r="U66" i="1"/>
  <c r="T66" i="1"/>
  <c r="R66" i="1" a="1"/>
  <c r="AA66" i="1" s="1"/>
  <c r="CL65" i="1"/>
  <c r="CG65" i="1"/>
  <c r="CF65" i="1"/>
  <c r="BY65" i="1"/>
  <c r="CK65" i="1" s="1"/>
  <c r="BG65" i="1"/>
  <c r="BE65" i="1"/>
  <c r="BC65" i="1"/>
  <c r="BA65" i="1"/>
  <c r="AW65" i="1"/>
  <c r="AV65" i="1"/>
  <c r="AR65" i="1"/>
  <c r="AQ65" i="1"/>
  <c r="R65" i="1" a="1"/>
  <c r="CL64" i="1"/>
  <c r="CG64" i="1"/>
  <c r="CF64" i="1"/>
  <c r="BY64" i="1"/>
  <c r="CK64" i="1" s="1"/>
  <c r="BG64" i="1"/>
  <c r="M63" i="2" s="1"/>
  <c r="BE64" i="1"/>
  <c r="K63" i="2" s="1"/>
  <c r="BC64" i="1"/>
  <c r="I63" i="2" s="1"/>
  <c r="BA64" i="1"/>
  <c r="G63" i="2" s="1"/>
  <c r="AW64" i="1"/>
  <c r="C63" i="2" s="1"/>
  <c r="AV64" i="1"/>
  <c r="B63" i="2" s="1"/>
  <c r="AR64" i="1"/>
  <c r="AQ64" i="1"/>
  <c r="A63" i="2" s="1"/>
  <c r="AD64" i="1"/>
  <c r="AC64" i="1"/>
  <c r="AA64" i="1"/>
  <c r="Z64" i="1"/>
  <c r="X64" i="1"/>
  <c r="BZ64" i="1" s="1"/>
  <c r="V64" i="1"/>
  <c r="BS64" i="1" s="1" a="1"/>
  <c r="BS64" i="1" s="1"/>
  <c r="AZ64" i="1" s="1"/>
  <c r="F63" i="2" s="1"/>
  <c r="U64" i="1"/>
  <c r="BR64" i="1" s="1"/>
  <c r="AX64" i="1" s="1"/>
  <c r="D63" i="2" s="1"/>
  <c r="T64" i="1"/>
  <c r="BQ64" i="1" s="1"/>
  <c r="AY64" i="1" s="1"/>
  <c r="E63" i="2" s="1"/>
  <c r="S64" i="1"/>
  <c r="R64" i="1" a="1"/>
  <c r="CL63" i="1"/>
  <c r="CG63" i="1"/>
  <c r="CF63" i="1"/>
  <c r="BY63" i="1"/>
  <c r="CK63" i="1" s="1"/>
  <c r="BG63" i="1"/>
  <c r="M62" i="2" s="1"/>
  <c r="BE63" i="1"/>
  <c r="K62" i="2" s="1"/>
  <c r="BC63" i="1"/>
  <c r="BA63" i="1"/>
  <c r="G62" i="2" s="1"/>
  <c r="AW63" i="1"/>
  <c r="C62" i="2" s="1"/>
  <c r="AV63" i="1"/>
  <c r="B62" i="2" s="1"/>
  <c r="AR63" i="1"/>
  <c r="AQ63" i="1"/>
  <c r="A62" i="2" s="1"/>
  <c r="AE63" i="1"/>
  <c r="BW63" i="1" s="1"/>
  <c r="BH63" i="1" s="1"/>
  <c r="N62" i="2" s="1"/>
  <c r="AD63" i="1"/>
  <c r="Z63" i="1"/>
  <c r="X63" i="1"/>
  <c r="BZ63" i="1" s="1"/>
  <c r="V63" i="1"/>
  <c r="U63" i="1"/>
  <c r="BR63" i="1" s="1"/>
  <c r="AX63" i="1" s="1"/>
  <c r="D62" i="2" s="1"/>
  <c r="R63" i="1" a="1"/>
  <c r="CL62" i="1"/>
  <c r="CG62" i="1"/>
  <c r="CF62" i="1"/>
  <c r="BY62" i="1"/>
  <c r="CK62" i="1" s="1"/>
  <c r="BP62" i="1"/>
  <c r="BG62" i="1"/>
  <c r="M61" i="2" s="1"/>
  <c r="BE62" i="1"/>
  <c r="BC62" i="1"/>
  <c r="I61" i="2" s="1"/>
  <c r="BA62" i="1"/>
  <c r="G61" i="2" s="1"/>
  <c r="AW62" i="1"/>
  <c r="C61" i="2" s="1"/>
  <c r="AV62" i="1"/>
  <c r="B61" i="2" s="1"/>
  <c r="AR62" i="1"/>
  <c r="AQ62" i="1"/>
  <c r="A61" i="2" s="1"/>
  <c r="AD62" i="1"/>
  <c r="AC62" i="1"/>
  <c r="AA62" i="1"/>
  <c r="Z62" i="1"/>
  <c r="Y62" i="1"/>
  <c r="V62" i="1"/>
  <c r="BR62" i="1" s="1"/>
  <c r="AX62" i="1" s="1"/>
  <c r="D61" i="2" s="1"/>
  <c r="U62" i="1"/>
  <c r="T62" i="1"/>
  <c r="S62" i="1"/>
  <c r="R62" i="1" a="1"/>
  <c r="R62" i="1"/>
  <c r="CL61" i="1"/>
  <c r="CK61" i="1"/>
  <c r="CJ61" i="1"/>
  <c r="CG61" i="1"/>
  <c r="CF61" i="1"/>
  <c r="BY61" i="1"/>
  <c r="BW61" i="1"/>
  <c r="BH61" i="1" s="1"/>
  <c r="N60" i="2" s="1"/>
  <c r="BV61" i="1"/>
  <c r="BF61" i="1" s="1"/>
  <c r="L60" i="2" s="1"/>
  <c r="BU61" i="1"/>
  <c r="BD61" i="1" s="1"/>
  <c r="J60" i="2" s="1"/>
  <c r="BT61" i="1"/>
  <c r="BB61" i="1" s="1"/>
  <c r="H60" i="2" s="1"/>
  <c r="BG61" i="1"/>
  <c r="M60" i="2" s="1"/>
  <c r="BE61" i="1"/>
  <c r="K60" i="2" s="1"/>
  <c r="BC61" i="1"/>
  <c r="I60" i="2" s="1"/>
  <c r="BA61" i="1"/>
  <c r="AW61" i="1"/>
  <c r="C60" i="2" s="1"/>
  <c r="AV61" i="1"/>
  <c r="B60" i="2" s="1"/>
  <c r="AR61" i="1"/>
  <c r="AQ61" i="1"/>
  <c r="A60" i="2" s="1"/>
  <c r="AE61" i="1"/>
  <c r="AD61" i="1"/>
  <c r="AC61" i="1"/>
  <c r="AB61" i="1"/>
  <c r="CI61" i="1" s="1"/>
  <c r="AA61" i="1"/>
  <c r="Y61" i="1"/>
  <c r="X61" i="1"/>
  <c r="BZ61" i="1" s="1"/>
  <c r="W61" i="1"/>
  <c r="V61" i="1"/>
  <c r="CD61" i="1" s="1"/>
  <c r="U61" i="1"/>
  <c r="T61" i="1"/>
  <c r="S61" i="1"/>
  <c r="BS61" i="1" s="1" a="1"/>
  <c r="BS61" i="1" s="1"/>
  <c r="AZ61" i="1" s="1"/>
  <c r="F60" i="2" s="1"/>
  <c r="R61" i="1" a="1"/>
  <c r="Z61" i="1" s="1"/>
  <c r="R61" i="1"/>
  <c r="BP61" i="1" s="1"/>
  <c r="CL60" i="1"/>
  <c r="CG60" i="1"/>
  <c r="CF60" i="1"/>
  <c r="BY60" i="1"/>
  <c r="CK60" i="1" s="1"/>
  <c r="BG60" i="1"/>
  <c r="M59" i="2" s="1"/>
  <c r="BE60" i="1"/>
  <c r="K59" i="2" s="1"/>
  <c r="BC60" i="1"/>
  <c r="I59" i="2" s="1"/>
  <c r="BA60" i="1"/>
  <c r="G59" i="2" s="1"/>
  <c r="AW60" i="1"/>
  <c r="C59" i="2" s="1"/>
  <c r="AV60" i="1"/>
  <c r="B59" i="2" s="1"/>
  <c r="AR60" i="1"/>
  <c r="AQ60" i="1"/>
  <c r="A59" i="2" s="1"/>
  <c r="AC60" i="1"/>
  <c r="Z60" i="1"/>
  <c r="Y60" i="1"/>
  <c r="W60" i="1"/>
  <c r="V60" i="1"/>
  <c r="U60" i="1"/>
  <c r="R60" i="1" a="1"/>
  <c r="AE60" i="1" s="1"/>
  <c r="CL59" i="1"/>
  <c r="CK59" i="1"/>
  <c r="CG59" i="1"/>
  <c r="CF59" i="1"/>
  <c r="BY59" i="1"/>
  <c r="BG59" i="1"/>
  <c r="M58" i="2" s="1"/>
  <c r="BE59" i="1"/>
  <c r="K58" i="2" s="1"/>
  <c r="BC59" i="1"/>
  <c r="I58" i="2" s="1"/>
  <c r="BA59" i="1"/>
  <c r="AW59" i="1"/>
  <c r="C58" i="2" s="1"/>
  <c r="AV59" i="1"/>
  <c r="B58" i="2" s="1"/>
  <c r="AR59" i="1"/>
  <c r="AQ59" i="1"/>
  <c r="A58" i="2" s="1"/>
  <c r="AD59" i="1"/>
  <c r="AC59" i="1"/>
  <c r="AB59" i="1"/>
  <c r="Y59" i="1"/>
  <c r="X59" i="1"/>
  <c r="BZ59" i="1" s="1"/>
  <c r="T59" i="1"/>
  <c r="R59" i="1" a="1"/>
  <c r="CL58" i="1"/>
  <c r="CG58" i="1"/>
  <c r="CF58" i="1"/>
  <c r="BY58" i="1"/>
  <c r="CK58" i="1" s="1"/>
  <c r="BG58" i="1"/>
  <c r="M57" i="2" s="1"/>
  <c r="BE58" i="1"/>
  <c r="K57" i="2" s="1"/>
  <c r="BC58" i="1"/>
  <c r="I57" i="2" s="1"/>
  <c r="BA58" i="1"/>
  <c r="G57" i="2" s="1"/>
  <c r="AW58" i="1"/>
  <c r="C57" i="2" s="1"/>
  <c r="AV58" i="1"/>
  <c r="AR58" i="1"/>
  <c r="AQ58" i="1"/>
  <c r="A57" i="2" s="1"/>
  <c r="AB58" i="1"/>
  <c r="Z58" i="1"/>
  <c r="Y58" i="1"/>
  <c r="X58" i="1"/>
  <c r="BZ58" i="1" s="1"/>
  <c r="W58" i="1"/>
  <c r="T58" i="1"/>
  <c r="S58" i="1"/>
  <c r="R58" i="1" a="1"/>
  <c r="CL57" i="1"/>
  <c r="CG57" i="1"/>
  <c r="CF57" i="1"/>
  <c r="BY57" i="1"/>
  <c r="CK57" i="1" s="1"/>
  <c r="BG57" i="1"/>
  <c r="M56" i="2" s="1"/>
  <c r="BE57" i="1"/>
  <c r="K56" i="2" s="1"/>
  <c r="BC57" i="1"/>
  <c r="I56" i="2" s="1"/>
  <c r="BA57" i="1"/>
  <c r="G56" i="2" s="1"/>
  <c r="AW57" i="1"/>
  <c r="C56" i="2" s="1"/>
  <c r="AV57" i="1"/>
  <c r="B56" i="2" s="1"/>
  <c r="AR57" i="1"/>
  <c r="AQ57" i="1"/>
  <c r="A56" i="2" s="1"/>
  <c r="R57" i="1" a="1"/>
  <c r="CL56" i="1"/>
  <c r="CK56" i="1"/>
  <c r="CG56" i="1"/>
  <c r="CF56" i="1"/>
  <c r="BY56" i="1"/>
  <c r="BW56" i="1"/>
  <c r="BH56" i="1"/>
  <c r="N55" i="2" s="1"/>
  <c r="BG56" i="1"/>
  <c r="M55" i="2" s="1"/>
  <c r="BE56" i="1"/>
  <c r="K55" i="2" s="1"/>
  <c r="BC56" i="1"/>
  <c r="I55" i="2" s="1"/>
  <c r="BA56" i="1"/>
  <c r="G55" i="2" s="1"/>
  <c r="AZ56" i="1"/>
  <c r="F55" i="2" s="1"/>
  <c r="AW56" i="1"/>
  <c r="C55" i="2" s="1"/>
  <c r="AV56" i="1"/>
  <c r="B55" i="2" s="1"/>
  <c r="AR56" i="1"/>
  <c r="AQ56" i="1"/>
  <c r="A55" i="2" s="1"/>
  <c r="AE56" i="1"/>
  <c r="AC56" i="1"/>
  <c r="Z56" i="1"/>
  <c r="Y56" i="1"/>
  <c r="W56" i="1"/>
  <c r="V56" i="1"/>
  <c r="BU56" i="1" s="1"/>
  <c r="BD56" i="1" s="1"/>
  <c r="J55" i="2" s="1"/>
  <c r="U56" i="1"/>
  <c r="S56" i="1"/>
  <c r="BS56" i="1" s="1" a="1"/>
  <c r="BS56" i="1" s="1"/>
  <c r="R56" i="1" a="1"/>
  <c r="CL55" i="1"/>
  <c r="CK55" i="1"/>
  <c r="CG55" i="1"/>
  <c r="CF55" i="1"/>
  <c r="BY55" i="1"/>
  <c r="BG55" i="1"/>
  <c r="M54" i="2" s="1"/>
  <c r="BE55" i="1"/>
  <c r="K54" i="2" s="1"/>
  <c r="BC55" i="1"/>
  <c r="I54" i="2" s="1"/>
  <c r="BA55" i="1"/>
  <c r="G54" i="2" s="1"/>
  <c r="AW55" i="1"/>
  <c r="C54" i="2" s="1"/>
  <c r="AV55" i="1"/>
  <c r="AR55" i="1"/>
  <c r="AQ55" i="1"/>
  <c r="A54" i="2" s="1"/>
  <c r="AD55" i="1"/>
  <c r="AA55" i="1"/>
  <c r="Z55" i="1"/>
  <c r="Y55" i="1"/>
  <c r="X55" i="1"/>
  <c r="BZ55" i="1" s="1"/>
  <c r="V55" i="1"/>
  <c r="BQ55" i="1" s="1"/>
  <c r="AY55" i="1" s="1"/>
  <c r="E54" i="2" s="1"/>
  <c r="U55" i="1"/>
  <c r="T55" i="1"/>
  <c r="R55" i="1" a="1"/>
  <c r="R55" i="1"/>
  <c r="BP55" i="1" s="1"/>
  <c r="CL54" i="1"/>
  <c r="CK54" i="1"/>
  <c r="CJ54" i="1"/>
  <c r="CI54" i="1"/>
  <c r="CG54" i="1"/>
  <c r="CF54" i="1"/>
  <c r="CE54" i="1"/>
  <c r="BY54" i="1"/>
  <c r="BV54" i="1"/>
  <c r="BF54" i="1" s="1"/>
  <c r="L53" i="2" s="1"/>
  <c r="BU54" i="1"/>
  <c r="BD54" i="1" s="1"/>
  <c r="J53" i="2" s="1"/>
  <c r="BQ54" i="1"/>
  <c r="AY54" i="1" s="1"/>
  <c r="E53" i="2" s="1"/>
  <c r="BP54" i="1"/>
  <c r="BH54" i="1"/>
  <c r="N53" i="2" s="1"/>
  <c r="BG54" i="1"/>
  <c r="M53" i="2" s="1"/>
  <c r="BE54" i="1"/>
  <c r="K53" i="2" s="1"/>
  <c r="BC54" i="1"/>
  <c r="I53" i="2" s="1"/>
  <c r="BA54" i="1"/>
  <c r="G53" i="2" s="1"/>
  <c r="AW54" i="1"/>
  <c r="C53" i="2" s="1"/>
  <c r="AV54" i="1"/>
  <c r="B53" i="2" s="1"/>
  <c r="AR54" i="1"/>
  <c r="AQ54" i="1"/>
  <c r="A53" i="2" s="1"/>
  <c r="AE54" i="1"/>
  <c r="BW54" i="1" s="1"/>
  <c r="AD54" i="1"/>
  <c r="AC54" i="1"/>
  <c r="AB54" i="1"/>
  <c r="AA54" i="1"/>
  <c r="Y54" i="1"/>
  <c r="X54" i="1"/>
  <c r="BZ54" i="1" s="1"/>
  <c r="CD54" i="1" s="1"/>
  <c r="W54" i="1"/>
  <c r="V54" i="1"/>
  <c r="U54" i="1"/>
  <c r="BR54" i="1" s="1"/>
  <c r="AX54" i="1" s="1"/>
  <c r="D53" i="2" s="1"/>
  <c r="T54" i="1"/>
  <c r="S54" i="1"/>
  <c r="BS54" i="1" s="1" a="1"/>
  <c r="BS54" i="1" s="1"/>
  <c r="AZ54" i="1" s="1"/>
  <c r="F53" i="2" s="1"/>
  <c r="R54" i="1" a="1"/>
  <c r="Z54" i="1" s="1"/>
  <c r="R54" i="1"/>
  <c r="CL53" i="1"/>
  <c r="CG53" i="1"/>
  <c r="CF53" i="1"/>
  <c r="BY53" i="1"/>
  <c r="CK53" i="1" s="1"/>
  <c r="BG53" i="1"/>
  <c r="M52" i="2" s="1"/>
  <c r="BE53" i="1"/>
  <c r="K52" i="2" s="1"/>
  <c r="BC53" i="1"/>
  <c r="I52" i="2" s="1"/>
  <c r="BA53" i="1"/>
  <c r="G52" i="2" s="1"/>
  <c r="AW53" i="1"/>
  <c r="C52" i="2" s="1"/>
  <c r="AV53" i="1"/>
  <c r="B52" i="2" s="1"/>
  <c r="AR53" i="1"/>
  <c r="AQ53" i="1"/>
  <c r="A52" i="2" s="1"/>
  <c r="AB53" i="1"/>
  <c r="AA53" i="1"/>
  <c r="Z53" i="1"/>
  <c r="Y53" i="1"/>
  <c r="W53" i="1"/>
  <c r="T53" i="1"/>
  <c r="R53" i="1" a="1"/>
  <c r="AE53" i="1" s="1"/>
  <c r="R53" i="1"/>
  <c r="BP53" i="1" s="1"/>
  <c r="CL52" i="1"/>
  <c r="CK52" i="1"/>
  <c r="CG52" i="1"/>
  <c r="CF52" i="1"/>
  <c r="BY52" i="1"/>
  <c r="BG52" i="1"/>
  <c r="BE52" i="1"/>
  <c r="BC52" i="1"/>
  <c r="I51" i="2" s="1"/>
  <c r="BA52" i="1"/>
  <c r="G51" i="2" s="1"/>
  <c r="AW52" i="1"/>
  <c r="C51" i="2" s="1"/>
  <c r="AV52" i="1"/>
  <c r="B51" i="2" s="1"/>
  <c r="AR52" i="1"/>
  <c r="AQ52" i="1"/>
  <c r="A51" i="2" s="1"/>
  <c r="AB52" i="1"/>
  <c r="AA52" i="1"/>
  <c r="T52" i="1"/>
  <c r="S52" i="1"/>
  <c r="R52" i="1" a="1"/>
  <c r="CL51" i="1"/>
  <c r="CG51" i="1"/>
  <c r="CF51" i="1"/>
  <c r="BY51" i="1"/>
  <c r="CK51" i="1" s="1"/>
  <c r="BG51" i="1"/>
  <c r="M50" i="2" s="1"/>
  <c r="BE51" i="1"/>
  <c r="K50" i="2" s="1"/>
  <c r="BC51" i="1"/>
  <c r="I50" i="2" s="1"/>
  <c r="BA51" i="1"/>
  <c r="G50" i="2" s="1"/>
  <c r="AW51" i="1"/>
  <c r="C50" i="2" s="1"/>
  <c r="AV51" i="1"/>
  <c r="B50" i="2" s="1"/>
  <c r="AR51" i="1"/>
  <c r="AQ51" i="1"/>
  <c r="A50" i="2" s="1"/>
  <c r="W51" i="1"/>
  <c r="U51" i="1"/>
  <c r="T51" i="1"/>
  <c r="R51" i="1" a="1"/>
  <c r="CL50" i="1"/>
  <c r="CK50" i="1"/>
  <c r="CG50" i="1"/>
  <c r="CF50" i="1"/>
  <c r="BY50" i="1"/>
  <c r="BG50" i="1"/>
  <c r="M49" i="2" s="1"/>
  <c r="BE50" i="1"/>
  <c r="K49" i="2" s="1"/>
  <c r="BC50" i="1"/>
  <c r="I49" i="2" s="1"/>
  <c r="BA50" i="1"/>
  <c r="AW50" i="1"/>
  <c r="C49" i="2" s="1"/>
  <c r="AV50" i="1"/>
  <c r="B49" i="2" s="1"/>
  <c r="AR50" i="1"/>
  <c r="AQ50" i="1"/>
  <c r="A49" i="2" s="1"/>
  <c r="AE50" i="1"/>
  <c r="AC50" i="1"/>
  <c r="AB50" i="1"/>
  <c r="AA50" i="1"/>
  <c r="T50" i="1"/>
  <c r="S50" i="1"/>
  <c r="R50" i="1" a="1"/>
  <c r="R50" i="1" s="1"/>
  <c r="BP50" i="1" s="1"/>
  <c r="CL49" i="1"/>
  <c r="CG49" i="1"/>
  <c r="CF49" i="1"/>
  <c r="BY49" i="1"/>
  <c r="CK49" i="1" s="1"/>
  <c r="BG49" i="1"/>
  <c r="M48" i="2" s="1"/>
  <c r="BE49" i="1"/>
  <c r="K48" i="2" s="1"/>
  <c r="BC49" i="1"/>
  <c r="I48" i="2" s="1"/>
  <c r="BA49" i="1"/>
  <c r="G48" i="2" s="1"/>
  <c r="AW49" i="1"/>
  <c r="C48" i="2" s="1"/>
  <c r="AV49" i="1"/>
  <c r="B48" i="2" s="1"/>
  <c r="AR49" i="1"/>
  <c r="AQ49" i="1"/>
  <c r="A48" i="2" s="1"/>
  <c r="AB49" i="1"/>
  <c r="AA49" i="1"/>
  <c r="X49" i="1"/>
  <c r="BZ49" i="1" s="1"/>
  <c r="W49" i="1"/>
  <c r="V49" i="1"/>
  <c r="T49" i="1"/>
  <c r="R49" i="1" a="1"/>
  <c r="AE49" i="1" s="1"/>
  <c r="CL48" i="1"/>
  <c r="CK48" i="1"/>
  <c r="CG48" i="1"/>
  <c r="CF48" i="1"/>
  <c r="BY48" i="1"/>
  <c r="BG48" i="1"/>
  <c r="M47" i="2" s="1"/>
  <c r="BE48" i="1"/>
  <c r="K47" i="2" s="1"/>
  <c r="BC48" i="1"/>
  <c r="I47" i="2" s="1"/>
  <c r="BA48" i="1"/>
  <c r="G47" i="2" s="1"/>
  <c r="AW48" i="1"/>
  <c r="C47" i="2" s="1"/>
  <c r="AV48" i="1"/>
  <c r="B47" i="2" s="1"/>
  <c r="AR48" i="1"/>
  <c r="AQ48" i="1"/>
  <c r="A47" i="2" s="1"/>
  <c r="AE48" i="1"/>
  <c r="AD48" i="1"/>
  <c r="R48" i="1" a="1"/>
  <c r="CL47" i="1"/>
  <c r="CG47" i="1"/>
  <c r="CF47" i="1"/>
  <c r="BY47" i="1"/>
  <c r="CK47" i="1" s="1"/>
  <c r="BS47" i="1" a="1"/>
  <c r="BS47" i="1" s="1"/>
  <c r="AZ47" i="1" s="1"/>
  <c r="F46" i="2" s="1"/>
  <c r="BP47" i="1"/>
  <c r="BG47" i="1"/>
  <c r="M46" i="2" s="1"/>
  <c r="BE47" i="1"/>
  <c r="K46" i="2" s="1"/>
  <c r="BC47" i="1"/>
  <c r="BA47" i="1"/>
  <c r="G46" i="2" s="1"/>
  <c r="AW47" i="1"/>
  <c r="C46" i="2" s="1"/>
  <c r="AV47" i="1"/>
  <c r="B46" i="2" s="1"/>
  <c r="AR47" i="1"/>
  <c r="AQ47" i="1"/>
  <c r="A46" i="2" s="1"/>
  <c r="AC47" i="1"/>
  <c r="BU47" i="1" s="1"/>
  <c r="BD47" i="1" s="1"/>
  <c r="J46" i="2" s="1"/>
  <c r="AB47" i="1"/>
  <c r="X47" i="1"/>
  <c r="BZ47" i="1" s="1"/>
  <c r="V47" i="1"/>
  <c r="S47" i="1"/>
  <c r="R47" i="1" a="1"/>
  <c r="R47" i="1"/>
  <c r="CN46" i="1"/>
  <c r="CL46" i="1"/>
  <c r="CG46" i="1"/>
  <c r="CF46" i="1"/>
  <c r="CE46" i="1"/>
  <c r="BY46" i="1"/>
  <c r="CK46" i="1" s="1"/>
  <c r="BW46" i="1"/>
  <c r="BH46" i="1" s="1"/>
  <c r="N45" i="2" s="1"/>
  <c r="BT46" i="1"/>
  <c r="BS46" i="1"/>
  <c r="AZ46" i="1" s="1"/>
  <c r="F45" i="2" s="1"/>
  <c r="BQ46" i="1"/>
  <c r="AY46" i="1" s="1"/>
  <c r="E45" i="2" s="1"/>
  <c r="BP46" i="1"/>
  <c r="BG46" i="1"/>
  <c r="M45" i="2" s="1"/>
  <c r="BF46" i="1"/>
  <c r="L45" i="2" s="1"/>
  <c r="BE46" i="1"/>
  <c r="K45" i="2" s="1"/>
  <c r="BC46" i="1"/>
  <c r="I45" i="2" s="1"/>
  <c r="BB46" i="1"/>
  <c r="H45" i="2" s="1"/>
  <c r="BA46" i="1"/>
  <c r="G45" i="2" s="1"/>
  <c r="AW46" i="1"/>
  <c r="C45" i="2" s="1"/>
  <c r="AV46" i="1"/>
  <c r="AR46" i="1"/>
  <c r="AQ46" i="1"/>
  <c r="A45" i="2" s="1"/>
  <c r="AE46" i="1"/>
  <c r="AD46" i="1"/>
  <c r="BV46" i="1" s="1"/>
  <c r="AC46" i="1"/>
  <c r="BU46" i="1" s="1"/>
  <c r="BD46" i="1" s="1"/>
  <c r="J45" i="2" s="1"/>
  <c r="AB46" i="1"/>
  <c r="AA46" i="1"/>
  <c r="Y46" i="1"/>
  <c r="CJ46" i="1" s="1"/>
  <c r="X46" i="1"/>
  <c r="BZ46" i="1" s="1"/>
  <c r="CD46" i="1" s="1"/>
  <c r="BL46" i="1" s="1"/>
  <c r="BN46" i="1" s="1"/>
  <c r="W46" i="1"/>
  <c r="V46" i="1"/>
  <c r="BS46" i="1" s="1" a="1"/>
  <c r="U46" i="1"/>
  <c r="BR46" i="1" s="1"/>
  <c r="AX46" i="1" s="1"/>
  <c r="D45" i="2" s="1"/>
  <c r="T46" i="1"/>
  <c r="S46" i="1"/>
  <c r="R46" i="1" a="1"/>
  <c r="Z46" i="1" s="1"/>
  <c r="CI46" i="1" s="1"/>
  <c r="R46" i="1"/>
  <c r="CL45" i="1"/>
  <c r="CG45" i="1"/>
  <c r="CF45" i="1"/>
  <c r="CE45" i="1"/>
  <c r="BY45" i="1"/>
  <c r="CK45" i="1" s="1"/>
  <c r="BQ45" i="1"/>
  <c r="AY45" i="1" s="1"/>
  <c r="E44" i="2" s="1"/>
  <c r="BG45" i="1"/>
  <c r="M44" i="2" s="1"/>
  <c r="BE45" i="1"/>
  <c r="K44" i="2" s="1"/>
  <c r="BC45" i="1"/>
  <c r="I44" i="2" s="1"/>
  <c r="BA45" i="1"/>
  <c r="AW45" i="1"/>
  <c r="C44" i="2" s="1"/>
  <c r="AV45" i="1"/>
  <c r="AR45" i="1"/>
  <c r="AQ45" i="1"/>
  <c r="AB45" i="1"/>
  <c r="AA45" i="1"/>
  <c r="Y45" i="1"/>
  <c r="W45" i="1"/>
  <c r="BT45" i="1" s="1"/>
  <c r="BB45" i="1" s="1"/>
  <c r="H44" i="2" s="1"/>
  <c r="V45" i="1"/>
  <c r="T45" i="1"/>
  <c r="R45" i="1" a="1"/>
  <c r="AE45" i="1" s="1"/>
  <c r="BW45" i="1" s="1"/>
  <c r="BH45" i="1" s="1"/>
  <c r="N44" i="2" s="1"/>
  <c r="CL44" i="1"/>
  <c r="CG44" i="1"/>
  <c r="CF44" i="1"/>
  <c r="BY44" i="1"/>
  <c r="CK44" i="1" s="1"/>
  <c r="BG44" i="1"/>
  <c r="M43" i="2" s="1"/>
  <c r="BE44" i="1"/>
  <c r="K43" i="2" s="1"/>
  <c r="BC44" i="1"/>
  <c r="I43" i="2" s="1"/>
  <c r="BA44" i="1"/>
  <c r="G43" i="2" s="1"/>
  <c r="AW44" i="1"/>
  <c r="C43" i="2" s="1"/>
  <c r="AV44" i="1"/>
  <c r="B43" i="2" s="1"/>
  <c r="AR44" i="1"/>
  <c r="AQ44" i="1"/>
  <c r="A43" i="2" s="1"/>
  <c r="AD44" i="1"/>
  <c r="R44" i="1" a="1"/>
  <c r="AE44" i="1" s="1"/>
  <c r="R44" i="1"/>
  <c r="BP44" i="1" s="1"/>
  <c r="CL43" i="1"/>
  <c r="CG43" i="1"/>
  <c r="CF43" i="1"/>
  <c r="BY43" i="1"/>
  <c r="CK43" i="1" s="1"/>
  <c r="BT43" i="1"/>
  <c r="BB43" i="1" s="1"/>
  <c r="H42" i="2" s="1"/>
  <c r="BP43" i="1"/>
  <c r="BG43" i="1"/>
  <c r="M42" i="2" s="1"/>
  <c r="BE43" i="1"/>
  <c r="K42" i="2" s="1"/>
  <c r="BC43" i="1"/>
  <c r="I42" i="2" s="1"/>
  <c r="BA43" i="1"/>
  <c r="G42" i="2" s="1"/>
  <c r="AY43" i="1"/>
  <c r="E42" i="2" s="1"/>
  <c r="AW43" i="1"/>
  <c r="C42" i="2" s="1"/>
  <c r="AV43" i="1"/>
  <c r="B42" i="2" s="1"/>
  <c r="AR43" i="1"/>
  <c r="AQ43" i="1"/>
  <c r="A42" i="2" s="1"/>
  <c r="AE43" i="1"/>
  <c r="BW43" i="1" s="1"/>
  <c r="BH43" i="1" s="1"/>
  <c r="N42" i="2" s="1"/>
  <c r="AD43" i="1"/>
  <c r="BV43" i="1" s="1"/>
  <c r="BF43" i="1" s="1"/>
  <c r="L42" i="2" s="1"/>
  <c r="AC43" i="1"/>
  <c r="Z43" i="1"/>
  <c r="Y43" i="1"/>
  <c r="X43" i="1"/>
  <c r="BZ43" i="1" s="1"/>
  <c r="CD43" i="1" s="1"/>
  <c r="W43" i="1"/>
  <c r="V43" i="1"/>
  <c r="CE43" i="1" s="1"/>
  <c r="U43" i="1"/>
  <c r="BR43" i="1" s="1"/>
  <c r="AX43" i="1" s="1"/>
  <c r="D42" i="2" s="1"/>
  <c r="T43" i="1"/>
  <c r="BQ43" i="1" s="1"/>
  <c r="R43" i="1" a="1"/>
  <c r="R43" i="1"/>
  <c r="CL42" i="1"/>
  <c r="CG42" i="1"/>
  <c r="CF42" i="1"/>
  <c r="BY42" i="1"/>
  <c r="CK42" i="1" s="1"/>
  <c r="BG42" i="1"/>
  <c r="M41" i="2" s="1"/>
  <c r="BE42" i="1"/>
  <c r="K41" i="2" s="1"/>
  <c r="BC42" i="1"/>
  <c r="I41" i="2" s="1"/>
  <c r="BA42" i="1"/>
  <c r="G41" i="2" s="1"/>
  <c r="AW42" i="1"/>
  <c r="C41" i="2" s="1"/>
  <c r="AV42" i="1"/>
  <c r="B41" i="2" s="1"/>
  <c r="AR42" i="1"/>
  <c r="AQ42" i="1"/>
  <c r="A41" i="2" s="1"/>
  <c r="AE42" i="1"/>
  <c r="AC42" i="1"/>
  <c r="AB42" i="1"/>
  <c r="AA42" i="1"/>
  <c r="T42" i="1"/>
  <c r="S42" i="1"/>
  <c r="R42" i="1" a="1"/>
  <c r="CL41" i="1"/>
  <c r="CG41" i="1"/>
  <c r="CF41" i="1"/>
  <c r="CE41" i="1"/>
  <c r="BZ41" i="1"/>
  <c r="CD41" i="1" s="1"/>
  <c r="BY41" i="1"/>
  <c r="CK41" i="1" s="1"/>
  <c r="BV41" i="1"/>
  <c r="BS41" i="1" a="1"/>
  <c r="BS41" i="1" s="1"/>
  <c r="AZ41" i="1" s="1"/>
  <c r="F40" i="2" s="1"/>
  <c r="BR41" i="1"/>
  <c r="AX41" i="1" s="1"/>
  <c r="D40" i="2" s="1"/>
  <c r="BP41" i="1"/>
  <c r="BG41" i="1"/>
  <c r="M40" i="2" s="1"/>
  <c r="BF41" i="1"/>
  <c r="L40" i="2" s="1"/>
  <c r="BE41" i="1"/>
  <c r="K40" i="2" s="1"/>
  <c r="BC41" i="1"/>
  <c r="I40" i="2" s="1"/>
  <c r="BB41" i="1"/>
  <c r="H40" i="2" s="1"/>
  <c r="BA41" i="1"/>
  <c r="G40" i="2" s="1"/>
  <c r="AW41" i="1"/>
  <c r="C40" i="2" s="1"/>
  <c r="AV41" i="1"/>
  <c r="B40" i="2" s="1"/>
  <c r="AR41" i="1"/>
  <c r="AQ41" i="1"/>
  <c r="A40" i="2" s="1"/>
  <c r="AE41" i="1"/>
  <c r="AD41" i="1"/>
  <c r="AC41" i="1"/>
  <c r="BU41" i="1" s="1"/>
  <c r="BD41" i="1" s="1"/>
  <c r="J40" i="2" s="1"/>
  <c r="AB41" i="1"/>
  <c r="AA41" i="1"/>
  <c r="Y41" i="1"/>
  <c r="X41" i="1"/>
  <c r="W41" i="1"/>
  <c r="V41" i="1"/>
  <c r="BT41" i="1" s="1"/>
  <c r="U41" i="1"/>
  <c r="T41" i="1"/>
  <c r="BQ41" i="1" s="1"/>
  <c r="AY41" i="1" s="1"/>
  <c r="E40" i="2" s="1"/>
  <c r="S41" i="1"/>
  <c r="R41" i="1" a="1"/>
  <c r="Z41" i="1" s="1"/>
  <c r="CI41" i="1" s="1"/>
  <c r="R41" i="1"/>
  <c r="CL40" i="1"/>
  <c r="CG40" i="1"/>
  <c r="CF40" i="1"/>
  <c r="BY40" i="1"/>
  <c r="CK40" i="1" s="1"/>
  <c r="BG40" i="1"/>
  <c r="M39" i="2" s="1"/>
  <c r="BE40" i="1"/>
  <c r="K39" i="2" s="1"/>
  <c r="BC40" i="1"/>
  <c r="BA40" i="1"/>
  <c r="G39" i="2" s="1"/>
  <c r="AW40" i="1"/>
  <c r="C39" i="2" s="1"/>
  <c r="AV40" i="1"/>
  <c r="B39" i="2" s="1"/>
  <c r="AR40" i="1"/>
  <c r="AQ40" i="1"/>
  <c r="A39" i="2" s="1"/>
  <c r="R40" i="1" a="1"/>
  <c r="AD40" i="1" s="1"/>
  <c r="CL39" i="1"/>
  <c r="CG39" i="1"/>
  <c r="CF39" i="1"/>
  <c r="BY39" i="1"/>
  <c r="CK39" i="1" s="1"/>
  <c r="BG39" i="1"/>
  <c r="M38" i="2" s="1"/>
  <c r="BE39" i="1"/>
  <c r="K38" i="2" s="1"/>
  <c r="BC39" i="1"/>
  <c r="I38" i="2" s="1"/>
  <c r="BA39" i="1"/>
  <c r="G38" i="2" s="1"/>
  <c r="AW39" i="1"/>
  <c r="C38" i="2" s="1"/>
  <c r="AV39" i="1"/>
  <c r="B38" i="2" s="1"/>
  <c r="AR39" i="1"/>
  <c r="AQ39" i="1"/>
  <c r="A38" i="2" s="1"/>
  <c r="AD39" i="1"/>
  <c r="AC39" i="1"/>
  <c r="AB39" i="1"/>
  <c r="AA39" i="1"/>
  <c r="V39" i="1"/>
  <c r="BS39" i="1" s="1" a="1"/>
  <c r="BS39" i="1" s="1"/>
  <c r="AZ39" i="1" s="1"/>
  <c r="F38" i="2" s="1"/>
  <c r="T39" i="1"/>
  <c r="S39" i="1"/>
  <c r="R39" i="1" a="1"/>
  <c r="R39" i="1"/>
  <c r="BP39" i="1" s="1"/>
  <c r="CL38" i="1"/>
  <c r="CG38" i="1"/>
  <c r="CF38" i="1"/>
  <c r="CE38" i="1"/>
  <c r="BZ38" i="1"/>
  <c r="BY38" i="1"/>
  <c r="CK38" i="1" s="1"/>
  <c r="BR38" i="1"/>
  <c r="AX38" i="1" s="1"/>
  <c r="D37" i="2" s="1"/>
  <c r="BQ38" i="1"/>
  <c r="AY38" i="1" s="1"/>
  <c r="E37" i="2" s="1"/>
  <c r="BG38" i="1"/>
  <c r="M37" i="2" s="1"/>
  <c r="BE38" i="1"/>
  <c r="BC38" i="1"/>
  <c r="BA38" i="1"/>
  <c r="G37" i="2" s="1"/>
  <c r="AW38" i="1"/>
  <c r="C37" i="2" s="1"/>
  <c r="AV38" i="1"/>
  <c r="B37" i="2" s="1"/>
  <c r="AR38" i="1"/>
  <c r="AQ38" i="1"/>
  <c r="A37" i="2" s="1"/>
  <c r="AE38" i="1"/>
  <c r="BW38" i="1" s="1"/>
  <c r="BH38" i="1" s="1"/>
  <c r="N37" i="2" s="1"/>
  <c r="AD38" i="1"/>
  <c r="AC38" i="1"/>
  <c r="Z38" i="1"/>
  <c r="Y38" i="1"/>
  <c r="X38" i="1"/>
  <c r="W38" i="1"/>
  <c r="V38" i="1"/>
  <c r="BT38" i="1" s="1"/>
  <c r="BB38" i="1" s="1"/>
  <c r="H37" i="2" s="1"/>
  <c r="U38" i="1"/>
  <c r="T38" i="1"/>
  <c r="R38" i="1" a="1"/>
  <c r="R38" i="1"/>
  <c r="BP38" i="1" s="1"/>
  <c r="CL37" i="1"/>
  <c r="CG37" i="1"/>
  <c r="CF37" i="1"/>
  <c r="BY37" i="1"/>
  <c r="CK37" i="1" s="1"/>
  <c r="BG37" i="1"/>
  <c r="M36" i="2" s="1"/>
  <c r="BE37" i="1"/>
  <c r="K36" i="2" s="1"/>
  <c r="BC37" i="1"/>
  <c r="I36" i="2" s="1"/>
  <c r="BA37" i="1"/>
  <c r="G36" i="2" s="1"/>
  <c r="AW37" i="1"/>
  <c r="C36" i="2" s="1"/>
  <c r="AV37" i="1"/>
  <c r="B36" i="2" s="1"/>
  <c r="AR37" i="1"/>
  <c r="AQ37" i="1"/>
  <c r="A36" i="2" s="1"/>
  <c r="Y37" i="1"/>
  <c r="X37" i="1"/>
  <c r="BZ37" i="1" s="1"/>
  <c r="W37" i="1"/>
  <c r="R37" i="1" a="1"/>
  <c r="CL36" i="1"/>
  <c r="CK36" i="1"/>
  <c r="CG36" i="1"/>
  <c r="CF36" i="1"/>
  <c r="BY36" i="1"/>
  <c r="BG36" i="1"/>
  <c r="M35" i="2" s="1"/>
  <c r="BE36" i="1"/>
  <c r="K35" i="2" s="1"/>
  <c r="BC36" i="1"/>
  <c r="I35" i="2" s="1"/>
  <c r="BA36" i="1"/>
  <c r="G35" i="2" s="1"/>
  <c r="AW36" i="1"/>
  <c r="C35" i="2" s="1"/>
  <c r="AV36" i="1"/>
  <c r="B35" i="2" s="1"/>
  <c r="AR36" i="1"/>
  <c r="AQ36" i="1"/>
  <c r="A35" i="2" s="1"/>
  <c r="AD36" i="1"/>
  <c r="Z36" i="1"/>
  <c r="V36" i="1"/>
  <c r="T36" i="1"/>
  <c r="BQ36" i="1" s="1"/>
  <c r="AY36" i="1" s="1"/>
  <c r="E35" i="2" s="1"/>
  <c r="S36" i="1"/>
  <c r="R36" i="1" a="1"/>
  <c r="CL35" i="1"/>
  <c r="CK35" i="1"/>
  <c r="CG35" i="1"/>
  <c r="CF35" i="1"/>
  <c r="BY35" i="1"/>
  <c r="BW35" i="1"/>
  <c r="BH35" i="1" s="1"/>
  <c r="N34" i="2" s="1"/>
  <c r="BV35" i="1"/>
  <c r="BF35" i="1" s="1"/>
  <c r="L34" i="2" s="1"/>
  <c r="BU35" i="1"/>
  <c r="BS35" i="1" a="1"/>
  <c r="BS35" i="1"/>
  <c r="AZ35" i="1" s="1"/>
  <c r="F34" i="2" s="1"/>
  <c r="BG35" i="1"/>
  <c r="M34" i="2" s="1"/>
  <c r="BE35" i="1"/>
  <c r="K34" i="2" s="1"/>
  <c r="BD35" i="1"/>
  <c r="J34" i="2" s="1"/>
  <c r="BC35" i="1"/>
  <c r="I34" i="2" s="1"/>
  <c r="BB35" i="1"/>
  <c r="H34" i="2" s="1"/>
  <c r="BA35" i="1"/>
  <c r="G34" i="2" s="1"/>
  <c r="AW35" i="1"/>
  <c r="C34" i="2" s="1"/>
  <c r="AV35" i="1"/>
  <c r="B34" i="2" s="1"/>
  <c r="AR35" i="1"/>
  <c r="AQ35" i="1"/>
  <c r="A34" i="2" s="1"/>
  <c r="AE35" i="1"/>
  <c r="AD35" i="1"/>
  <c r="AC35" i="1"/>
  <c r="AB35" i="1"/>
  <c r="AA35" i="1"/>
  <c r="Y35" i="1"/>
  <c r="CJ35" i="1" s="1"/>
  <c r="BJ35" i="1" s="1"/>
  <c r="X35" i="1"/>
  <c r="BZ35" i="1" s="1"/>
  <c r="CD35" i="1" s="1"/>
  <c r="W35" i="1"/>
  <c r="BT35" i="1" s="1"/>
  <c r="V35" i="1"/>
  <c r="U35" i="1"/>
  <c r="BR35" i="1" s="1"/>
  <c r="AX35" i="1" s="1"/>
  <c r="D34" i="2" s="1"/>
  <c r="T35" i="1"/>
  <c r="BQ35" i="1" s="1"/>
  <c r="AY35" i="1" s="1"/>
  <c r="E34" i="2" s="1"/>
  <c r="S35" i="1"/>
  <c r="R35" i="1" a="1"/>
  <c r="Z35" i="1" s="1"/>
  <c r="CI35" i="1" s="1"/>
  <c r="R35" i="1"/>
  <c r="BP35" i="1" s="1"/>
  <c r="CL34" i="1"/>
  <c r="CG34" i="1"/>
  <c r="CF34" i="1"/>
  <c r="BY34" i="1"/>
  <c r="CK34" i="1" s="1"/>
  <c r="BG34" i="1"/>
  <c r="M33" i="2" s="1"/>
  <c r="BE34" i="1"/>
  <c r="K33" i="2" s="1"/>
  <c r="BC34" i="1"/>
  <c r="I33" i="2" s="1"/>
  <c r="BA34" i="1"/>
  <c r="AW34" i="1"/>
  <c r="C33" i="2" s="1"/>
  <c r="AV34" i="1"/>
  <c r="AR34" i="1"/>
  <c r="AQ34" i="1"/>
  <c r="A33" i="2" s="1"/>
  <c r="R34" i="1" a="1"/>
  <c r="CL33" i="1"/>
  <c r="CG33" i="1"/>
  <c r="CF33" i="1"/>
  <c r="CE33" i="1"/>
  <c r="CD33" i="1"/>
  <c r="CN33" i="1" s="1"/>
  <c r="BZ33" i="1"/>
  <c r="BY33" i="1"/>
  <c r="CK33" i="1" s="1"/>
  <c r="BH33" i="1"/>
  <c r="N32" i="2" s="1"/>
  <c r="BG33" i="1"/>
  <c r="M32" i="2" s="1"/>
  <c r="BE33" i="1"/>
  <c r="K32" i="2" s="1"/>
  <c r="BC33" i="1"/>
  <c r="I32" i="2" s="1"/>
  <c r="BA33" i="1"/>
  <c r="G32" i="2" s="1"/>
  <c r="AW33" i="1"/>
  <c r="C32" i="2" s="1"/>
  <c r="AV33" i="1"/>
  <c r="B32" i="2" s="1"/>
  <c r="AR33" i="1"/>
  <c r="AQ33" i="1"/>
  <c r="A32" i="2" s="1"/>
  <c r="AE33" i="1"/>
  <c r="BW33" i="1" s="1"/>
  <c r="AD33" i="1"/>
  <c r="BV33" i="1" s="1"/>
  <c r="BF33" i="1" s="1"/>
  <c r="L32" i="2" s="1"/>
  <c r="AC33" i="1"/>
  <c r="BU33" i="1" s="1"/>
  <c r="BD33" i="1" s="1"/>
  <c r="J32" i="2" s="1"/>
  <c r="AB33" i="1"/>
  <c r="CI33" i="1" s="1"/>
  <c r="Z33" i="1"/>
  <c r="Y33" i="1"/>
  <c r="W33" i="1"/>
  <c r="BT33" i="1" s="1"/>
  <c r="BB33" i="1" s="1"/>
  <c r="H32" i="2" s="1"/>
  <c r="V33" i="1"/>
  <c r="U33" i="1"/>
  <c r="BR33" i="1" s="1"/>
  <c r="AX33" i="1" s="1"/>
  <c r="D32" i="2" s="1"/>
  <c r="T33" i="1"/>
  <c r="BQ33" i="1" s="1"/>
  <c r="AY33" i="1" s="1"/>
  <c r="E32" i="2" s="1"/>
  <c r="S33" i="1"/>
  <c r="BS33" i="1" s="1" a="1"/>
  <c r="BS33" i="1" s="1"/>
  <c r="AZ33" i="1" s="1"/>
  <c r="F32" i="2" s="1"/>
  <c r="R33" i="1" a="1"/>
  <c r="X33" i="1" s="1"/>
  <c r="R33" i="1"/>
  <c r="BP33" i="1" s="1"/>
  <c r="CL32" i="1"/>
  <c r="CG32" i="1"/>
  <c r="CF32" i="1"/>
  <c r="BY32" i="1"/>
  <c r="CK32" i="1" s="1"/>
  <c r="BV32" i="1"/>
  <c r="BP32" i="1"/>
  <c r="BG32" i="1"/>
  <c r="M31" i="2" s="1"/>
  <c r="BF32" i="1"/>
  <c r="L31" i="2" s="1"/>
  <c r="BE32" i="1"/>
  <c r="K31" i="2" s="1"/>
  <c r="BC32" i="1"/>
  <c r="I31" i="2" s="1"/>
  <c r="BA32" i="1"/>
  <c r="G31" i="2" s="1"/>
  <c r="AW32" i="1"/>
  <c r="C31" i="2" s="1"/>
  <c r="AV32" i="1"/>
  <c r="B31" i="2" s="1"/>
  <c r="AR32" i="1"/>
  <c r="AQ32" i="1"/>
  <c r="A31" i="2" s="1"/>
  <c r="AE32" i="1"/>
  <c r="BW32" i="1" s="1"/>
  <c r="BH32" i="1" s="1"/>
  <c r="N31" i="2" s="1"/>
  <c r="AD32" i="1"/>
  <c r="AC32" i="1"/>
  <c r="BU32" i="1" s="1"/>
  <c r="BD32" i="1" s="1"/>
  <c r="J31" i="2" s="1"/>
  <c r="AB32" i="1"/>
  <c r="AA32" i="1"/>
  <c r="CJ32" i="1" s="1"/>
  <c r="Y32" i="1"/>
  <c r="X32" i="1"/>
  <c r="BZ32" i="1" s="1"/>
  <c r="CD32" i="1" s="1"/>
  <c r="W32" i="1"/>
  <c r="V32" i="1"/>
  <c r="U32" i="1"/>
  <c r="T32" i="1"/>
  <c r="BQ32" i="1" s="1"/>
  <c r="AY32" i="1" s="1"/>
  <c r="E31" i="2" s="1"/>
  <c r="S32" i="1"/>
  <c r="BS32" i="1" s="1" a="1"/>
  <c r="BS32" i="1" s="1"/>
  <c r="AZ32" i="1" s="1"/>
  <c r="F31" i="2" s="1"/>
  <c r="R32" i="1" a="1"/>
  <c r="Z32" i="1" s="1"/>
  <c r="CI32" i="1" s="1"/>
  <c r="R32" i="1"/>
  <c r="CL31" i="1"/>
  <c r="CG31" i="1"/>
  <c r="CF31" i="1"/>
  <c r="BZ31" i="1"/>
  <c r="CD31" i="1" s="1"/>
  <c r="BY31" i="1"/>
  <c r="CK31" i="1" s="1"/>
  <c r="BP31" i="1"/>
  <c r="BG31" i="1"/>
  <c r="M30" i="2" s="1"/>
  <c r="BE31" i="1"/>
  <c r="K30" i="2" s="1"/>
  <c r="BC31" i="1"/>
  <c r="I30" i="2" s="1"/>
  <c r="BA31" i="1"/>
  <c r="G30" i="2" s="1"/>
  <c r="AZ31" i="1"/>
  <c r="F30" i="2" s="1"/>
  <c r="AW31" i="1"/>
  <c r="C30" i="2" s="1"/>
  <c r="AV31" i="1"/>
  <c r="B30" i="2" s="1"/>
  <c r="AR31" i="1"/>
  <c r="AQ31" i="1"/>
  <c r="A30" i="2" s="1"/>
  <c r="AD31" i="1"/>
  <c r="AA31" i="1"/>
  <c r="Z31" i="1"/>
  <c r="Y31" i="1"/>
  <c r="CJ31" i="1" s="1"/>
  <c r="X31" i="1"/>
  <c r="V31" i="1"/>
  <c r="S31" i="1"/>
  <c r="BS31" i="1" s="1" a="1"/>
  <c r="BS31" i="1" s="1"/>
  <c r="R31" i="1" a="1"/>
  <c r="R31" i="1"/>
  <c r="CL30" i="1"/>
  <c r="CK30" i="1"/>
  <c r="CG30" i="1"/>
  <c r="CF30" i="1"/>
  <c r="BY30" i="1"/>
  <c r="BG30" i="1"/>
  <c r="M29" i="2" s="1"/>
  <c r="BE30" i="1"/>
  <c r="K29" i="2" s="1"/>
  <c r="BC30" i="1"/>
  <c r="I29" i="2" s="1"/>
  <c r="BA30" i="1"/>
  <c r="G29" i="2" s="1"/>
  <c r="AW30" i="1"/>
  <c r="C29" i="2" s="1"/>
  <c r="AV30" i="1"/>
  <c r="AR30" i="1"/>
  <c r="AQ30" i="1"/>
  <c r="A29" i="2" s="1"/>
  <c r="R30" i="1" a="1"/>
  <c r="R30" i="1"/>
  <c r="BP30" i="1" s="1"/>
  <c r="CL29" i="1"/>
  <c r="CG29" i="1"/>
  <c r="CF29" i="1"/>
  <c r="CE29" i="1"/>
  <c r="BY29" i="1"/>
  <c r="CK29" i="1" s="1"/>
  <c r="BG29" i="1"/>
  <c r="M28" i="2" s="1"/>
  <c r="BE29" i="1"/>
  <c r="K28" i="2" s="1"/>
  <c r="BC29" i="1"/>
  <c r="I28" i="2" s="1"/>
  <c r="BA29" i="1"/>
  <c r="G28" i="2" s="1"/>
  <c r="AY29" i="1"/>
  <c r="E28" i="2" s="1"/>
  <c r="AW29" i="1"/>
  <c r="C28" i="2" s="1"/>
  <c r="AV29" i="1"/>
  <c r="B28" i="2" s="1"/>
  <c r="AR29" i="1"/>
  <c r="AQ29" i="1"/>
  <c r="A28" i="2" s="1"/>
  <c r="AE29" i="1"/>
  <c r="BW29" i="1" s="1"/>
  <c r="BH29" i="1" s="1"/>
  <c r="N28" i="2" s="1"/>
  <c r="AD29" i="1"/>
  <c r="BV29" i="1" s="1"/>
  <c r="BF29" i="1" s="1"/>
  <c r="L28" i="2" s="1"/>
  <c r="AC29" i="1"/>
  <c r="AB29" i="1"/>
  <c r="CI29" i="1" s="1"/>
  <c r="Y29" i="1"/>
  <c r="X29" i="1"/>
  <c r="BZ29" i="1" s="1"/>
  <c r="W29" i="1"/>
  <c r="V29" i="1"/>
  <c r="BU29" i="1" s="1"/>
  <c r="BD29" i="1" s="1"/>
  <c r="J28" i="2" s="1"/>
  <c r="U29" i="1"/>
  <c r="BR29" i="1" s="1"/>
  <c r="AX29" i="1" s="1"/>
  <c r="D28" i="2" s="1"/>
  <c r="T29" i="1"/>
  <c r="BQ29" i="1" s="1"/>
  <c r="R29" i="1" a="1"/>
  <c r="Z29" i="1" s="1"/>
  <c r="R29" i="1"/>
  <c r="BP29" i="1" s="1"/>
  <c r="CL28" i="1"/>
  <c r="CG28" i="1"/>
  <c r="CF28" i="1"/>
  <c r="BY28" i="1"/>
  <c r="CK28" i="1" s="1"/>
  <c r="BG28" i="1"/>
  <c r="M27" i="2" s="1"/>
  <c r="BE28" i="1"/>
  <c r="K27" i="2" s="1"/>
  <c r="BC28" i="1"/>
  <c r="I27" i="2" s="1"/>
  <c r="BA28" i="1"/>
  <c r="G27" i="2" s="1"/>
  <c r="AW28" i="1"/>
  <c r="C27" i="2" s="1"/>
  <c r="AV28" i="1"/>
  <c r="B27" i="2" s="1"/>
  <c r="AR28" i="1"/>
  <c r="AQ28" i="1"/>
  <c r="A27" i="2" s="1"/>
  <c r="AE28" i="1"/>
  <c r="AB28" i="1"/>
  <c r="AA28" i="1"/>
  <c r="Z28" i="1"/>
  <c r="W28" i="1"/>
  <c r="R28" i="1" a="1"/>
  <c r="R28" i="1"/>
  <c r="BP28" i="1" s="1"/>
  <c r="CL27" i="1"/>
  <c r="CG27" i="1"/>
  <c r="CF27" i="1"/>
  <c r="BY27" i="1"/>
  <c r="CK27" i="1" s="1"/>
  <c r="BG27" i="1"/>
  <c r="M26" i="2" s="1"/>
  <c r="BE27" i="1"/>
  <c r="K26" i="2" s="1"/>
  <c r="BC27" i="1"/>
  <c r="I26" i="2" s="1"/>
  <c r="BA27" i="1"/>
  <c r="G26" i="2" s="1"/>
  <c r="AW27" i="1"/>
  <c r="C26" i="2" s="1"/>
  <c r="AV27" i="1"/>
  <c r="B26" i="2" s="1"/>
  <c r="AR27" i="1"/>
  <c r="AQ27" i="1"/>
  <c r="A26" i="2" s="1"/>
  <c r="AD27" i="1"/>
  <c r="AA27" i="1"/>
  <c r="Z27" i="1"/>
  <c r="W27" i="1"/>
  <c r="V27" i="1"/>
  <c r="BV27" i="1" s="1"/>
  <c r="BF27" i="1" s="1"/>
  <c r="L26" i="2" s="1"/>
  <c r="T27" i="1"/>
  <c r="BQ27" i="1" s="1"/>
  <c r="AY27" i="1" s="1"/>
  <c r="E26" i="2" s="1"/>
  <c r="S27" i="1"/>
  <c r="BS27" i="1" s="1" a="1"/>
  <c r="BS27" i="1" s="1"/>
  <c r="AZ27" i="1" s="1"/>
  <c r="F26" i="2" s="1"/>
  <c r="R27" i="1" a="1"/>
  <c r="AB27" i="1" s="1"/>
  <c r="CL26" i="1"/>
  <c r="CK26" i="1"/>
  <c r="CG26" i="1"/>
  <c r="CF26" i="1"/>
  <c r="BZ26" i="1"/>
  <c r="CD26" i="1" s="1"/>
  <c r="BY26" i="1"/>
  <c r="BG26" i="1"/>
  <c r="M25" i="2" s="1"/>
  <c r="BE26" i="1"/>
  <c r="K25" i="2" s="1"/>
  <c r="BC26" i="1"/>
  <c r="I25" i="2" s="1"/>
  <c r="BA26" i="1"/>
  <c r="G25" i="2" s="1"/>
  <c r="AW26" i="1"/>
  <c r="C25" i="2" s="1"/>
  <c r="AV26" i="1"/>
  <c r="B25" i="2" s="1"/>
  <c r="AR26" i="1"/>
  <c r="AQ26" i="1"/>
  <c r="A25" i="2" s="1"/>
  <c r="AD26" i="1"/>
  <c r="BV26" i="1" s="1"/>
  <c r="BF26" i="1" s="1"/>
  <c r="L25" i="2" s="1"/>
  <c r="Z26" i="1"/>
  <c r="Y26" i="1"/>
  <c r="X26" i="1"/>
  <c r="W26" i="1"/>
  <c r="V26" i="1"/>
  <c r="BT26" i="1" s="1"/>
  <c r="BB26" i="1" s="1"/>
  <c r="H25" i="2" s="1"/>
  <c r="R26" i="1" a="1"/>
  <c r="CL25" i="1"/>
  <c r="CK25" i="1"/>
  <c r="CG25" i="1"/>
  <c r="CF25" i="1"/>
  <c r="BY25" i="1"/>
  <c r="BG25" i="1"/>
  <c r="M24" i="2" s="1"/>
  <c r="BE25" i="1"/>
  <c r="BC25" i="1"/>
  <c r="I24" i="2" s="1"/>
  <c r="BA25" i="1"/>
  <c r="G24" i="2" s="1"/>
  <c r="AW25" i="1"/>
  <c r="C24" i="2" s="1"/>
  <c r="AV25" i="1"/>
  <c r="B24" i="2" s="1"/>
  <c r="AR25" i="1"/>
  <c r="AQ25" i="1"/>
  <c r="A24" i="2" s="1"/>
  <c r="S25" i="1"/>
  <c r="R25" i="1" a="1"/>
  <c r="CL24" i="1"/>
  <c r="CG24" i="1"/>
  <c r="CF24" i="1"/>
  <c r="CE24" i="1"/>
  <c r="CN24" i="1" s="1"/>
  <c r="BY24" i="1"/>
  <c r="CK24" i="1" s="1"/>
  <c r="BL24" i="1" s="1"/>
  <c r="BN24" i="1" s="1"/>
  <c r="BW24" i="1"/>
  <c r="BH24" i="1" s="1"/>
  <c r="N23" i="2" s="1"/>
  <c r="BV24" i="1"/>
  <c r="BF24" i="1" s="1"/>
  <c r="L23" i="2" s="1"/>
  <c r="BS24" i="1" a="1"/>
  <c r="BS24" i="1" s="1"/>
  <c r="AZ24" i="1" s="1"/>
  <c r="F23" i="2" s="1"/>
  <c r="BP24" i="1"/>
  <c r="BM24" i="1"/>
  <c r="BG24" i="1"/>
  <c r="M23" i="2" s="1"/>
  <c r="BE24" i="1"/>
  <c r="K23" i="2" s="1"/>
  <c r="BC24" i="1"/>
  <c r="I23" i="2" s="1"/>
  <c r="BA24" i="1"/>
  <c r="G23" i="2" s="1"/>
  <c r="AW24" i="1"/>
  <c r="C23" i="2" s="1"/>
  <c r="AV24" i="1"/>
  <c r="B23" i="2" s="1"/>
  <c r="AR24" i="1"/>
  <c r="AQ24" i="1"/>
  <c r="A23" i="2" s="1"/>
  <c r="AE24" i="1"/>
  <c r="AD24" i="1"/>
  <c r="AC24" i="1"/>
  <c r="BU24" i="1" s="1"/>
  <c r="BD24" i="1" s="1"/>
  <c r="J23" i="2" s="1"/>
  <c r="AB24" i="1"/>
  <c r="AA24" i="1"/>
  <c r="CJ24" i="1" s="1"/>
  <c r="BJ24" i="1" s="1"/>
  <c r="Y24" i="1"/>
  <c r="X24" i="1"/>
  <c r="BZ24" i="1" s="1"/>
  <c r="CD24" i="1" s="1"/>
  <c r="W24" i="1"/>
  <c r="V24" i="1"/>
  <c r="BT24" i="1" s="1"/>
  <c r="BB24" i="1" s="1"/>
  <c r="U24" i="1"/>
  <c r="BR24" i="1" s="1"/>
  <c r="AX24" i="1" s="1"/>
  <c r="D23" i="2" s="1"/>
  <c r="T24" i="1"/>
  <c r="BQ24" i="1" s="1"/>
  <c r="AY24" i="1" s="1"/>
  <c r="E23" i="2" s="1"/>
  <c r="S24" i="1"/>
  <c r="R24" i="1" a="1"/>
  <c r="Z24" i="1" s="1"/>
  <c r="CI24" i="1" s="1"/>
  <c r="R24" i="1"/>
  <c r="CL23" i="1"/>
  <c r="CK23" i="1"/>
  <c r="CG23" i="1"/>
  <c r="CF23" i="1"/>
  <c r="BY23" i="1"/>
  <c r="BG23" i="1"/>
  <c r="M22" i="2" s="1"/>
  <c r="BE23" i="1"/>
  <c r="K22" i="2" s="1"/>
  <c r="BC23" i="1"/>
  <c r="I22" i="2" s="1"/>
  <c r="BA23" i="1"/>
  <c r="G22" i="2" s="1"/>
  <c r="AW23" i="1"/>
  <c r="C22" i="2" s="1"/>
  <c r="AV23" i="1"/>
  <c r="B22" i="2" s="1"/>
  <c r="AR23" i="1"/>
  <c r="AQ23" i="1"/>
  <c r="A22" i="2" s="1"/>
  <c r="AA23" i="1"/>
  <c r="Z23" i="1"/>
  <c r="Y23" i="1"/>
  <c r="X23" i="1"/>
  <c r="BZ23" i="1" s="1"/>
  <c r="CD23" i="1" s="1"/>
  <c r="W23" i="1"/>
  <c r="V23" i="1"/>
  <c r="CJ23" i="1" s="1"/>
  <c r="R23" i="1" a="1"/>
  <c r="AD23" i="1" s="1"/>
  <c r="BV23" i="1" s="1"/>
  <c r="BF23" i="1" s="1"/>
  <c r="L22" i="2" s="1"/>
  <c r="CL22" i="1"/>
  <c r="CK22" i="1"/>
  <c r="CG22" i="1"/>
  <c r="CF22" i="1"/>
  <c r="BY22" i="1"/>
  <c r="BU22" i="1"/>
  <c r="BD22" i="1" s="1"/>
  <c r="J21" i="2" s="1"/>
  <c r="BG22" i="1"/>
  <c r="BE22" i="1"/>
  <c r="K21" i="2" s="1"/>
  <c r="BC22" i="1"/>
  <c r="I21" i="2" s="1"/>
  <c r="BA22" i="1"/>
  <c r="G21" i="2" s="1"/>
  <c r="AW22" i="1"/>
  <c r="C21" i="2" s="1"/>
  <c r="AV22" i="1"/>
  <c r="B21" i="2" s="1"/>
  <c r="AR22" i="1"/>
  <c r="AQ22" i="1"/>
  <c r="A21" i="2" s="1"/>
  <c r="AD22" i="1"/>
  <c r="BV22" i="1" s="1"/>
  <c r="BF22" i="1" s="1"/>
  <c r="L21" i="2" s="1"/>
  <c r="AC22" i="1"/>
  <c r="AA22" i="1"/>
  <c r="Z22" i="1"/>
  <c r="Y22" i="1"/>
  <c r="CJ22" i="1" s="1"/>
  <c r="V22" i="1"/>
  <c r="U22" i="1"/>
  <c r="T22" i="1"/>
  <c r="BQ22" i="1" s="1"/>
  <c r="AY22" i="1" s="1"/>
  <c r="E21" i="2" s="1"/>
  <c r="S22" i="1"/>
  <c r="BS22" i="1" s="1" a="1"/>
  <c r="BS22" i="1" s="1"/>
  <c r="AZ22" i="1" s="1"/>
  <c r="F21" i="2" s="1"/>
  <c r="R22" i="1" a="1"/>
  <c r="R22" i="1"/>
  <c r="BP22" i="1" s="1"/>
  <c r="CL21" i="1"/>
  <c r="CK21" i="1"/>
  <c r="CG21" i="1"/>
  <c r="CF21" i="1"/>
  <c r="BY21" i="1"/>
  <c r="BG21" i="1"/>
  <c r="M20" i="2" s="1"/>
  <c r="BE21" i="1"/>
  <c r="K20" i="2" s="1"/>
  <c r="BC21" i="1"/>
  <c r="I20" i="2" s="1"/>
  <c r="BA21" i="1"/>
  <c r="G20" i="2" s="1"/>
  <c r="AW21" i="1"/>
  <c r="C20" i="2" s="1"/>
  <c r="AV21" i="1"/>
  <c r="B20" i="2" s="1"/>
  <c r="AR21" i="1"/>
  <c r="AQ21" i="1"/>
  <c r="A20" i="2" s="1"/>
  <c r="AE21" i="1"/>
  <c r="AD21" i="1"/>
  <c r="AC21" i="1"/>
  <c r="AB21" i="1"/>
  <c r="Y21" i="1"/>
  <c r="X21" i="1"/>
  <c r="BZ21" i="1" s="1"/>
  <c r="W21" i="1"/>
  <c r="V21" i="1"/>
  <c r="U21" i="1"/>
  <c r="T21" i="1"/>
  <c r="R21" i="1" a="1"/>
  <c r="Z21" i="1" s="1"/>
  <c r="R21" i="1"/>
  <c r="BP21" i="1" s="1"/>
  <c r="CL20" i="1"/>
  <c r="CK20" i="1"/>
  <c r="CG20" i="1"/>
  <c r="CF20" i="1"/>
  <c r="BY20" i="1"/>
  <c r="BG20" i="1"/>
  <c r="M19" i="2" s="1"/>
  <c r="BE20" i="1"/>
  <c r="K19" i="2" s="1"/>
  <c r="BC20" i="1"/>
  <c r="I19" i="2" s="1"/>
  <c r="BA20" i="1"/>
  <c r="G19" i="2" s="1"/>
  <c r="AW20" i="1"/>
  <c r="C19" i="2" s="1"/>
  <c r="AV20" i="1"/>
  <c r="B19" i="2" s="1"/>
  <c r="AR20" i="1"/>
  <c r="AQ20" i="1"/>
  <c r="A19" i="2" s="1"/>
  <c r="AE20" i="1"/>
  <c r="AA20" i="1"/>
  <c r="Z20" i="1"/>
  <c r="Y20" i="1"/>
  <c r="X20" i="1"/>
  <c r="BZ20" i="1" s="1"/>
  <c r="W20" i="1"/>
  <c r="T20" i="1"/>
  <c r="S20" i="1"/>
  <c r="R20" i="1" a="1"/>
  <c r="R20" i="1"/>
  <c r="BP20" i="1" s="1"/>
  <c r="CL19" i="1"/>
  <c r="CG19" i="1"/>
  <c r="CF19" i="1"/>
  <c r="CE19" i="1"/>
  <c r="BY19" i="1"/>
  <c r="CK19" i="1" s="1"/>
  <c r="BG19" i="1"/>
  <c r="M18" i="2" s="1"/>
  <c r="BE19" i="1"/>
  <c r="BC19" i="1"/>
  <c r="I18" i="2" s="1"/>
  <c r="BB19" i="1"/>
  <c r="H18" i="2" s="1"/>
  <c r="BA19" i="1"/>
  <c r="G18" i="2" s="1"/>
  <c r="AW19" i="1"/>
  <c r="C18" i="2" s="1"/>
  <c r="AV19" i="1"/>
  <c r="B18" i="2" s="1"/>
  <c r="AR19" i="1"/>
  <c r="AQ19" i="1"/>
  <c r="A18" i="2" s="1"/>
  <c r="AB19" i="1"/>
  <c r="AA19" i="1"/>
  <c r="Z19" i="1"/>
  <c r="CI19" i="1" s="1"/>
  <c r="W19" i="1"/>
  <c r="BT19" i="1" s="1"/>
  <c r="V19" i="1"/>
  <c r="U19" i="1"/>
  <c r="BR19" i="1" s="1"/>
  <c r="AX19" i="1" s="1"/>
  <c r="D18" i="2" s="1"/>
  <c r="R19" i="1" a="1"/>
  <c r="CL18" i="1"/>
  <c r="CK18" i="1"/>
  <c r="CG18" i="1"/>
  <c r="CF18" i="1"/>
  <c r="BY18" i="1"/>
  <c r="BG18" i="1"/>
  <c r="M17" i="2" s="1"/>
  <c r="BE18" i="1"/>
  <c r="BC18" i="1"/>
  <c r="I17" i="2" s="1"/>
  <c r="BA18" i="1"/>
  <c r="G17" i="2" s="1"/>
  <c r="AW18" i="1"/>
  <c r="C17" i="2" s="1"/>
  <c r="AV18" i="1"/>
  <c r="AR18" i="1"/>
  <c r="AQ18" i="1"/>
  <c r="A17" i="2" s="1"/>
  <c r="R18" i="1" a="1"/>
  <c r="CL17" i="1"/>
  <c r="CK17" i="1"/>
  <c r="CG17" i="1"/>
  <c r="CF17" i="1"/>
  <c r="BY17" i="1"/>
  <c r="BG17" i="1"/>
  <c r="M16" i="2" s="1"/>
  <c r="BE17" i="1"/>
  <c r="K16" i="2" s="1"/>
  <c r="BC17" i="1"/>
  <c r="I16" i="2" s="1"/>
  <c r="BA17" i="1"/>
  <c r="G16" i="2" s="1"/>
  <c r="AW17" i="1"/>
  <c r="AV17" i="1"/>
  <c r="B16" i="2" s="1"/>
  <c r="AR17" i="1"/>
  <c r="AQ17" i="1"/>
  <c r="A16" i="2" s="1"/>
  <c r="R17" i="1" a="1"/>
  <c r="CL16" i="1"/>
  <c r="CG16" i="1"/>
  <c r="CF16" i="1"/>
  <c r="CE16" i="1"/>
  <c r="BY16" i="1"/>
  <c r="CK16" i="1" s="1"/>
  <c r="BV16" i="1"/>
  <c r="BF16" i="1" s="1"/>
  <c r="L15" i="2" s="1"/>
  <c r="BU16" i="1"/>
  <c r="BD16" i="1" s="1"/>
  <c r="J15" i="2" s="1"/>
  <c r="BP16" i="1"/>
  <c r="BJ16" i="1"/>
  <c r="BG16" i="1"/>
  <c r="M15" i="2" s="1"/>
  <c r="BE16" i="1"/>
  <c r="K15" i="2" s="1"/>
  <c r="BC16" i="1"/>
  <c r="I15" i="2" s="1"/>
  <c r="BA16" i="1"/>
  <c r="G15" i="2" s="1"/>
  <c r="AX16" i="1"/>
  <c r="D15" i="2" s="1"/>
  <c r="AW16" i="1"/>
  <c r="C15" i="2" s="1"/>
  <c r="AV16" i="1"/>
  <c r="B15" i="2" s="1"/>
  <c r="AR16" i="1"/>
  <c r="AQ16" i="1"/>
  <c r="A15" i="2" s="1"/>
  <c r="AE16" i="1"/>
  <c r="AD16" i="1"/>
  <c r="AC16" i="1"/>
  <c r="AB16" i="1"/>
  <c r="AA16" i="1"/>
  <c r="CJ16" i="1" s="1"/>
  <c r="BM16" i="1" s="1"/>
  <c r="Y16" i="1"/>
  <c r="X16" i="1"/>
  <c r="BZ16" i="1" s="1"/>
  <c r="W16" i="1"/>
  <c r="V16" i="1"/>
  <c r="BT16" i="1" s="1"/>
  <c r="BB16" i="1" s="1"/>
  <c r="H15" i="2" s="1"/>
  <c r="U16" i="1"/>
  <c r="BR16" i="1" s="1"/>
  <c r="T16" i="1"/>
  <c r="BQ16" i="1" s="1"/>
  <c r="AY16" i="1" s="1"/>
  <c r="E15" i="2" s="1"/>
  <c r="S16" i="1"/>
  <c r="BS16" i="1" s="1" a="1"/>
  <c r="BS16" i="1" s="1"/>
  <c r="AZ16" i="1" s="1"/>
  <c r="F15" i="2" s="1"/>
  <c r="R16" i="1" a="1"/>
  <c r="Z16" i="1" s="1"/>
  <c r="CI16" i="1" s="1"/>
  <c r="R16" i="1"/>
  <c r="CL15" i="1"/>
  <c r="CK15" i="1"/>
  <c r="CG15" i="1"/>
  <c r="CF15" i="1"/>
  <c r="BY15" i="1"/>
  <c r="BG15" i="1"/>
  <c r="M14" i="2" s="1"/>
  <c r="BE15" i="1"/>
  <c r="K14" i="2" s="1"/>
  <c r="BC15" i="1"/>
  <c r="I14" i="2" s="1"/>
  <c r="BA15" i="1"/>
  <c r="AW15" i="1"/>
  <c r="C14" i="2" s="1"/>
  <c r="AV15" i="1"/>
  <c r="B14" i="2" s="1"/>
  <c r="AR15" i="1"/>
  <c r="AQ15" i="1"/>
  <c r="A14" i="2" s="1"/>
  <c r="R15" i="1" a="1"/>
  <c r="R15" i="1"/>
  <c r="BP15" i="1" s="1"/>
  <c r="CL14" i="1"/>
  <c r="CG14" i="1"/>
  <c r="CF14" i="1"/>
  <c r="BY14" i="1"/>
  <c r="CK14" i="1" s="1"/>
  <c r="BG14" i="1"/>
  <c r="M13" i="2" s="1"/>
  <c r="BE14" i="1"/>
  <c r="K13" i="2" s="1"/>
  <c r="BC14" i="1"/>
  <c r="I13" i="2" s="1"/>
  <c r="BA14" i="1"/>
  <c r="G13" i="2" s="1"/>
  <c r="AW14" i="1"/>
  <c r="C13" i="2" s="1"/>
  <c r="AV14" i="1"/>
  <c r="B13" i="2" s="1"/>
  <c r="AR14" i="1"/>
  <c r="AQ14" i="1"/>
  <c r="AC14" i="1"/>
  <c r="AB14" i="1"/>
  <c r="AA14" i="1"/>
  <c r="Z14" i="1"/>
  <c r="R14" i="1" a="1"/>
  <c r="R14" i="1"/>
  <c r="BP14" i="1" s="1"/>
  <c r="CL13" i="1"/>
  <c r="CK13" i="1"/>
  <c r="CG13" i="1"/>
  <c r="CF13" i="1"/>
  <c r="BY13" i="1"/>
  <c r="BW13" i="1"/>
  <c r="BH13" i="1" s="1"/>
  <c r="N12" i="2" s="1"/>
  <c r="BV13" i="1"/>
  <c r="BF13" i="1" s="1"/>
  <c r="L12" i="2" s="1"/>
  <c r="BU13" i="1"/>
  <c r="BD13" i="1" s="1"/>
  <c r="J12" i="2" s="1"/>
  <c r="BQ13" i="1"/>
  <c r="AY13" i="1" s="1"/>
  <c r="E12" i="2" s="1"/>
  <c r="BG13" i="1"/>
  <c r="M12" i="2" s="1"/>
  <c r="BE13" i="1"/>
  <c r="K12" i="2" s="1"/>
  <c r="BC13" i="1"/>
  <c r="BA13" i="1"/>
  <c r="G12" i="2" s="1"/>
  <c r="AW13" i="1"/>
  <c r="C12" i="2" s="1"/>
  <c r="AV13" i="1"/>
  <c r="B12" i="2" s="1"/>
  <c r="AR13" i="1"/>
  <c r="AQ13" i="1"/>
  <c r="A12" i="2" s="1"/>
  <c r="AE13" i="1"/>
  <c r="AD13" i="1"/>
  <c r="AC13" i="1"/>
  <c r="AB13" i="1"/>
  <c r="Y13" i="1"/>
  <c r="X13" i="1"/>
  <c r="BZ13" i="1" s="1"/>
  <c r="CD13" i="1" s="1"/>
  <c r="W13" i="1"/>
  <c r="V13" i="1"/>
  <c r="U13" i="1"/>
  <c r="T13" i="1"/>
  <c r="R13" i="1" a="1"/>
  <c r="Z13" i="1" s="1"/>
  <c r="R13" i="1"/>
  <c r="BP13" i="1" s="1"/>
  <c r="CL12" i="1"/>
  <c r="CG12" i="1"/>
  <c r="CF12" i="1"/>
  <c r="BY12" i="1"/>
  <c r="CK12" i="1" s="1"/>
  <c r="BG12" i="1"/>
  <c r="M11" i="2" s="1"/>
  <c r="BE12" i="1"/>
  <c r="BC12" i="1"/>
  <c r="I11" i="2" s="1"/>
  <c r="BA12" i="1"/>
  <c r="G11" i="2" s="1"/>
  <c r="AW12" i="1"/>
  <c r="C11" i="2" s="1"/>
  <c r="AV12" i="1"/>
  <c r="AR12" i="1"/>
  <c r="AQ12" i="1"/>
  <c r="A11" i="2" s="1"/>
  <c r="R12" i="1" a="1"/>
  <c r="R12" i="1"/>
  <c r="BP12" i="1" s="1"/>
  <c r="CL11" i="1"/>
  <c r="CG11" i="1"/>
  <c r="CF11" i="1"/>
  <c r="BY11" i="1"/>
  <c r="CK11" i="1" s="1"/>
  <c r="BG11" i="1"/>
  <c r="M10" i="2" s="1"/>
  <c r="BE11" i="1"/>
  <c r="K10" i="2" s="1"/>
  <c r="BC11" i="1"/>
  <c r="I10" i="2" s="1"/>
  <c r="BA11" i="1"/>
  <c r="G10" i="2" s="1"/>
  <c r="AW11" i="1"/>
  <c r="C10" i="2" s="1"/>
  <c r="AV11" i="1"/>
  <c r="B10" i="2" s="1"/>
  <c r="AR11" i="1"/>
  <c r="AQ11" i="1"/>
  <c r="R11" i="1" a="1"/>
  <c r="CL10" i="1"/>
  <c r="CG10" i="1"/>
  <c r="CF10" i="1"/>
  <c r="BY10" i="1"/>
  <c r="CK10" i="1" s="1"/>
  <c r="BW10" i="1"/>
  <c r="BH10" i="1" s="1"/>
  <c r="N9" i="2" s="1"/>
  <c r="BU10" i="1"/>
  <c r="BD10" i="1" s="1"/>
  <c r="J9" i="2" s="1"/>
  <c r="BP10" i="1"/>
  <c r="BG10" i="1"/>
  <c r="M9" i="2" s="1"/>
  <c r="BE10" i="1"/>
  <c r="K9" i="2" s="1"/>
  <c r="BC10" i="1"/>
  <c r="I9" i="2" s="1"/>
  <c r="BA10" i="1"/>
  <c r="G9" i="2" s="1"/>
  <c r="AW10" i="1"/>
  <c r="C9" i="2" s="1"/>
  <c r="AV10" i="1"/>
  <c r="B9" i="2" s="1"/>
  <c r="AR10" i="1"/>
  <c r="AQ10" i="1"/>
  <c r="A9" i="2" s="1"/>
  <c r="AE10" i="1"/>
  <c r="AC10" i="1"/>
  <c r="Z10" i="1"/>
  <c r="Y10" i="1"/>
  <c r="X10" i="1"/>
  <c r="BZ10" i="1" s="1"/>
  <c r="CD10" i="1" s="1"/>
  <c r="W10" i="1"/>
  <c r="V10" i="1"/>
  <c r="U10" i="1"/>
  <c r="BR10" i="1" s="1"/>
  <c r="AX10" i="1" s="1"/>
  <c r="D9" i="2" s="1"/>
  <c r="R10" i="1" a="1"/>
  <c r="R10" i="1"/>
  <c r="CL9" i="1"/>
  <c r="CK9" i="1"/>
  <c r="CG9" i="1"/>
  <c r="CF9" i="1"/>
  <c r="BZ9" i="1"/>
  <c r="BY9" i="1"/>
  <c r="BG9" i="1"/>
  <c r="M8" i="2" s="1"/>
  <c r="BE9" i="1"/>
  <c r="K8" i="2" s="1"/>
  <c r="BC9" i="1"/>
  <c r="I8" i="2" s="1"/>
  <c r="BA9" i="1"/>
  <c r="AW9" i="1"/>
  <c r="C8" i="2" s="1"/>
  <c r="AV9" i="1"/>
  <c r="B8" i="2" s="1"/>
  <c r="AR9" i="1"/>
  <c r="AQ9" i="1"/>
  <c r="A8" i="2" s="1"/>
  <c r="AC9" i="1"/>
  <c r="Z9" i="1"/>
  <c r="Y9" i="1"/>
  <c r="X9" i="1"/>
  <c r="U9" i="1"/>
  <c r="T9" i="1"/>
  <c r="S9" i="1"/>
  <c r="R9" i="1" a="1"/>
  <c r="AA9" i="1" s="1"/>
  <c r="CL8" i="1"/>
  <c r="CG8" i="1"/>
  <c r="CF8" i="1"/>
  <c r="BY8" i="1"/>
  <c r="CK8" i="1" s="1"/>
  <c r="BW8" i="1"/>
  <c r="BH8" i="1" s="1"/>
  <c r="N7" i="2" s="1"/>
  <c r="BU8" i="1"/>
  <c r="BD8" i="1" s="1"/>
  <c r="J7" i="2" s="1"/>
  <c r="BT8" i="1"/>
  <c r="BG8" i="1"/>
  <c r="M7" i="2" s="1"/>
  <c r="BE8" i="1"/>
  <c r="K7" i="2" s="1"/>
  <c r="BC8" i="1"/>
  <c r="I7" i="2" s="1"/>
  <c r="BB8" i="1"/>
  <c r="H7" i="2" s="1"/>
  <c r="BA8" i="1"/>
  <c r="G7" i="2" s="1"/>
  <c r="AW8" i="1"/>
  <c r="C7" i="2" s="1"/>
  <c r="AV8" i="1"/>
  <c r="B7" i="2" s="1"/>
  <c r="AR8" i="1"/>
  <c r="AQ8" i="1"/>
  <c r="A7" i="2" s="1"/>
  <c r="AE8" i="1"/>
  <c r="AD8" i="1"/>
  <c r="BV8" i="1" s="1"/>
  <c r="BF8" i="1" s="1"/>
  <c r="L7" i="2" s="1"/>
  <c r="AC8" i="1"/>
  <c r="AB8" i="1"/>
  <c r="AA8" i="1"/>
  <c r="Y8" i="1"/>
  <c r="CJ8" i="1" s="1"/>
  <c r="BM8" i="1" s="1"/>
  <c r="X8" i="1"/>
  <c r="BZ8" i="1" s="1"/>
  <c r="CD8" i="1" s="1"/>
  <c r="W8" i="1"/>
  <c r="CE8" i="1" s="1"/>
  <c r="CN8" i="1" s="1"/>
  <c r="V8" i="1"/>
  <c r="U8" i="1"/>
  <c r="BR8" i="1" s="1"/>
  <c r="AX8" i="1" s="1"/>
  <c r="D7" i="2" s="1"/>
  <c r="T8" i="1"/>
  <c r="BQ8" i="1" s="1"/>
  <c r="AY8" i="1" s="1"/>
  <c r="E7" i="2" s="1"/>
  <c r="S8" i="1"/>
  <c r="BS8" i="1" s="1" a="1"/>
  <c r="BS8" i="1" s="1"/>
  <c r="AZ8" i="1" s="1"/>
  <c r="F7" i="2" s="1"/>
  <c r="R8" i="1" a="1"/>
  <c r="Z8" i="1" s="1"/>
  <c r="CI8" i="1" s="1"/>
  <c r="R8" i="1"/>
  <c r="BP8" i="1" s="1"/>
  <c r="CL7" i="1"/>
  <c r="CG7" i="1"/>
  <c r="CF7" i="1"/>
  <c r="BY7" i="1"/>
  <c r="CK7" i="1" s="1"/>
  <c r="BG7" i="1"/>
  <c r="M6" i="2" s="1"/>
  <c r="BE7" i="1"/>
  <c r="K6" i="2" s="1"/>
  <c r="BC7" i="1"/>
  <c r="I6" i="2" s="1"/>
  <c r="BA7" i="1"/>
  <c r="G6" i="2" s="1"/>
  <c r="AW7" i="1"/>
  <c r="AV7" i="1"/>
  <c r="B6" i="2" s="1"/>
  <c r="AR7" i="1"/>
  <c r="AQ7" i="1"/>
  <c r="A6" i="2" s="1"/>
  <c r="R7" i="1" a="1"/>
  <c r="R7" i="1"/>
  <c r="CL6" i="1"/>
  <c r="CG6" i="1"/>
  <c r="CF6" i="1"/>
  <c r="BY6" i="1"/>
  <c r="CK6" i="1" s="1"/>
  <c r="BG6" i="1"/>
  <c r="M5" i="2" s="1"/>
  <c r="BE6" i="1"/>
  <c r="K5" i="2" s="1"/>
  <c r="BC6" i="1"/>
  <c r="I5" i="2" s="1"/>
  <c r="BA6" i="1"/>
  <c r="G5" i="2" s="1"/>
  <c r="AW6" i="1"/>
  <c r="C5" i="2" s="1"/>
  <c r="AV6" i="1"/>
  <c r="B5" i="2" s="1"/>
  <c r="AR6" i="1"/>
  <c r="AQ6" i="1"/>
  <c r="A5" i="2" s="1"/>
  <c r="AC6" i="1"/>
  <c r="AA6" i="1"/>
  <c r="Z6" i="1"/>
  <c r="X6" i="1"/>
  <c r="BZ6" i="1" s="1"/>
  <c r="W6" i="1"/>
  <c r="R6" i="1" a="1"/>
  <c r="AE6" i="1" s="1"/>
  <c r="CL5" i="1"/>
  <c r="CK5" i="1"/>
  <c r="CG5" i="1"/>
  <c r="CF5" i="1"/>
  <c r="BZ5" i="1"/>
  <c r="CD5" i="1" s="1"/>
  <c r="BY5" i="1"/>
  <c r="BG5" i="1"/>
  <c r="M4" i="2" s="1"/>
  <c r="BE5" i="1"/>
  <c r="K4" i="2" s="1"/>
  <c r="BC5" i="1"/>
  <c r="I4" i="2" s="1"/>
  <c r="BA5" i="1"/>
  <c r="G4" i="2" s="1"/>
  <c r="AW5" i="1"/>
  <c r="C4" i="2" s="1"/>
  <c r="AV5" i="1"/>
  <c r="B4" i="2" s="1"/>
  <c r="AR5" i="1"/>
  <c r="AQ5" i="1"/>
  <c r="AE5" i="1"/>
  <c r="BW5" i="1" s="1"/>
  <c r="BH5" i="1" s="1"/>
  <c r="N4" i="2" s="1"/>
  <c r="AD5" i="1"/>
  <c r="BV5" i="1" s="1"/>
  <c r="BF5" i="1" s="1"/>
  <c r="L4" i="2" s="1"/>
  <c r="AB5" i="1"/>
  <c r="X5" i="1"/>
  <c r="W5" i="1"/>
  <c r="V5" i="1"/>
  <c r="T5" i="1"/>
  <c r="BQ5" i="1" s="1"/>
  <c r="AY5" i="1" s="1"/>
  <c r="E4" i="2" s="1"/>
  <c r="S5" i="1"/>
  <c r="BS5" i="1" s="1" a="1"/>
  <c r="BS5" i="1" s="1"/>
  <c r="AZ5" i="1" s="1"/>
  <c r="R5" i="1" a="1"/>
  <c r="Z5" i="1" s="1"/>
  <c r="CI5" i="1" s="1"/>
  <c r="CL4" i="1"/>
  <c r="CG4" i="1"/>
  <c r="CF4" i="1"/>
  <c r="BY4" i="1"/>
  <c r="CK4" i="1" s="1"/>
  <c r="BG4" i="1"/>
  <c r="M3" i="2" s="1"/>
  <c r="BE4" i="1"/>
  <c r="K3" i="2" s="1"/>
  <c r="BC4" i="1"/>
  <c r="I3" i="2" s="1"/>
  <c r="BA4" i="1"/>
  <c r="G3" i="2" s="1"/>
  <c r="AW4" i="1"/>
  <c r="C3" i="2" s="1"/>
  <c r="AV4" i="1"/>
  <c r="B3" i="2" s="1"/>
  <c r="AR4" i="1"/>
  <c r="AQ4" i="1"/>
  <c r="A3" i="2" s="1"/>
  <c r="AC4" i="1"/>
  <c r="AB4" i="1"/>
  <c r="R4" i="1" a="1"/>
  <c r="CJ13" i="1" l="1"/>
  <c r="CN13" i="1" s="1"/>
  <c r="AA18" i="1"/>
  <c r="S18" i="1"/>
  <c r="BS18" i="1" s="1" a="1"/>
  <c r="BS18" i="1" s="1"/>
  <c r="AZ18" i="1" s="1"/>
  <c r="F17" i="2" s="1"/>
  <c r="AB18" i="1"/>
  <c r="T18" i="1"/>
  <c r="Y18" i="1"/>
  <c r="V18" i="1"/>
  <c r="U18" i="1"/>
  <c r="BR18" i="1" s="1"/>
  <c r="AX18" i="1" s="1"/>
  <c r="D17" i="2" s="1"/>
  <c r="R18" i="1"/>
  <c r="BP18" i="1" s="1"/>
  <c r="Z18" i="1"/>
  <c r="CI18" i="1" s="1"/>
  <c r="AE18" i="1"/>
  <c r="BW18" i="1" s="1"/>
  <c r="BH18" i="1" s="1"/>
  <c r="N17" i="2" s="1"/>
  <c r="AD18" i="1"/>
  <c r="AC18" i="1"/>
  <c r="BI54" i="1"/>
  <c r="BK54" i="1" s="1"/>
  <c r="P53" i="2" s="1"/>
  <c r="BL54" i="1"/>
  <c r="BN54" i="1" s="1"/>
  <c r="BL5" i="1"/>
  <c r="BN5" i="1" s="1"/>
  <c r="O15" i="2"/>
  <c r="W18" i="1"/>
  <c r="BW21" i="1"/>
  <c r="BH21" i="1" s="1"/>
  <c r="N20" i="2" s="1"/>
  <c r="BV21" i="1"/>
  <c r="BF21" i="1" s="1"/>
  <c r="L20" i="2" s="1"/>
  <c r="BU21" i="1"/>
  <c r="BD21" i="1" s="1"/>
  <c r="J20" i="2" s="1"/>
  <c r="BI32" i="1"/>
  <c r="BK32" i="1" s="1"/>
  <c r="P31" i="2" s="1"/>
  <c r="BL32" i="1"/>
  <c r="BN32" i="1" s="1"/>
  <c r="BJ32" i="1"/>
  <c r="BM32" i="1"/>
  <c r="AT32" i="1" s="1"/>
  <c r="BP7" i="1"/>
  <c r="E7" i="1"/>
  <c r="BI16" i="1"/>
  <c r="BK16" i="1" s="1"/>
  <c r="P15" i="2" s="1"/>
  <c r="BL16" i="1"/>
  <c r="BN16" i="1" s="1"/>
  <c r="AT16" i="1" s="1"/>
  <c r="AD17" i="1"/>
  <c r="V17" i="1"/>
  <c r="AE17" i="1"/>
  <c r="BW17" i="1" s="1"/>
  <c r="BH17" i="1" s="1"/>
  <c r="N16" i="2" s="1"/>
  <c r="W17" i="1"/>
  <c r="Y17" i="1"/>
  <c r="CJ17" i="1" s="1"/>
  <c r="AB17" i="1"/>
  <c r="R17" i="1"/>
  <c r="BP17" i="1" s="1"/>
  <c r="AA17" i="1"/>
  <c r="AC17" i="1"/>
  <c r="U17" i="1"/>
  <c r="BR17" i="1" s="1"/>
  <c r="AX17" i="1" s="1"/>
  <c r="D16" i="2" s="1"/>
  <c r="T17" i="1"/>
  <c r="BQ17" i="1" s="1"/>
  <c r="AY17" i="1" s="1"/>
  <c r="E16" i="2" s="1"/>
  <c r="Z17" i="1"/>
  <c r="X17" i="1"/>
  <c r="BZ17" i="1" s="1"/>
  <c r="CD17" i="1" s="1"/>
  <c r="X18" i="1"/>
  <c r="BZ18" i="1" s="1"/>
  <c r="CD18" i="1" s="1"/>
  <c r="CE21" i="1"/>
  <c r="BT21" i="1"/>
  <c r="BB21" i="1" s="1"/>
  <c r="H20" i="2" s="1"/>
  <c r="BV40" i="1"/>
  <c r="BF40" i="1" s="1"/>
  <c r="L39" i="2" s="1"/>
  <c r="CE56" i="1"/>
  <c r="BT56" i="1"/>
  <c r="BB56" i="1" s="1"/>
  <c r="H55" i="2" s="1"/>
  <c r="AC7" i="1"/>
  <c r="BU7" i="1" s="1"/>
  <c r="BD7" i="1" s="1"/>
  <c r="J6" i="2" s="1"/>
  <c r="U7" i="1"/>
  <c r="BR7" i="1" s="1"/>
  <c r="AX7" i="1" s="1"/>
  <c r="D6" i="2" s="1"/>
  <c r="AE7" i="1"/>
  <c r="V7" i="1"/>
  <c r="AD7" i="1"/>
  <c r="BV7" i="1" s="1"/>
  <c r="BF7" i="1" s="1"/>
  <c r="L6" i="2" s="1"/>
  <c r="T7" i="1"/>
  <c r="BQ7" i="1" s="1"/>
  <c r="AY7" i="1" s="1"/>
  <c r="E6" i="2" s="1"/>
  <c r="AA7" i="1"/>
  <c r="W7" i="1"/>
  <c r="Z7" i="1"/>
  <c r="CI7" i="1" s="1"/>
  <c r="Y7" i="1"/>
  <c r="CJ7" i="1" s="1"/>
  <c r="X7" i="1"/>
  <c r="BZ7" i="1" s="1"/>
  <c r="Y11" i="1"/>
  <c r="R11" i="1"/>
  <c r="BP11" i="1" s="1"/>
  <c r="X11" i="1"/>
  <c r="BZ11" i="1" s="1"/>
  <c r="V11" i="1"/>
  <c r="AE11" i="1"/>
  <c r="BW11" i="1" s="1"/>
  <c r="BH11" i="1" s="1"/>
  <c r="N10" i="2" s="1"/>
  <c r="U11" i="1"/>
  <c r="BR11" i="1" s="1"/>
  <c r="AX11" i="1" s="1"/>
  <c r="D10" i="2" s="1"/>
  <c r="AB11" i="1"/>
  <c r="W11" i="1"/>
  <c r="T11" i="1"/>
  <c r="AA11" i="1"/>
  <c r="Z11" i="1"/>
  <c r="U12" i="1"/>
  <c r="AD12" i="1"/>
  <c r="V12" i="1"/>
  <c r="AC12" i="1"/>
  <c r="W12" i="1"/>
  <c r="T12" i="1"/>
  <c r="AA12" i="1"/>
  <c r="X12" i="1"/>
  <c r="BZ12" i="1" s="1"/>
  <c r="S12" i="1"/>
  <c r="Z12" i="1"/>
  <c r="Y12" i="1"/>
  <c r="CJ12" i="1" s="1"/>
  <c r="AB15" i="1"/>
  <c r="T15" i="1"/>
  <c r="AC15" i="1"/>
  <c r="U15" i="1"/>
  <c r="X15" i="1"/>
  <c r="BZ15" i="1" s="1"/>
  <c r="W15" i="1"/>
  <c r="AA15" i="1"/>
  <c r="V15" i="1"/>
  <c r="S15" i="1"/>
  <c r="Z15" i="1"/>
  <c r="Y15" i="1"/>
  <c r="S17" i="1"/>
  <c r="BS17" i="1" s="1" a="1"/>
  <c r="BS17" i="1" s="1"/>
  <c r="AZ17" i="1" s="1"/>
  <c r="F16" i="2" s="1"/>
  <c r="CD21" i="1"/>
  <c r="BQ21" i="1"/>
  <c r="AY21" i="1" s="1"/>
  <c r="E20" i="2" s="1"/>
  <c r="CJ55" i="1"/>
  <c r="CJ56" i="1"/>
  <c r="BI61" i="1"/>
  <c r="BK61" i="1" s="1"/>
  <c r="P60" i="2" s="1"/>
  <c r="BL61" i="1"/>
  <c r="BN61" i="1" s="1"/>
  <c r="Y4" i="1"/>
  <c r="CJ4" i="1" s="1"/>
  <c r="R4" i="1"/>
  <c r="Z4" i="1"/>
  <c r="AE4" i="1"/>
  <c r="V4" i="1"/>
  <c r="BU4" i="1" s="1"/>
  <c r="BD4" i="1" s="1"/>
  <c r="J3" i="2" s="1"/>
  <c r="AD4" i="1"/>
  <c r="BV4" i="1" s="1"/>
  <c r="BF4" i="1" s="1"/>
  <c r="L3" i="2" s="1"/>
  <c r="U4" i="1"/>
  <c r="BR4" i="1" s="1"/>
  <c r="AX4" i="1" s="1"/>
  <c r="D3" i="2" s="1"/>
  <c r="X4" i="1"/>
  <c r="BZ4" i="1" s="1"/>
  <c r="CD4" i="1" s="1"/>
  <c r="W4" i="1"/>
  <c r="S7" i="1"/>
  <c r="BS7" i="1" s="1" a="1"/>
  <c r="BS7" i="1" s="1"/>
  <c r="AZ7" i="1" s="1"/>
  <c r="F6" i="2" s="1"/>
  <c r="BJ8" i="1"/>
  <c r="CJ10" i="1"/>
  <c r="S11" i="1"/>
  <c r="BS11" i="1" s="1" a="1"/>
  <c r="BS11" i="1" s="1"/>
  <c r="AZ11" i="1" s="1"/>
  <c r="F10" i="2" s="1"/>
  <c r="AB12" i="1"/>
  <c r="CI14" i="1"/>
  <c r="AD15" i="1"/>
  <c r="BJ31" i="1"/>
  <c r="BM31" i="1"/>
  <c r="CE49" i="1"/>
  <c r="S4" i="1"/>
  <c r="BS4" i="1" s="1" a="1"/>
  <c r="BS4" i="1" s="1"/>
  <c r="AZ4" i="1" s="1"/>
  <c r="F3" i="2" s="1"/>
  <c r="AB7" i="1"/>
  <c r="BI8" i="1"/>
  <c r="BK8" i="1" s="1"/>
  <c r="P7" i="2" s="1"/>
  <c r="CJ9" i="1"/>
  <c r="CI10" i="1"/>
  <c r="AC11" i="1"/>
  <c r="AE12" i="1"/>
  <c r="AE15" i="1"/>
  <c r="AT24" i="1"/>
  <c r="AC34" i="1"/>
  <c r="BU34" i="1" s="1"/>
  <c r="BD34" i="1" s="1"/>
  <c r="J33" i="2" s="1"/>
  <c r="U34" i="1"/>
  <c r="BR34" i="1" s="1"/>
  <c r="AX34" i="1" s="1"/>
  <c r="D33" i="2" s="1"/>
  <c r="AB34" i="1"/>
  <c r="S34" i="1"/>
  <c r="AD34" i="1"/>
  <c r="BV34" i="1" s="1"/>
  <c r="BF34" i="1" s="1"/>
  <c r="L33" i="2" s="1"/>
  <c r="T34" i="1"/>
  <c r="BQ34" i="1" s="1"/>
  <c r="AY34" i="1" s="1"/>
  <c r="E33" i="2" s="1"/>
  <c r="AA34" i="1"/>
  <c r="Y34" i="1"/>
  <c r="CJ34" i="1" s="1"/>
  <c r="X34" i="1"/>
  <c r="BZ34" i="1" s="1"/>
  <c r="CD34" i="1" s="1"/>
  <c r="R34" i="1"/>
  <c r="BP34" i="1" s="1"/>
  <c r="AE34" i="1"/>
  <c r="BW34" i="1" s="1"/>
  <c r="BH34" i="1" s="1"/>
  <c r="N33" i="2" s="1"/>
  <c r="Z34" i="1"/>
  <c r="W34" i="1"/>
  <c r="CD49" i="1"/>
  <c r="CN49" i="1" s="1"/>
  <c r="BV59" i="1"/>
  <c r="BF59" i="1" s="1"/>
  <c r="L58" i="2" s="1"/>
  <c r="T4" i="1"/>
  <c r="BQ4" i="1" s="1"/>
  <c r="AY4" i="1" s="1"/>
  <c r="E3" i="2" s="1"/>
  <c r="BL8" i="1"/>
  <c r="BN8" i="1" s="1"/>
  <c r="AT8" i="1" s="1"/>
  <c r="AD11" i="1"/>
  <c r="AE30" i="1"/>
  <c r="W30" i="1"/>
  <c r="X30" i="1"/>
  <c r="BZ30" i="1" s="1"/>
  <c r="AD30" i="1"/>
  <c r="T30" i="1"/>
  <c r="U30" i="1"/>
  <c r="S30" i="1"/>
  <c r="AC30" i="1"/>
  <c r="Y30" i="1"/>
  <c r="AB30" i="1"/>
  <c r="AA30" i="1"/>
  <c r="Z30" i="1"/>
  <c r="V30" i="1"/>
  <c r="V34" i="1"/>
  <c r="BJ61" i="1"/>
  <c r="BM61" i="1"/>
  <c r="AA4" i="1"/>
  <c r="BU9" i="1"/>
  <c r="BD9" i="1" s="1"/>
  <c r="J8" i="2" s="1"/>
  <c r="BT13" i="1"/>
  <c r="BB13" i="1" s="1"/>
  <c r="H12" i="2" s="1"/>
  <c r="CE13" i="1"/>
  <c r="BJ22" i="1"/>
  <c r="BM22" i="1"/>
  <c r="BM23" i="1"/>
  <c r="BJ23" i="1"/>
  <c r="AD25" i="1"/>
  <c r="V25" i="1"/>
  <c r="BS25" i="1" s="1" a="1"/>
  <c r="BS25" i="1" s="1"/>
  <c r="AZ25" i="1" s="1"/>
  <c r="F24" i="2" s="1"/>
  <c r="AE25" i="1"/>
  <c r="BW25" i="1" s="1"/>
  <c r="BH25" i="1" s="1"/>
  <c r="N24" i="2" s="1"/>
  <c r="W25" i="1"/>
  <c r="AA25" i="1"/>
  <c r="R25" i="1"/>
  <c r="BP25" i="1" s="1"/>
  <c r="Y25" i="1"/>
  <c r="X25" i="1"/>
  <c r="BZ25" i="1" s="1"/>
  <c r="Z25" i="1"/>
  <c r="U25" i="1"/>
  <c r="BR25" i="1" s="1"/>
  <c r="AX25" i="1" s="1"/>
  <c r="D24" i="2" s="1"/>
  <c r="T25" i="1"/>
  <c r="BQ25" i="1" s="1"/>
  <c r="AY25" i="1" s="1"/>
  <c r="E24" i="2" s="1"/>
  <c r="AC25" i="1"/>
  <c r="AB25" i="1"/>
  <c r="BL29" i="1"/>
  <c r="BN29" i="1" s="1"/>
  <c r="BL33" i="1"/>
  <c r="BN33" i="1" s="1"/>
  <c r="O34" i="2"/>
  <c r="BM35" i="1"/>
  <c r="AT35" i="1" s="1"/>
  <c r="CE35" i="1"/>
  <c r="BR55" i="1"/>
  <c r="AX55" i="1" s="1"/>
  <c r="D54" i="2" s="1"/>
  <c r="CJ62" i="1"/>
  <c r="BW44" i="1"/>
  <c r="BH44" i="1" s="1"/>
  <c r="N43" i="2" s="1"/>
  <c r="BW48" i="1"/>
  <c r="BH48" i="1" s="1"/>
  <c r="N47" i="2" s="1"/>
  <c r="CN35" i="1"/>
  <c r="AA44" i="1"/>
  <c r="AB48" i="1"/>
  <c r="T48" i="1"/>
  <c r="BQ48" i="1" s="1"/>
  <c r="AY48" i="1" s="1"/>
  <c r="E47" i="2" s="1"/>
  <c r="Z48" i="1"/>
  <c r="CI48" i="1" s="1"/>
  <c r="R48" i="1"/>
  <c r="BP48" i="1" s="1"/>
  <c r="X48" i="1"/>
  <c r="BZ48" i="1" s="1"/>
  <c r="V48" i="1"/>
  <c r="W48" i="1"/>
  <c r="U48" i="1"/>
  <c r="BR48" i="1" s="1"/>
  <c r="AX48" i="1" s="1"/>
  <c r="D47" i="2" s="1"/>
  <c r="AA48" i="1"/>
  <c r="Y48" i="1"/>
  <c r="CJ48" i="1" s="1"/>
  <c r="S48" i="1"/>
  <c r="BS48" i="1" s="1" a="1"/>
  <c r="BS48" i="1" s="1"/>
  <c r="AZ48" i="1" s="1"/>
  <c r="F47" i="2" s="1"/>
  <c r="CN54" i="1"/>
  <c r="Y57" i="1"/>
  <c r="R57" i="1"/>
  <c r="BP57" i="1" s="1"/>
  <c r="AB57" i="1"/>
  <c r="S57" i="1"/>
  <c r="BS57" i="1" s="1" a="1"/>
  <c r="BS57" i="1" s="1"/>
  <c r="AZ57" i="1" s="1"/>
  <c r="F56" i="2" s="1"/>
  <c r="Z57" i="1"/>
  <c r="CI57" i="1" s="1"/>
  <c r="U57" i="1"/>
  <c r="BR57" i="1" s="1"/>
  <c r="AX57" i="1" s="1"/>
  <c r="D56" i="2" s="1"/>
  <c r="AE57" i="1"/>
  <c r="BW57" i="1" s="1"/>
  <c r="BH57" i="1" s="1"/>
  <c r="N56" i="2" s="1"/>
  <c r="T57" i="1"/>
  <c r="BQ57" i="1" s="1"/>
  <c r="AY57" i="1" s="1"/>
  <c r="E56" i="2" s="1"/>
  <c r="V57" i="1"/>
  <c r="AC57" i="1"/>
  <c r="BU57" i="1" s="1"/>
  <c r="BD57" i="1" s="1"/>
  <c r="J56" i="2" s="1"/>
  <c r="AA57" i="1"/>
  <c r="X57" i="1"/>
  <c r="BZ57" i="1" s="1"/>
  <c r="CD57" i="1" s="1"/>
  <c r="CN61" i="1"/>
  <c r="BS62" i="1" a="1"/>
  <c r="BS62" i="1" s="1"/>
  <c r="AZ62" i="1" s="1"/>
  <c r="F61" i="2" s="1"/>
  <c r="BV62" i="1"/>
  <c r="BF62" i="1" s="1"/>
  <c r="L61" i="2" s="1"/>
  <c r="AE14" i="1"/>
  <c r="W14" i="1"/>
  <c r="X14" i="1"/>
  <c r="BZ14" i="1" s="1"/>
  <c r="U14" i="1"/>
  <c r="AD14" i="1"/>
  <c r="T14" i="1"/>
  <c r="BQ14" i="1" s="1"/>
  <c r="AY14" i="1" s="1"/>
  <c r="E13" i="2" s="1"/>
  <c r="BT29" i="1"/>
  <c r="BB29" i="1" s="1"/>
  <c r="H28" i="2" s="1"/>
  <c r="BI35" i="1"/>
  <c r="BK35" i="1" s="1"/>
  <c r="P34" i="2" s="1"/>
  <c r="S40" i="1"/>
  <c r="AC44" i="1"/>
  <c r="Y5" i="1"/>
  <c r="T6" i="1"/>
  <c r="AD6" i="1"/>
  <c r="S14" i="1"/>
  <c r="CI21" i="1"/>
  <c r="CE26" i="1"/>
  <c r="CN26" i="1" s="1"/>
  <c r="AC28" i="1"/>
  <c r="U28" i="1"/>
  <c r="AD28" i="1"/>
  <c r="V28" i="1"/>
  <c r="CE28" i="1" s="1"/>
  <c r="T28" i="1"/>
  <c r="Y28" i="1"/>
  <c r="X28" i="1"/>
  <c r="BZ28" i="1" s="1"/>
  <c r="CE32" i="1"/>
  <c r="BT32" i="1"/>
  <c r="BB32" i="1" s="1"/>
  <c r="H31" i="2" s="1"/>
  <c r="AB37" i="1"/>
  <c r="T37" i="1"/>
  <c r="BQ37" i="1" s="1"/>
  <c r="AY37" i="1" s="1"/>
  <c r="E36" i="2" s="1"/>
  <c r="AC37" i="1"/>
  <c r="BU37" i="1" s="1"/>
  <c r="BD37" i="1" s="1"/>
  <c r="J36" i="2" s="1"/>
  <c r="S37" i="1"/>
  <c r="AD37" i="1"/>
  <c r="U37" i="1"/>
  <c r="AE37" i="1"/>
  <c r="BW37" i="1" s="1"/>
  <c r="BH37" i="1" s="1"/>
  <c r="N36" i="2" s="1"/>
  <c r="R37" i="1"/>
  <c r="BP37" i="1" s="1"/>
  <c r="AA37" i="1"/>
  <c r="CJ37" i="1" s="1"/>
  <c r="Z37" i="1"/>
  <c r="CI37" i="1" s="1"/>
  <c r="T40" i="1"/>
  <c r="BQ40" i="1" s="1"/>
  <c r="AY40" i="1" s="1"/>
  <c r="E39" i="2" s="1"/>
  <c r="R5" i="1"/>
  <c r="U6" i="1"/>
  <c r="BR13" i="1"/>
  <c r="AX13" i="1" s="1"/>
  <c r="D12" i="2" s="1"/>
  <c r="V14" i="1"/>
  <c r="BU14" i="1" s="1"/>
  <c r="BD14" i="1" s="1"/>
  <c r="J13" i="2" s="1"/>
  <c r="CD16" i="1"/>
  <c r="CN16" i="1" s="1"/>
  <c r="S28" i="1"/>
  <c r="CN32" i="1"/>
  <c r="AE36" i="1"/>
  <c r="BW36" i="1" s="1"/>
  <c r="BH36" i="1" s="1"/>
  <c r="N35" i="2" s="1"/>
  <c r="W36" i="1"/>
  <c r="X36" i="1"/>
  <c r="BZ36" i="1" s="1"/>
  <c r="CD36" i="1" s="1"/>
  <c r="Y36" i="1"/>
  <c r="CJ36" i="1" s="1"/>
  <c r="U36" i="1"/>
  <c r="BR36" i="1" s="1"/>
  <c r="AX36" i="1" s="1"/>
  <c r="D35" i="2" s="1"/>
  <c r="AC36" i="1"/>
  <c r="BU36" i="1" s="1"/>
  <c r="BD36" i="1" s="1"/>
  <c r="J35" i="2" s="1"/>
  <c r="R36" i="1"/>
  <c r="BP36" i="1" s="1"/>
  <c r="AB36" i="1"/>
  <c r="AA36" i="1"/>
  <c r="V37" i="1"/>
  <c r="BT37" i="1" s="1"/>
  <c r="BB37" i="1" s="1"/>
  <c r="H36" i="2" s="1"/>
  <c r="CN41" i="1"/>
  <c r="CD47" i="1"/>
  <c r="AC48" i="1"/>
  <c r="BU48" i="1" s="1"/>
  <c r="BD48" i="1" s="1"/>
  <c r="J47" i="2" s="1"/>
  <c r="X52" i="1"/>
  <c r="BZ52" i="1" s="1"/>
  <c r="CD52" i="1" s="1"/>
  <c r="AD52" i="1"/>
  <c r="BV52" i="1" s="1"/>
  <c r="BF52" i="1" s="1"/>
  <c r="L51" i="2" s="1"/>
  <c r="U52" i="1"/>
  <c r="Y52" i="1"/>
  <c r="W52" i="1"/>
  <c r="Z52" i="1"/>
  <c r="V52" i="1"/>
  <c r="BS52" i="1" s="1" a="1"/>
  <c r="BS52" i="1" s="1"/>
  <c r="AZ52" i="1" s="1"/>
  <c r="F51" i="2" s="1"/>
  <c r="R52" i="1"/>
  <c r="BP52" i="1" s="1"/>
  <c r="AE52" i="1"/>
  <c r="BW52" i="1" s="1"/>
  <c r="BH52" i="1" s="1"/>
  <c r="N51" i="2" s="1"/>
  <c r="AC52" i="1"/>
  <c r="BU52" i="1" s="1"/>
  <c r="BD52" i="1" s="1"/>
  <c r="J51" i="2" s="1"/>
  <c r="W57" i="1"/>
  <c r="BW60" i="1"/>
  <c r="BH60" i="1" s="1"/>
  <c r="N59" i="2" s="1"/>
  <c r="CE61" i="1"/>
  <c r="BU64" i="1"/>
  <c r="BD64" i="1" s="1"/>
  <c r="J63" i="2" s="1"/>
  <c r="BQ66" i="1"/>
  <c r="AY66" i="1" s="1"/>
  <c r="CI36" i="1"/>
  <c r="X44" i="1"/>
  <c r="BZ44" i="1" s="1"/>
  <c r="CD44" i="1" s="1"/>
  <c r="W44" i="1"/>
  <c r="Y44" i="1"/>
  <c r="U44" i="1"/>
  <c r="V44" i="1"/>
  <c r="BV44" i="1" s="1"/>
  <c r="BF44" i="1" s="1"/>
  <c r="L43" i="2" s="1"/>
  <c r="AB44" i="1"/>
  <c r="Z44" i="1"/>
  <c r="CI44" i="1" s="1"/>
  <c r="T44" i="1"/>
  <c r="BQ44" i="1" s="1"/>
  <c r="AY44" i="1" s="1"/>
  <c r="E43" i="2" s="1"/>
  <c r="S44" i="1"/>
  <c r="BS44" i="1" s="1" a="1"/>
  <c r="BS44" i="1" s="1"/>
  <c r="AZ44" i="1" s="1"/>
  <c r="F43" i="2" s="1"/>
  <c r="BT49" i="1"/>
  <c r="BB49" i="1" s="1"/>
  <c r="H48" i="2" s="1"/>
  <c r="BM54" i="1"/>
  <c r="BJ54" i="1"/>
  <c r="CD55" i="1"/>
  <c r="CJ60" i="1"/>
  <c r="BT5" i="1"/>
  <c r="BB5" i="1" s="1"/>
  <c r="H4" i="2" s="1"/>
  <c r="CE5" i="1"/>
  <c r="CE23" i="1"/>
  <c r="BT23" i="1"/>
  <c r="BB23" i="1" s="1"/>
  <c r="H22" i="2" s="1"/>
  <c r="BT27" i="1"/>
  <c r="BB27" i="1" s="1"/>
  <c r="H26" i="2" s="1"/>
  <c r="BV36" i="1"/>
  <c r="BF36" i="1" s="1"/>
  <c r="L35" i="2" s="1"/>
  <c r="BU39" i="1"/>
  <c r="BD39" i="1" s="1"/>
  <c r="J38" i="2" s="1"/>
  <c r="AC40" i="1"/>
  <c r="BU40" i="1" s="1"/>
  <c r="BD40" i="1" s="1"/>
  <c r="J39" i="2" s="1"/>
  <c r="U40" i="1"/>
  <c r="Z40" i="1"/>
  <c r="R40" i="1"/>
  <c r="BP40" i="1" s="1"/>
  <c r="X40" i="1"/>
  <c r="BZ40" i="1" s="1"/>
  <c r="CD40" i="1" s="1"/>
  <c r="Y40" i="1"/>
  <c r="W40" i="1"/>
  <c r="AB40" i="1"/>
  <c r="AA40" i="1"/>
  <c r="V40" i="1"/>
  <c r="Y6" i="1"/>
  <c r="R6" i="1"/>
  <c r="AB6" i="1"/>
  <c r="CI6" i="1" s="1"/>
  <c r="S6" i="1"/>
  <c r="BQ9" i="1"/>
  <c r="AY9" i="1" s="1"/>
  <c r="E8" i="2" s="1"/>
  <c r="CD9" i="1"/>
  <c r="CI13" i="1"/>
  <c r="BW16" i="1"/>
  <c r="BH16" i="1" s="1"/>
  <c r="N15" i="2" s="1"/>
  <c r="CI27" i="1"/>
  <c r="CD59" i="1"/>
  <c r="AC5" i="1"/>
  <c r="BU5" i="1" s="1"/>
  <c r="BD5" i="1" s="1"/>
  <c r="J4" i="2" s="1"/>
  <c r="U5" i="1"/>
  <c r="BR5" i="1" s="1"/>
  <c r="AX5" i="1" s="1"/>
  <c r="D4" i="2" s="1"/>
  <c r="AA5" i="1"/>
  <c r="V6" i="1"/>
  <c r="BU6" i="1" s="1"/>
  <c r="BD6" i="1" s="1"/>
  <c r="J5" i="2" s="1"/>
  <c r="CE10" i="1"/>
  <c r="BT10" i="1"/>
  <c r="BB10" i="1" s="1"/>
  <c r="H9" i="2" s="1"/>
  <c r="Y14" i="1"/>
  <c r="BR21" i="1"/>
  <c r="AX21" i="1" s="1"/>
  <c r="D20" i="2" s="1"/>
  <c r="BI24" i="1"/>
  <c r="BK24" i="1" s="1"/>
  <c r="P23" i="2" s="1"/>
  <c r="O23" i="2"/>
  <c r="AS24" i="1"/>
  <c r="CE27" i="1"/>
  <c r="BL35" i="1"/>
  <c r="BN35" i="1" s="1"/>
  <c r="BS36" i="1" a="1"/>
  <c r="BS36" i="1" s="1"/>
  <c r="AZ36" i="1" s="1"/>
  <c r="F35" i="2" s="1"/>
  <c r="CE37" i="1"/>
  <c r="BQ39" i="1"/>
  <c r="AY39" i="1" s="1"/>
  <c r="E38" i="2" s="1"/>
  <c r="AE40" i="1"/>
  <c r="BW40" i="1" s="1"/>
  <c r="BH40" i="1" s="1"/>
  <c r="N39" i="2" s="1"/>
  <c r="BI41" i="1"/>
  <c r="BK41" i="1" s="1"/>
  <c r="P40" i="2" s="1"/>
  <c r="BL41" i="1"/>
  <c r="BN41" i="1" s="1"/>
  <c r="CJ45" i="1"/>
  <c r="BV48" i="1"/>
  <c r="BF48" i="1" s="1"/>
  <c r="L47" i="2" s="1"/>
  <c r="AA51" i="1"/>
  <c r="S51" i="1"/>
  <c r="Y51" i="1"/>
  <c r="V51" i="1"/>
  <c r="BR51" i="1" s="1"/>
  <c r="AX51" i="1" s="1"/>
  <c r="D50" i="2" s="1"/>
  <c r="AB51" i="1"/>
  <c r="AC51" i="1"/>
  <c r="R51" i="1"/>
  <c r="BP51" i="1" s="1"/>
  <c r="AD51" i="1"/>
  <c r="AE51" i="1"/>
  <c r="Z51" i="1"/>
  <c r="X51" i="1"/>
  <c r="BZ51" i="1" s="1"/>
  <c r="BT51" i="1"/>
  <c r="BB51" i="1" s="1"/>
  <c r="H50" i="2" s="1"/>
  <c r="AD57" i="1"/>
  <c r="BV57" i="1" s="1"/>
  <c r="BF57" i="1" s="1"/>
  <c r="L56" i="2" s="1"/>
  <c r="BU59" i="1"/>
  <c r="BD59" i="1" s="1"/>
  <c r="J58" i="2" s="1"/>
  <c r="BR60" i="1"/>
  <c r="AX60" i="1" s="1"/>
  <c r="D59" i="2" s="1"/>
  <c r="AD65" i="1"/>
  <c r="V65" i="1"/>
  <c r="AB65" i="1"/>
  <c r="T65" i="1"/>
  <c r="BQ65" i="1" s="1"/>
  <c r="AY65" i="1" s="1"/>
  <c r="Y65" i="1"/>
  <c r="X65" i="1"/>
  <c r="BZ65" i="1" s="1"/>
  <c r="AE65" i="1"/>
  <c r="R65" i="1"/>
  <c r="BP65" i="1" s="1"/>
  <c r="S65" i="1"/>
  <c r="W65" i="1"/>
  <c r="Z65" i="1"/>
  <c r="CI65" i="1" s="1"/>
  <c r="AC65" i="1"/>
  <c r="BU65" i="1" s="1"/>
  <c r="BD65" i="1" s="1"/>
  <c r="AA65" i="1"/>
  <c r="U65" i="1"/>
  <c r="R9" i="1"/>
  <c r="BP9" i="1" s="1"/>
  <c r="X19" i="1"/>
  <c r="BZ19" i="1" s="1"/>
  <c r="CD19" i="1" s="1"/>
  <c r="Y19" i="1"/>
  <c r="CJ19" i="1" s="1"/>
  <c r="R19" i="1"/>
  <c r="BP19" i="1" s="1"/>
  <c r="AC19" i="1"/>
  <c r="BU19" i="1" s="1"/>
  <c r="BD19" i="1" s="1"/>
  <c r="J18" i="2" s="1"/>
  <c r="S19" i="1"/>
  <c r="BS19" i="1" s="1" a="1"/>
  <c r="BS19" i="1" s="1"/>
  <c r="AZ19" i="1" s="1"/>
  <c r="F18" i="2" s="1"/>
  <c r="AD19" i="1"/>
  <c r="BV19" i="1" s="1"/>
  <c r="BF19" i="1" s="1"/>
  <c r="L18" i="2" s="1"/>
  <c r="BR22" i="1"/>
  <c r="AX22" i="1" s="1"/>
  <c r="D21" i="2" s="1"/>
  <c r="R23" i="1"/>
  <c r="BP23" i="1" s="1"/>
  <c r="AA26" i="1"/>
  <c r="CJ26" i="1" s="1"/>
  <c r="S26" i="1"/>
  <c r="BS26" i="1" s="1" a="1"/>
  <c r="BS26" i="1" s="1"/>
  <c r="AZ26" i="1" s="1"/>
  <c r="F25" i="2" s="1"/>
  <c r="AB26" i="1"/>
  <c r="CI26" i="1" s="1"/>
  <c r="T26" i="1"/>
  <c r="BQ26" i="1" s="1"/>
  <c r="AY26" i="1" s="1"/>
  <c r="E25" i="2" s="1"/>
  <c r="AC26" i="1"/>
  <c r="BU26" i="1" s="1"/>
  <c r="BD26" i="1" s="1"/>
  <c r="J25" i="2" s="1"/>
  <c r="R26" i="1"/>
  <c r="BP26" i="1" s="1"/>
  <c r="AE26" i="1"/>
  <c r="BW26" i="1" s="1"/>
  <c r="BH26" i="1" s="1"/>
  <c r="N25" i="2" s="1"/>
  <c r="CD29" i="1"/>
  <c r="CN29" i="1" s="1"/>
  <c r="BV31" i="1"/>
  <c r="BF31" i="1" s="1"/>
  <c r="L30" i="2" s="1"/>
  <c r="BV39" i="1"/>
  <c r="BF39" i="1" s="1"/>
  <c r="L38" i="2" s="1"/>
  <c r="BM46" i="1"/>
  <c r="AT46" i="1" s="1"/>
  <c r="BJ46" i="1"/>
  <c r="BW50" i="1"/>
  <c r="BH50" i="1" s="1"/>
  <c r="N49" i="2" s="1"/>
  <c r="CI62" i="1"/>
  <c r="V9" i="1"/>
  <c r="BS9" i="1" s="1" a="1"/>
  <c r="BS9" i="1" s="1"/>
  <c r="AZ9" i="1" s="1"/>
  <c r="F8" i="2" s="1"/>
  <c r="AE9" i="1"/>
  <c r="BW9" i="1" s="1"/>
  <c r="BH9" i="1" s="1"/>
  <c r="N8" i="2" s="1"/>
  <c r="W9" i="1"/>
  <c r="AD9" i="1"/>
  <c r="BV9" i="1" s="1"/>
  <c r="BF9" i="1" s="1"/>
  <c r="L8" i="2" s="1"/>
  <c r="AB9" i="1"/>
  <c r="CI9" i="1" s="1"/>
  <c r="AA10" i="1"/>
  <c r="S10" i="1"/>
  <c r="BS10" i="1" s="1" a="1"/>
  <c r="BS10" i="1" s="1"/>
  <c r="AZ10" i="1" s="1"/>
  <c r="F9" i="2" s="1"/>
  <c r="AB10" i="1"/>
  <c r="T10" i="1"/>
  <c r="BQ10" i="1" s="1"/>
  <c r="AY10" i="1" s="1"/>
  <c r="E9" i="2" s="1"/>
  <c r="AD10" i="1"/>
  <c r="BV10" i="1" s="1"/>
  <c r="BF10" i="1" s="1"/>
  <c r="L9" i="2" s="1"/>
  <c r="T19" i="1"/>
  <c r="BQ19" i="1" s="1"/>
  <c r="AY19" i="1" s="1"/>
  <c r="E18" i="2" s="1"/>
  <c r="AE19" i="1"/>
  <c r="BW19" i="1" s="1"/>
  <c r="BH19" i="1" s="1"/>
  <c r="N18" i="2" s="1"/>
  <c r="AB23" i="1"/>
  <c r="CI23" i="1" s="1"/>
  <c r="T23" i="1"/>
  <c r="BQ23" i="1" s="1"/>
  <c r="AY23" i="1" s="1"/>
  <c r="E22" i="2" s="1"/>
  <c r="AC23" i="1"/>
  <c r="BU23" i="1" s="1"/>
  <c r="BD23" i="1" s="1"/>
  <c r="J22" i="2" s="1"/>
  <c r="U23" i="1"/>
  <c r="BR23" i="1" s="1"/>
  <c r="AX23" i="1" s="1"/>
  <c r="D22" i="2" s="1"/>
  <c r="AE23" i="1"/>
  <c r="BW23" i="1" s="1"/>
  <c r="BH23" i="1" s="1"/>
  <c r="N22" i="2" s="1"/>
  <c r="S23" i="1"/>
  <c r="BS23" i="1" s="1" a="1"/>
  <c r="BS23" i="1" s="1"/>
  <c r="AZ23" i="1" s="1"/>
  <c r="F22" i="2" s="1"/>
  <c r="U26" i="1"/>
  <c r="BR26" i="1" s="1"/>
  <c r="AX26" i="1" s="1"/>
  <c r="D25" i="2" s="1"/>
  <c r="X27" i="1"/>
  <c r="BZ27" i="1" s="1"/>
  <c r="CD27" i="1" s="1"/>
  <c r="Y27" i="1"/>
  <c r="CJ27" i="1" s="1"/>
  <c r="R27" i="1"/>
  <c r="BP27" i="1" s="1"/>
  <c r="AE27" i="1"/>
  <c r="BW27" i="1" s="1"/>
  <c r="BH27" i="1" s="1"/>
  <c r="N26" i="2" s="1"/>
  <c r="U27" i="1"/>
  <c r="BR27" i="1" s="1"/>
  <c r="AX27" i="1" s="1"/>
  <c r="D26" i="2" s="1"/>
  <c r="AC27" i="1"/>
  <c r="BU27" i="1" s="1"/>
  <c r="BD27" i="1" s="1"/>
  <c r="J26" i="2" s="1"/>
  <c r="AB31" i="1"/>
  <c r="CI31" i="1" s="1"/>
  <c r="T31" i="1"/>
  <c r="BQ31" i="1" s="1"/>
  <c r="AY31" i="1" s="1"/>
  <c r="E30" i="2" s="1"/>
  <c r="AC31" i="1"/>
  <c r="BU31" i="1" s="1"/>
  <c r="BD31" i="1" s="1"/>
  <c r="J30" i="2" s="1"/>
  <c r="U31" i="1"/>
  <c r="BR31" i="1" s="1"/>
  <c r="AX31" i="1" s="1"/>
  <c r="D30" i="2" s="1"/>
  <c r="W31" i="1"/>
  <c r="AE31" i="1"/>
  <c r="BW31" i="1" s="1"/>
  <c r="BH31" i="1" s="1"/>
  <c r="N30" i="2" s="1"/>
  <c r="BU38" i="1"/>
  <c r="BD38" i="1" s="1"/>
  <c r="J37" i="2" s="1"/>
  <c r="X39" i="1"/>
  <c r="BZ39" i="1" s="1"/>
  <c r="CD39" i="1" s="1"/>
  <c r="W39" i="1"/>
  <c r="Y39" i="1"/>
  <c r="CJ39" i="1" s="1"/>
  <c r="Z39" i="1"/>
  <c r="CI39" i="1" s="1"/>
  <c r="U39" i="1"/>
  <c r="BR39" i="1" s="1"/>
  <c r="AX39" i="1" s="1"/>
  <c r="D38" i="2" s="1"/>
  <c r="AE39" i="1"/>
  <c r="BW39" i="1" s="1"/>
  <c r="BH39" i="1" s="1"/>
  <c r="N38" i="2" s="1"/>
  <c r="AD42" i="1"/>
  <c r="V42" i="1"/>
  <c r="BQ42" i="1" s="1"/>
  <c r="AY42" i="1" s="1"/>
  <c r="E41" i="2" s="1"/>
  <c r="Z42" i="1"/>
  <c r="CI42" i="1" s="1"/>
  <c r="R42" i="1"/>
  <c r="BP42" i="1" s="1"/>
  <c r="Y42" i="1"/>
  <c r="CJ42" i="1" s="1"/>
  <c r="W42" i="1"/>
  <c r="X42" i="1"/>
  <c r="BZ42" i="1" s="1"/>
  <c r="CD42" i="1" s="1"/>
  <c r="U42" i="1"/>
  <c r="BI46" i="1"/>
  <c r="BK46" i="1" s="1"/>
  <c r="P45" i="2" s="1"/>
  <c r="AE47" i="1"/>
  <c r="BW47" i="1" s="1"/>
  <c r="BH47" i="1" s="1"/>
  <c r="N46" i="2" s="1"/>
  <c r="W47" i="1"/>
  <c r="AD47" i="1"/>
  <c r="BV47" i="1" s="1"/>
  <c r="BF47" i="1" s="1"/>
  <c r="L46" i="2" s="1"/>
  <c r="U47" i="1"/>
  <c r="BR47" i="1" s="1"/>
  <c r="AX47" i="1" s="1"/>
  <c r="D46" i="2" s="1"/>
  <c r="T47" i="1"/>
  <c r="BQ47" i="1" s="1"/>
  <c r="AY47" i="1" s="1"/>
  <c r="E46" i="2" s="1"/>
  <c r="Y47" i="1"/>
  <c r="CJ47" i="1" s="1"/>
  <c r="Z47" i="1"/>
  <c r="CI47" i="1" s="1"/>
  <c r="AA47" i="1"/>
  <c r="BW49" i="1"/>
  <c r="BH49" i="1" s="1"/>
  <c r="N48" i="2" s="1"/>
  <c r="AA59" i="1"/>
  <c r="CJ59" i="1" s="1"/>
  <c r="S59" i="1"/>
  <c r="BS59" i="1" s="1" a="1"/>
  <c r="BS59" i="1" s="1"/>
  <c r="AZ59" i="1" s="1"/>
  <c r="F58" i="2" s="1"/>
  <c r="W59" i="1"/>
  <c r="Z59" i="1"/>
  <c r="CI59" i="1" s="1"/>
  <c r="V59" i="1"/>
  <c r="U59" i="1"/>
  <c r="BR59" i="1" s="1"/>
  <c r="AX59" i="1" s="1"/>
  <c r="D58" i="2" s="1"/>
  <c r="AE59" i="1"/>
  <c r="BW59" i="1" s="1"/>
  <c r="BH59" i="1" s="1"/>
  <c r="N58" i="2" s="1"/>
  <c r="R59" i="1"/>
  <c r="BP59" i="1" s="1"/>
  <c r="BU60" i="1"/>
  <c r="BD60" i="1" s="1"/>
  <c r="J59" i="2" s="1"/>
  <c r="CI63" i="1"/>
  <c r="BV38" i="1"/>
  <c r="BF38" i="1" s="1"/>
  <c r="L37" i="2" s="1"/>
  <c r="CD38" i="1"/>
  <c r="CN38" i="1" s="1"/>
  <c r="CJ41" i="1"/>
  <c r="BQ49" i="1"/>
  <c r="AY49" i="1" s="1"/>
  <c r="E48" i="2" s="1"/>
  <c r="AD50" i="1"/>
  <c r="V50" i="1"/>
  <c r="BS50" i="1" s="1" a="1"/>
  <c r="BS50" i="1" s="1"/>
  <c r="AZ50" i="1" s="1"/>
  <c r="F49" i="2" s="1"/>
  <c r="X50" i="1"/>
  <c r="BZ50" i="1" s="1"/>
  <c r="CD50" i="1" s="1"/>
  <c r="W50" i="1"/>
  <c r="U50" i="1"/>
  <c r="BR50" i="1" s="1"/>
  <c r="AX50" i="1" s="1"/>
  <c r="D49" i="2" s="1"/>
  <c r="Y50" i="1"/>
  <c r="Z50" i="1"/>
  <c r="BQ59" i="1"/>
  <c r="AY59" i="1" s="1"/>
  <c r="E58" i="2" s="1"/>
  <c r="BV63" i="1"/>
  <c r="BF63" i="1" s="1"/>
  <c r="L62" i="2" s="1"/>
  <c r="U20" i="1"/>
  <c r="AD20" i="1"/>
  <c r="V20" i="1"/>
  <c r="AC20" i="1"/>
  <c r="BU20" i="1" s="1"/>
  <c r="BD20" i="1" s="1"/>
  <c r="J19" i="2" s="1"/>
  <c r="AB20" i="1"/>
  <c r="AE22" i="1"/>
  <c r="BW22" i="1" s="1"/>
  <c r="BH22" i="1" s="1"/>
  <c r="N21" i="2" s="1"/>
  <c r="W22" i="1"/>
  <c r="X22" i="1"/>
  <c r="BZ22" i="1" s="1"/>
  <c r="CD22" i="1" s="1"/>
  <c r="AB22" i="1"/>
  <c r="CI22" i="1" s="1"/>
  <c r="BR32" i="1"/>
  <c r="AX32" i="1" s="1"/>
  <c r="D31" i="2" s="1"/>
  <c r="CJ43" i="1"/>
  <c r="BW53" i="1"/>
  <c r="BH53" i="1" s="1"/>
  <c r="N52" i="2" s="1"/>
  <c r="BV55" i="1"/>
  <c r="BF55" i="1" s="1"/>
  <c r="L54" i="2" s="1"/>
  <c r="BR56" i="1"/>
  <c r="AX56" i="1" s="1"/>
  <c r="D55" i="2" s="1"/>
  <c r="BT60" i="1"/>
  <c r="BB60" i="1" s="1"/>
  <c r="H59" i="2" s="1"/>
  <c r="CE60" i="1"/>
  <c r="BQ61" i="1"/>
  <c r="AY61" i="1" s="1"/>
  <c r="E60" i="2" s="1"/>
  <c r="CD63" i="1"/>
  <c r="CD64" i="1"/>
  <c r="CE66" i="1"/>
  <c r="BT66" i="1"/>
  <c r="BB66" i="1" s="1"/>
  <c r="S13" i="1"/>
  <c r="BS13" i="1" s="1" a="1"/>
  <c r="BS13" i="1" s="1"/>
  <c r="AZ13" i="1" s="1"/>
  <c r="F12" i="2" s="1"/>
  <c r="AA13" i="1"/>
  <c r="S21" i="1"/>
  <c r="BS21" i="1" s="1" a="1"/>
  <c r="BS21" i="1" s="1"/>
  <c r="AZ21" i="1" s="1"/>
  <c r="F20" i="2" s="1"/>
  <c r="AA21" i="1"/>
  <c r="CJ21" i="1" s="1"/>
  <c r="S29" i="1"/>
  <c r="BS29" i="1" s="1" a="1"/>
  <c r="BS29" i="1" s="1"/>
  <c r="AZ29" i="1" s="1"/>
  <c r="F28" i="2" s="1"/>
  <c r="AA29" i="1"/>
  <c r="CJ29" i="1" s="1"/>
  <c r="AA33" i="1"/>
  <c r="CJ33" i="1" s="1"/>
  <c r="BU43" i="1"/>
  <c r="BD43" i="1" s="1"/>
  <c r="J42" i="2" s="1"/>
  <c r="S45" i="1"/>
  <c r="BS45" i="1" s="1" a="1"/>
  <c r="BS45" i="1" s="1"/>
  <c r="AZ45" i="1" s="1"/>
  <c r="F44" i="2" s="1"/>
  <c r="S49" i="1"/>
  <c r="BS49" i="1" s="1" a="1"/>
  <c r="BS49" i="1" s="1"/>
  <c r="AZ49" i="1" s="1"/>
  <c r="F48" i="2" s="1"/>
  <c r="S53" i="1"/>
  <c r="BT54" i="1"/>
  <c r="BB54" i="1" s="1"/>
  <c r="H53" i="2" s="1"/>
  <c r="AB56" i="1"/>
  <c r="CI56" i="1" s="1"/>
  <c r="T56" i="1"/>
  <c r="BQ56" i="1" s="1"/>
  <c r="AY56" i="1" s="1"/>
  <c r="E55" i="2" s="1"/>
  <c r="X56" i="1"/>
  <c r="BZ56" i="1" s="1"/>
  <c r="CD56" i="1" s="1"/>
  <c r="AA56" i="1"/>
  <c r="R56" i="1"/>
  <c r="BP56" i="1" s="1"/>
  <c r="AD56" i="1"/>
  <c r="BV56" i="1" s="1"/>
  <c r="BF56" i="1" s="1"/>
  <c r="L55" i="2" s="1"/>
  <c r="AD58" i="1"/>
  <c r="V58" i="1"/>
  <c r="BS58" i="1" s="1" a="1"/>
  <c r="BS58" i="1" s="1"/>
  <c r="AZ58" i="1" s="1"/>
  <c r="F57" i="2" s="1"/>
  <c r="AE58" i="1"/>
  <c r="BW58" i="1" s="1"/>
  <c r="BH58" i="1" s="1"/>
  <c r="N57" i="2" s="1"/>
  <c r="U58" i="1"/>
  <c r="BR58" i="1" s="1"/>
  <c r="AX58" i="1" s="1"/>
  <c r="D57" i="2" s="1"/>
  <c r="AA58" i="1"/>
  <c r="CJ58" i="1" s="1"/>
  <c r="R58" i="1"/>
  <c r="BP58" i="1" s="1"/>
  <c r="AC58" i="1"/>
  <c r="T60" i="1"/>
  <c r="BQ60" i="1" s="1"/>
  <c r="AY60" i="1" s="1"/>
  <c r="E59" i="2" s="1"/>
  <c r="BU62" i="1"/>
  <c r="BD62" i="1" s="1"/>
  <c r="J61" i="2" s="1"/>
  <c r="AB63" i="1"/>
  <c r="T63" i="1"/>
  <c r="BQ63" i="1" s="1"/>
  <c r="AY63" i="1" s="1"/>
  <c r="E62" i="2" s="1"/>
  <c r="AC63" i="1"/>
  <c r="BU63" i="1" s="1"/>
  <c r="BD63" i="1" s="1"/>
  <c r="J62" i="2" s="1"/>
  <c r="S63" i="1"/>
  <c r="BS63" i="1" s="1" a="1"/>
  <c r="BS63" i="1" s="1"/>
  <c r="AZ63" i="1" s="1"/>
  <c r="F62" i="2" s="1"/>
  <c r="AA63" i="1"/>
  <c r="R63" i="1"/>
  <c r="BP63" i="1" s="1"/>
  <c r="W63" i="1"/>
  <c r="Y63" i="1"/>
  <c r="CJ63" i="1" s="1"/>
  <c r="CD66" i="1"/>
  <c r="BW41" i="1"/>
  <c r="BH41" i="1" s="1"/>
  <c r="N40" i="2" s="1"/>
  <c r="AC45" i="1"/>
  <c r="BU45" i="1" s="1"/>
  <c r="BD45" i="1" s="1"/>
  <c r="J44" i="2" s="1"/>
  <c r="U45" i="1"/>
  <c r="BR45" i="1" s="1"/>
  <c r="AX45" i="1" s="1"/>
  <c r="D44" i="2" s="1"/>
  <c r="Z45" i="1"/>
  <c r="CI45" i="1" s="1"/>
  <c r="R45" i="1"/>
  <c r="BP45" i="1" s="1"/>
  <c r="X45" i="1"/>
  <c r="BZ45" i="1" s="1"/>
  <c r="CD45" i="1" s="1"/>
  <c r="CN45" i="1" s="1"/>
  <c r="AD45" i="1"/>
  <c r="BV45" i="1" s="1"/>
  <c r="BF45" i="1" s="1"/>
  <c r="L44" i="2" s="1"/>
  <c r="Y49" i="1"/>
  <c r="CJ49" i="1" s="1"/>
  <c r="R49" i="1"/>
  <c r="BP49" i="1" s="1"/>
  <c r="AD49" i="1"/>
  <c r="BV49" i="1" s="1"/>
  <c r="BF49" i="1" s="1"/>
  <c r="L48" i="2" s="1"/>
  <c r="U49" i="1"/>
  <c r="BR49" i="1" s="1"/>
  <c r="AX49" i="1" s="1"/>
  <c r="D48" i="2" s="1"/>
  <c r="Z49" i="1"/>
  <c r="CI49" i="1" s="1"/>
  <c r="AC49" i="1"/>
  <c r="BU49" i="1" s="1"/>
  <c r="BD49" i="1" s="1"/>
  <c r="J48" i="2" s="1"/>
  <c r="AC53" i="1"/>
  <c r="U53" i="1"/>
  <c r="X53" i="1"/>
  <c r="BZ53" i="1" s="1"/>
  <c r="V53" i="1"/>
  <c r="CI53" i="1" s="1"/>
  <c r="AD53" i="1"/>
  <c r="BV53" i="1" s="1"/>
  <c r="BF53" i="1" s="1"/>
  <c r="L52" i="2" s="1"/>
  <c r="X60" i="1"/>
  <c r="BZ60" i="1" s="1"/>
  <c r="CD60" i="1" s="1"/>
  <c r="AB60" i="1"/>
  <c r="CI60" i="1" s="1"/>
  <c r="S60" i="1"/>
  <c r="BS60" i="1" s="1" a="1"/>
  <c r="BS60" i="1" s="1"/>
  <c r="AZ60" i="1" s="1"/>
  <c r="F59" i="2" s="1"/>
  <c r="AA60" i="1"/>
  <c r="R60" i="1"/>
  <c r="BP60" i="1" s="1"/>
  <c r="AD60" i="1"/>
  <c r="BV60" i="1" s="1"/>
  <c r="BF60" i="1" s="1"/>
  <c r="L59" i="2" s="1"/>
  <c r="BQ62" i="1"/>
  <c r="AY62" i="1" s="1"/>
  <c r="E61" i="2" s="1"/>
  <c r="BV64" i="1"/>
  <c r="BF64" i="1" s="1"/>
  <c r="L63" i="2" s="1"/>
  <c r="BR66" i="1"/>
  <c r="AX66" i="1" s="1"/>
  <c r="AA38" i="1"/>
  <c r="CJ38" i="1" s="1"/>
  <c r="S38" i="1"/>
  <c r="BS38" i="1" s="1" a="1"/>
  <c r="BS38" i="1" s="1"/>
  <c r="AZ38" i="1" s="1"/>
  <c r="F37" i="2" s="1"/>
  <c r="AB38" i="1"/>
  <c r="CI38" i="1" s="1"/>
  <c r="AE55" i="1"/>
  <c r="BW55" i="1" s="1"/>
  <c r="BH55" i="1" s="1"/>
  <c r="N54" i="2" s="1"/>
  <c r="W55" i="1"/>
  <c r="AB55" i="1"/>
  <c r="CI55" i="1" s="1"/>
  <c r="S55" i="1"/>
  <c r="BS55" i="1" s="1" a="1"/>
  <c r="BS55" i="1" s="1"/>
  <c r="AZ55" i="1" s="1"/>
  <c r="F54" i="2" s="1"/>
  <c r="AC55" i="1"/>
  <c r="BU55" i="1" s="1"/>
  <c r="BD55" i="1" s="1"/>
  <c r="J54" i="2" s="1"/>
  <c r="BV66" i="1"/>
  <c r="BF66" i="1" s="1"/>
  <c r="AA43" i="1"/>
  <c r="S43" i="1"/>
  <c r="BS43" i="1" s="1" a="1"/>
  <c r="BS43" i="1" s="1"/>
  <c r="AZ43" i="1" s="1"/>
  <c r="F42" i="2" s="1"/>
  <c r="AB43" i="1"/>
  <c r="CI43" i="1" s="1"/>
  <c r="AE62" i="1"/>
  <c r="BW62" i="1" s="1"/>
  <c r="BH62" i="1" s="1"/>
  <c r="N61" i="2" s="1"/>
  <c r="W62" i="1"/>
  <c r="X62" i="1"/>
  <c r="BZ62" i="1" s="1"/>
  <c r="CD62" i="1" s="1"/>
  <c r="AB62" i="1"/>
  <c r="Y64" i="1"/>
  <c r="CJ64" i="1" s="1"/>
  <c r="R64" i="1"/>
  <c r="BP64" i="1" s="1"/>
  <c r="AE64" i="1"/>
  <c r="BW64" i="1" s="1"/>
  <c r="BH64" i="1" s="1"/>
  <c r="N63" i="2" s="1"/>
  <c r="W64" i="1"/>
  <c r="AB64" i="1"/>
  <c r="CI64" i="1" s="1"/>
  <c r="BR61" i="1"/>
  <c r="AX61" i="1" s="1"/>
  <c r="D60" i="2" s="1"/>
  <c r="R66" i="1"/>
  <c r="BP66" i="1" s="1"/>
  <c r="Y66" i="1"/>
  <c r="CJ66" i="1" s="1"/>
  <c r="Z66" i="1"/>
  <c r="CI66" i="1" s="1"/>
  <c r="S66" i="1"/>
  <c r="BS66" i="1" s="1" a="1"/>
  <c r="BS66" i="1" s="1"/>
  <c r="AZ66" i="1" s="1"/>
  <c r="BL31" i="1" l="1"/>
  <c r="BN31" i="1" s="1"/>
  <c r="BI31" i="1"/>
  <c r="BK31" i="1" s="1"/>
  <c r="P30" i="2" s="1"/>
  <c r="BL55" i="1"/>
  <c r="BN55" i="1" s="1"/>
  <c r="BI55" i="1"/>
  <c r="BK55" i="1" s="1"/>
  <c r="P54" i="2" s="1"/>
  <c r="BL53" i="1"/>
  <c r="BN53" i="1" s="1"/>
  <c r="BI53" i="1"/>
  <c r="BK53" i="1" s="1"/>
  <c r="P52" i="2" s="1"/>
  <c r="BI56" i="1"/>
  <c r="BK56" i="1" s="1"/>
  <c r="P55" i="2" s="1"/>
  <c r="BL56" i="1"/>
  <c r="BN56" i="1" s="1"/>
  <c r="BJ59" i="1"/>
  <c r="BM59" i="1"/>
  <c r="BL64" i="1"/>
  <c r="BN64" i="1" s="1"/>
  <c r="BI64" i="1"/>
  <c r="BK64" i="1" s="1"/>
  <c r="P63" i="2" s="1"/>
  <c r="BL22" i="1"/>
  <c r="BN22" i="1" s="1"/>
  <c r="AT22" i="1" s="1"/>
  <c r="BI22" i="1"/>
  <c r="BK22" i="1" s="1"/>
  <c r="P21" i="2" s="1"/>
  <c r="BM37" i="1"/>
  <c r="BJ37" i="1"/>
  <c r="BL9" i="1"/>
  <c r="BN9" i="1" s="1"/>
  <c r="BI9" i="1"/>
  <c r="BK9" i="1" s="1"/>
  <c r="P8" i="2" s="1"/>
  <c r="BL26" i="1"/>
  <c r="BN26" i="1" s="1"/>
  <c r="BI26" i="1"/>
  <c r="BK26" i="1" s="1"/>
  <c r="P25" i="2" s="1"/>
  <c r="BJ38" i="1"/>
  <c r="BM38" i="1"/>
  <c r="BL60" i="1"/>
  <c r="BN60" i="1" s="1"/>
  <c r="BI60" i="1"/>
  <c r="BK60" i="1" s="1"/>
  <c r="P59" i="2" s="1"/>
  <c r="BJ33" i="1"/>
  <c r="BM33" i="1"/>
  <c r="AT33" i="1" s="1"/>
  <c r="BI33" i="1"/>
  <c r="BK33" i="1" s="1"/>
  <c r="P32" i="2" s="1"/>
  <c r="CN62" i="1"/>
  <c r="BM58" i="1"/>
  <c r="BJ58" i="1"/>
  <c r="CN56" i="1"/>
  <c r="BI59" i="1"/>
  <c r="BK59" i="1" s="1"/>
  <c r="P58" i="2" s="1"/>
  <c r="BL59" i="1"/>
  <c r="BN59" i="1" s="1"/>
  <c r="BJ47" i="1"/>
  <c r="BM47" i="1"/>
  <c r="CN42" i="1"/>
  <c r="BJ27" i="1"/>
  <c r="BM27" i="1"/>
  <c r="BL23" i="1"/>
  <c r="BN23" i="1" s="1"/>
  <c r="BI23" i="1"/>
  <c r="BK23" i="1" s="1"/>
  <c r="P22" i="2" s="1"/>
  <c r="CN9" i="1"/>
  <c r="CN44" i="1"/>
  <c r="BV6" i="1"/>
  <c r="BF6" i="1" s="1"/>
  <c r="L5" i="2" s="1"/>
  <c r="BQ30" i="1"/>
  <c r="AY30" i="1" s="1"/>
  <c r="E29" i="2" s="1"/>
  <c r="BL10" i="1"/>
  <c r="BN10" i="1" s="1"/>
  <c r="BI10" i="1"/>
  <c r="BK10" i="1" s="1"/>
  <c r="P9" i="2" s="1"/>
  <c r="BT4" i="1"/>
  <c r="BB4" i="1" s="1"/>
  <c r="H3" i="2" s="1"/>
  <c r="CE4" i="1"/>
  <c r="CN4" i="1" s="1"/>
  <c r="BJ4" i="1"/>
  <c r="BM4" i="1"/>
  <c r="BM12" i="1"/>
  <c r="BJ12" i="1"/>
  <c r="BM7" i="1"/>
  <c r="BJ7" i="1"/>
  <c r="CE62" i="1"/>
  <c r="BT62" i="1"/>
  <c r="BB62" i="1" s="1"/>
  <c r="H61" i="2" s="1"/>
  <c r="BJ29" i="1"/>
  <c r="BM29" i="1"/>
  <c r="AT29" i="1" s="1"/>
  <c r="CN64" i="1"/>
  <c r="BJ43" i="1"/>
  <c r="BM43" i="1"/>
  <c r="BW20" i="1"/>
  <c r="BH20" i="1" s="1"/>
  <c r="N19" i="2" s="1"/>
  <c r="CJ20" i="1"/>
  <c r="BT50" i="1"/>
  <c r="BB50" i="1" s="1"/>
  <c r="H49" i="2" s="1"/>
  <c r="CE50" i="1"/>
  <c r="CN50" i="1" s="1"/>
  <c r="CE59" i="1"/>
  <c r="CN59" i="1" s="1"/>
  <c r="BT59" i="1"/>
  <c r="BB59" i="1" s="1"/>
  <c r="H58" i="2" s="1"/>
  <c r="CE42" i="1"/>
  <c r="BT42" i="1"/>
  <c r="BB42" i="1" s="1"/>
  <c r="H41" i="2" s="1"/>
  <c r="BL39" i="1"/>
  <c r="BN39" i="1" s="1"/>
  <c r="BI39" i="1"/>
  <c r="BK39" i="1" s="1"/>
  <c r="P38" i="2" s="1"/>
  <c r="CN27" i="1"/>
  <c r="O45" i="2"/>
  <c r="AS46" i="1"/>
  <c r="BL65" i="1"/>
  <c r="BN65" i="1" s="1"/>
  <c r="CD51" i="1"/>
  <c r="CJ51" i="1"/>
  <c r="Q23" i="2"/>
  <c r="AU24" i="1"/>
  <c r="BJ60" i="1"/>
  <c r="BM60" i="1"/>
  <c r="AT60" i="1" s="1"/>
  <c r="BI36" i="1"/>
  <c r="BK36" i="1" s="1"/>
  <c r="P35" i="2" s="1"/>
  <c r="BL36" i="1"/>
  <c r="BN36" i="1" s="1"/>
  <c r="BS28" i="1" a="1"/>
  <c r="BS28" i="1" s="1"/>
  <c r="AZ28" i="1" s="1"/>
  <c r="F27" i="2" s="1"/>
  <c r="BI37" i="1"/>
  <c r="BK37" i="1" s="1"/>
  <c r="P36" i="2" s="1"/>
  <c r="BL37" i="1"/>
  <c r="BN37" i="1" s="1"/>
  <c r="BV28" i="1"/>
  <c r="BF28" i="1" s="1"/>
  <c r="L27" i="2" s="1"/>
  <c r="BQ6" i="1"/>
  <c r="AY6" i="1" s="1"/>
  <c r="E5" i="2" s="1"/>
  <c r="BL48" i="1"/>
  <c r="BN48" i="1" s="1"/>
  <c r="AS35" i="1"/>
  <c r="CI30" i="1"/>
  <c r="BV30" i="1"/>
  <c r="BF30" i="1" s="1"/>
  <c r="L29" i="2" s="1"/>
  <c r="CE6" i="1"/>
  <c r="BM9" i="1"/>
  <c r="AT9" i="1" s="1"/>
  <c r="BJ9" i="1"/>
  <c r="AT31" i="1"/>
  <c r="CN21" i="1"/>
  <c r="CI12" i="1"/>
  <c r="BV12" i="1"/>
  <c r="BF12" i="1" s="1"/>
  <c r="L11" i="2" s="1"/>
  <c r="BL7" i="1"/>
  <c r="BN7" i="1" s="1"/>
  <c r="BI7" i="1"/>
  <c r="BK7" i="1" s="1"/>
  <c r="P6" i="2" s="1"/>
  <c r="CN18" i="1"/>
  <c r="CN23" i="1"/>
  <c r="BL18" i="1"/>
  <c r="BN18" i="1" s="1"/>
  <c r="CE55" i="1"/>
  <c r="BT55" i="1"/>
  <c r="BB55" i="1" s="1"/>
  <c r="H54" i="2" s="1"/>
  <c r="CD53" i="1"/>
  <c r="BM49" i="1"/>
  <c r="AT49" i="1" s="1"/>
  <c r="BJ49" i="1"/>
  <c r="CN66" i="1"/>
  <c r="BV20" i="1"/>
  <c r="BF20" i="1" s="1"/>
  <c r="L19" i="2" s="1"/>
  <c r="BI63" i="1"/>
  <c r="BK63" i="1" s="1"/>
  <c r="P62" i="2" s="1"/>
  <c r="BL63" i="1"/>
  <c r="BN63" i="1" s="1"/>
  <c r="BM42" i="1"/>
  <c r="AT42" i="1" s="1"/>
  <c r="BJ42" i="1"/>
  <c r="BM39" i="1"/>
  <c r="AT39" i="1" s="1"/>
  <c r="BJ39" i="1"/>
  <c r="CE9" i="1"/>
  <c r="BT9" i="1"/>
  <c r="BB9" i="1" s="1"/>
  <c r="H8" i="2" s="1"/>
  <c r="CE65" i="1"/>
  <c r="BT65" i="1"/>
  <c r="BB65" i="1" s="1"/>
  <c r="CI51" i="1"/>
  <c r="BS51" i="1" a="1"/>
  <c r="BS51" i="1" s="1"/>
  <c r="AZ51" i="1" s="1"/>
  <c r="F50" i="2" s="1"/>
  <c r="BS6" i="1" a="1"/>
  <c r="BS6" i="1" s="1"/>
  <c r="AZ6" i="1" s="1"/>
  <c r="F5" i="2" s="1"/>
  <c r="BT40" i="1"/>
  <c r="BB40" i="1" s="1"/>
  <c r="H39" i="2" s="1"/>
  <c r="CE40" i="1"/>
  <c r="BL44" i="1"/>
  <c r="BN44" i="1" s="1"/>
  <c r="BJ19" i="1"/>
  <c r="BM19" i="1"/>
  <c r="BS65" i="1" a="1"/>
  <c r="BS65" i="1" s="1"/>
  <c r="AZ65" i="1" s="1"/>
  <c r="BV65" i="1"/>
  <c r="BF65" i="1" s="1"/>
  <c r="BW51" i="1"/>
  <c r="BH51" i="1" s="1"/>
  <c r="N50" i="2" s="1"/>
  <c r="CJ40" i="1"/>
  <c r="CN55" i="1"/>
  <c r="BJ36" i="1"/>
  <c r="BM36" i="1"/>
  <c r="AT36" i="1" s="1"/>
  <c r="BU28" i="1"/>
  <c r="BD28" i="1" s="1"/>
  <c r="J27" i="2" s="1"/>
  <c r="BQ58" i="1"/>
  <c r="AY58" i="1" s="1"/>
  <c r="E57" i="2" s="1"/>
  <c r="BV14" i="1"/>
  <c r="BF14" i="1" s="1"/>
  <c r="L13" i="2" s="1"/>
  <c r="BL57" i="1"/>
  <c r="BN57" i="1" s="1"/>
  <c r="CD25" i="1"/>
  <c r="O22" i="2"/>
  <c r="AS23" i="1"/>
  <c r="CE30" i="1"/>
  <c r="BT30" i="1"/>
  <c r="BB30" i="1" s="1"/>
  <c r="H29" i="2" s="1"/>
  <c r="BM34" i="1"/>
  <c r="BJ34" i="1"/>
  <c r="CI28" i="1"/>
  <c r="BJ10" i="1"/>
  <c r="BM10" i="1"/>
  <c r="BM56" i="1"/>
  <c r="AT56" i="1" s="1"/>
  <c r="BJ56" i="1"/>
  <c r="BI19" i="1"/>
  <c r="BK19" i="1" s="1"/>
  <c r="P18" i="2" s="1"/>
  <c r="CD15" i="1"/>
  <c r="CD12" i="1"/>
  <c r="CI11" i="1"/>
  <c r="CD11" i="1"/>
  <c r="CI17" i="1"/>
  <c r="BT17" i="1"/>
  <c r="BB17" i="1" s="1"/>
  <c r="H16" i="2" s="1"/>
  <c r="CE17" i="1"/>
  <c r="CN17" i="1" s="1"/>
  <c r="BI29" i="1"/>
  <c r="BK29" i="1" s="1"/>
  <c r="P28" i="2" s="1"/>
  <c r="CE63" i="1"/>
  <c r="CN63" i="1" s="1"/>
  <c r="BT63" i="1"/>
  <c r="BB63" i="1" s="1"/>
  <c r="H62" i="2" s="1"/>
  <c r="CE22" i="1"/>
  <c r="BT22" i="1"/>
  <c r="BB22" i="1" s="1"/>
  <c r="H21" i="2" s="1"/>
  <c r="BI62" i="1"/>
  <c r="BK62" i="1" s="1"/>
  <c r="P61" i="2" s="1"/>
  <c r="BL62" i="1"/>
  <c r="BN62" i="1" s="1"/>
  <c r="BW65" i="1"/>
  <c r="BH65" i="1" s="1"/>
  <c r="CJ14" i="1"/>
  <c r="BI27" i="1"/>
  <c r="BK27" i="1" s="1"/>
  <c r="P26" i="2" s="1"/>
  <c r="BL27" i="1"/>
  <c r="BN27" i="1" s="1"/>
  <c r="CJ6" i="1"/>
  <c r="AT54" i="1"/>
  <c r="BR44" i="1"/>
  <c r="AX44" i="1" s="1"/>
  <c r="D43" i="2" s="1"/>
  <c r="CE52" i="1"/>
  <c r="CN52" i="1" s="1"/>
  <c r="BT52" i="1"/>
  <c r="BB52" i="1" s="1"/>
  <c r="H51" i="2" s="1"/>
  <c r="BT36" i="1"/>
  <c r="BB36" i="1" s="1"/>
  <c r="H35" i="2" s="1"/>
  <c r="CE36" i="1"/>
  <c r="BR6" i="1"/>
  <c r="AX6" i="1" s="1"/>
  <c r="D5" i="2" s="1"/>
  <c r="BR37" i="1"/>
  <c r="AX37" i="1" s="1"/>
  <c r="D36" i="2" s="1"/>
  <c r="CD28" i="1"/>
  <c r="CN28" i="1" s="1"/>
  <c r="BI21" i="1"/>
  <c r="BK21" i="1" s="1"/>
  <c r="P20" i="2" s="1"/>
  <c r="BL21" i="1"/>
  <c r="BN21" i="1" s="1"/>
  <c r="BQ50" i="1"/>
  <c r="AY50" i="1" s="1"/>
  <c r="E49" i="2" s="1"/>
  <c r="CD14" i="1"/>
  <c r="CN14" i="1" s="1"/>
  <c r="CE48" i="1"/>
  <c r="BT48" i="1"/>
  <c r="BB48" i="1" s="1"/>
  <c r="H47" i="2" s="1"/>
  <c r="BT53" i="1"/>
  <c r="BB53" i="1" s="1"/>
  <c r="H52" i="2" s="1"/>
  <c r="BW28" i="1"/>
  <c r="BH28" i="1" s="1"/>
  <c r="N27" i="2" s="1"/>
  <c r="AS61" i="1"/>
  <c r="O60" i="2"/>
  <c r="BU30" i="1"/>
  <c r="BD30" i="1" s="1"/>
  <c r="J29" i="2" s="1"/>
  <c r="BW15" i="1"/>
  <c r="BH15" i="1" s="1"/>
  <c r="N14" i="2" s="1"/>
  <c r="BQ53" i="1"/>
  <c r="AY53" i="1" s="1"/>
  <c r="E52" i="2" s="1"/>
  <c r="CE20" i="1"/>
  <c r="BW4" i="1"/>
  <c r="BH4" i="1" s="1"/>
  <c r="N3" i="2" s="1"/>
  <c r="BW42" i="1"/>
  <c r="BH42" i="1" s="1"/>
  <c r="N41" i="2" s="1"/>
  <c r="CJ15" i="1"/>
  <c r="BU15" i="1"/>
  <c r="BD15" i="1" s="1"/>
  <c r="J14" i="2" s="1"/>
  <c r="BQ12" i="1"/>
  <c r="AY12" i="1" s="1"/>
  <c r="E11" i="2" s="1"/>
  <c r="BQ11" i="1"/>
  <c r="AY11" i="1" s="1"/>
  <c r="E10" i="2" s="1"/>
  <c r="CJ11" i="1"/>
  <c r="BU42" i="1"/>
  <c r="BD42" i="1" s="1"/>
  <c r="J41" i="2" s="1"/>
  <c r="CE18" i="1"/>
  <c r="BT18" i="1"/>
  <c r="BB18" i="1" s="1"/>
  <c r="H17" i="2" s="1"/>
  <c r="CJ18" i="1"/>
  <c r="BI18" i="1" s="1"/>
  <c r="BK18" i="1" s="1"/>
  <c r="P17" i="2" s="1"/>
  <c r="BI66" i="1"/>
  <c r="BK66" i="1" s="1"/>
  <c r="BL66" i="1"/>
  <c r="BN66" i="1" s="1"/>
  <c r="BJ64" i="1"/>
  <c r="BM64" i="1"/>
  <c r="BI49" i="1"/>
  <c r="BK49" i="1" s="1"/>
  <c r="P48" i="2" s="1"/>
  <c r="BL49" i="1"/>
  <c r="BN49" i="1" s="1"/>
  <c r="BL45" i="1"/>
  <c r="BN45" i="1" s="1"/>
  <c r="BI45" i="1"/>
  <c r="BK45" i="1" s="1"/>
  <c r="P44" i="2" s="1"/>
  <c r="BU58" i="1"/>
  <c r="BD58" i="1" s="1"/>
  <c r="J57" i="2" s="1"/>
  <c r="CI50" i="1"/>
  <c r="BS42" i="1" a="1"/>
  <c r="BS42" i="1" s="1"/>
  <c r="AZ42" i="1" s="1"/>
  <c r="F41" i="2" s="1"/>
  <c r="BV42" i="1"/>
  <c r="BF42" i="1" s="1"/>
  <c r="L41" i="2" s="1"/>
  <c r="BR65" i="1"/>
  <c r="AX65" i="1" s="1"/>
  <c r="CD65" i="1"/>
  <c r="CN65" i="1" s="1"/>
  <c r="BU51" i="1"/>
  <c r="BD51" i="1" s="1"/>
  <c r="J50" i="2" s="1"/>
  <c r="BJ45" i="1"/>
  <c r="BM45" i="1"/>
  <c r="AT45" i="1" s="1"/>
  <c r="CI40" i="1"/>
  <c r="CD20" i="1"/>
  <c r="BR28" i="1"/>
  <c r="AX28" i="1" s="1"/>
  <c r="D27" i="2" s="1"/>
  <c r="CJ5" i="1"/>
  <c r="BM48" i="1"/>
  <c r="BJ48" i="1"/>
  <c r="CI25" i="1"/>
  <c r="BV25" i="1"/>
  <c r="BF25" i="1" s="1"/>
  <c r="L24" i="2" s="1"/>
  <c r="BW6" i="1"/>
  <c r="BH6" i="1" s="1"/>
  <c r="N5" i="2" s="1"/>
  <c r="CD30" i="1"/>
  <c r="O30" i="2"/>
  <c r="AS31" i="1"/>
  <c r="BQ20" i="1"/>
  <c r="AY20" i="1" s="1"/>
  <c r="E19" i="2" s="1"/>
  <c r="CE15" i="1"/>
  <c r="BT15" i="1"/>
  <c r="BB15" i="1" s="1"/>
  <c r="H14" i="2" s="1"/>
  <c r="BS12" i="1" a="1"/>
  <c r="BS12" i="1" s="1"/>
  <c r="AZ12" i="1" s="1"/>
  <c r="F11" i="2" s="1"/>
  <c r="BR12" i="1"/>
  <c r="AX12" i="1" s="1"/>
  <c r="D11" i="2" s="1"/>
  <c r="BT7" i="1"/>
  <c r="BB7" i="1" s="1"/>
  <c r="H6" i="2" s="1"/>
  <c r="CE7" i="1"/>
  <c r="BM17" i="1"/>
  <c r="BJ17" i="1"/>
  <c r="BT6" i="1"/>
  <c r="BB6" i="1" s="1"/>
  <c r="H5" i="2" s="1"/>
  <c r="BT64" i="1"/>
  <c r="BB64" i="1" s="1"/>
  <c r="H63" i="2" s="1"/>
  <c r="CE64" i="1"/>
  <c r="BI43" i="1"/>
  <c r="BK43" i="1" s="1"/>
  <c r="P42" i="2" s="1"/>
  <c r="BL43" i="1"/>
  <c r="BN43" i="1" s="1"/>
  <c r="BR53" i="1"/>
  <c r="AX53" i="1" s="1"/>
  <c r="D52" i="2" s="1"/>
  <c r="CI58" i="1"/>
  <c r="CE58" i="1"/>
  <c r="BT58" i="1"/>
  <c r="BB58" i="1" s="1"/>
  <c r="H57" i="2" s="1"/>
  <c r="BJ21" i="1"/>
  <c r="BM21" i="1"/>
  <c r="BR20" i="1"/>
  <c r="AX20" i="1" s="1"/>
  <c r="D19" i="2" s="1"/>
  <c r="BT39" i="1"/>
  <c r="BB39" i="1" s="1"/>
  <c r="H38" i="2" s="1"/>
  <c r="CE39" i="1"/>
  <c r="BJ13" i="1"/>
  <c r="BM13" i="1"/>
  <c r="AT13" i="1" s="1"/>
  <c r="BL38" i="1"/>
  <c r="BN38" i="1" s="1"/>
  <c r="BI38" i="1"/>
  <c r="BK38" i="1" s="1"/>
  <c r="P37" i="2" s="1"/>
  <c r="BU53" i="1"/>
  <c r="BD53" i="1" s="1"/>
  <c r="J52" i="2" s="1"/>
  <c r="BJ63" i="1"/>
  <c r="BM63" i="1"/>
  <c r="BV58" i="1"/>
  <c r="BF58" i="1" s="1"/>
  <c r="L57" i="2" s="1"/>
  <c r="BS53" i="1" a="1"/>
  <c r="BS53" i="1" s="1"/>
  <c r="AZ53" i="1" s="1"/>
  <c r="F52" i="2" s="1"/>
  <c r="CN22" i="1"/>
  <c r="BV50" i="1"/>
  <c r="BF50" i="1" s="1"/>
  <c r="L49" i="2" s="1"/>
  <c r="CE47" i="1"/>
  <c r="CN47" i="1" s="1"/>
  <c r="BT47" i="1"/>
  <c r="BB47" i="1" s="1"/>
  <c r="H46" i="2" s="1"/>
  <c r="BL42" i="1"/>
  <c r="BN42" i="1" s="1"/>
  <c r="BI42" i="1"/>
  <c r="BK42" i="1" s="1"/>
  <c r="P41" i="2" s="1"/>
  <c r="CN39" i="1"/>
  <c r="BJ26" i="1"/>
  <c r="BM26" i="1"/>
  <c r="AT26" i="1" s="1"/>
  <c r="CN19" i="1"/>
  <c r="BL19" i="1"/>
  <c r="BN19" i="1" s="1"/>
  <c r="BV51" i="1"/>
  <c r="BF51" i="1" s="1"/>
  <c r="L50" i="2" s="1"/>
  <c r="BU50" i="1"/>
  <c r="BD50" i="1" s="1"/>
  <c r="J49" i="2" s="1"/>
  <c r="E6" i="1"/>
  <c r="BP6" i="1"/>
  <c r="O53" i="2"/>
  <c r="AS54" i="1"/>
  <c r="CI52" i="1"/>
  <c r="CN36" i="1"/>
  <c r="CJ53" i="1"/>
  <c r="BR14" i="1"/>
  <c r="AX14" i="1" s="1"/>
  <c r="D13" i="2" s="1"/>
  <c r="CE53" i="1"/>
  <c r="BJ62" i="1"/>
  <c r="BM62" i="1"/>
  <c r="AT62" i="1" s="1"/>
  <c r="CJ25" i="1"/>
  <c r="AT23" i="1"/>
  <c r="AT61" i="1"/>
  <c r="CJ30" i="1"/>
  <c r="BW30" i="1"/>
  <c r="BH30" i="1" s="1"/>
  <c r="N29" i="2" s="1"/>
  <c r="BQ51" i="1"/>
  <c r="AY51" i="1" s="1"/>
  <c r="E50" i="2" s="1"/>
  <c r="O7" i="2"/>
  <c r="AS8" i="1"/>
  <c r="BM55" i="1"/>
  <c r="BJ55" i="1"/>
  <c r="BR15" i="1"/>
  <c r="AX15" i="1" s="1"/>
  <c r="D14" i="2" s="1"/>
  <c r="CE51" i="1"/>
  <c r="CJ44" i="1"/>
  <c r="CD58" i="1"/>
  <c r="CN58" i="1" s="1"/>
  <c r="CJ52" i="1"/>
  <c r="E5" i="1"/>
  <c r="BP5" i="1"/>
  <c r="BV37" i="1"/>
  <c r="BF37" i="1" s="1"/>
  <c r="L36" i="2" s="1"/>
  <c r="CJ28" i="1"/>
  <c r="BS14" i="1" a="1"/>
  <c r="BS14" i="1" s="1"/>
  <c r="AZ14" i="1" s="1"/>
  <c r="F13" i="2" s="1"/>
  <c r="BU44" i="1"/>
  <c r="BD44" i="1" s="1"/>
  <c r="J43" i="2" s="1"/>
  <c r="BT14" i="1"/>
  <c r="BB14" i="1" s="1"/>
  <c r="H13" i="2" s="1"/>
  <c r="CE14" i="1"/>
  <c r="BQ52" i="1"/>
  <c r="AY52" i="1" s="1"/>
  <c r="E51" i="2" s="1"/>
  <c r="O21" i="2"/>
  <c r="BS30" i="1" a="1"/>
  <c r="BS30" i="1" s="1"/>
  <c r="AZ30" i="1" s="1"/>
  <c r="F29" i="2" s="1"/>
  <c r="BV11" i="1"/>
  <c r="BF11" i="1" s="1"/>
  <c r="L10" i="2" s="1"/>
  <c r="BT34" i="1"/>
  <c r="BB34" i="1" s="1"/>
  <c r="H33" i="2" s="1"/>
  <c r="CE34" i="1"/>
  <c r="CN34" i="1" s="1"/>
  <c r="BW12" i="1"/>
  <c r="BH12" i="1" s="1"/>
  <c r="N11" i="2" s="1"/>
  <c r="BT20" i="1"/>
  <c r="BB20" i="1" s="1"/>
  <c r="H19" i="2" s="1"/>
  <c r="CI4" i="1"/>
  <c r="CI15" i="1"/>
  <c r="BQ15" i="1"/>
  <c r="AY15" i="1" s="1"/>
  <c r="E14" i="2" s="1"/>
  <c r="BT12" i="1"/>
  <c r="BB12" i="1" s="1"/>
  <c r="H11" i="2" s="1"/>
  <c r="CE12" i="1"/>
  <c r="BT11" i="1"/>
  <c r="BB11" i="1" s="1"/>
  <c r="H10" i="2" s="1"/>
  <c r="CE11" i="1"/>
  <c r="CN10" i="1"/>
  <c r="BU17" i="1"/>
  <c r="BD17" i="1" s="1"/>
  <c r="J16" i="2" s="1"/>
  <c r="BV17" i="1"/>
  <c r="BF17" i="1" s="1"/>
  <c r="L16" i="2" s="1"/>
  <c r="O31" i="2"/>
  <c r="AS32" i="1"/>
  <c r="AS16" i="1"/>
  <c r="BU18" i="1"/>
  <c r="BD18" i="1" s="1"/>
  <c r="J17" i="2" s="1"/>
  <c r="BQ18" i="1"/>
  <c r="AY18" i="1" s="1"/>
  <c r="E17" i="2" s="1"/>
  <c r="CD6" i="1"/>
  <c r="CN6" i="1" s="1"/>
  <c r="BJ66" i="1"/>
  <c r="BM66" i="1"/>
  <c r="CN60" i="1"/>
  <c r="CI20" i="1"/>
  <c r="CJ50" i="1"/>
  <c r="BM41" i="1"/>
  <c r="AT41" i="1" s="1"/>
  <c r="BJ41" i="1"/>
  <c r="BL47" i="1"/>
  <c r="BN47" i="1" s="1"/>
  <c r="BI47" i="1"/>
  <c r="BK47" i="1" s="1"/>
  <c r="P46" i="2" s="1"/>
  <c r="BR42" i="1"/>
  <c r="AX42" i="1" s="1"/>
  <c r="D41" i="2" s="1"/>
  <c r="CE31" i="1"/>
  <c r="CN31" i="1" s="1"/>
  <c r="BT31" i="1"/>
  <c r="BB31" i="1" s="1"/>
  <c r="H30" i="2" s="1"/>
  <c r="CJ65" i="1"/>
  <c r="CN43" i="1"/>
  <c r="BT28" i="1"/>
  <c r="BB28" i="1" s="1"/>
  <c r="H27" i="2" s="1"/>
  <c r="BI13" i="1"/>
  <c r="BK13" i="1" s="1"/>
  <c r="P12" i="2" s="1"/>
  <c r="BL13" i="1"/>
  <c r="BN13" i="1" s="1"/>
  <c r="BR40" i="1"/>
  <c r="AX40" i="1" s="1"/>
  <c r="D39" i="2" s="1"/>
  <c r="BT44" i="1"/>
  <c r="BB44" i="1" s="1"/>
  <c r="H43" i="2" s="1"/>
  <c r="CE44" i="1"/>
  <c r="BT57" i="1"/>
  <c r="BB57" i="1" s="1"/>
  <c r="H56" i="2" s="1"/>
  <c r="CE57" i="1"/>
  <c r="CN57" i="1" s="1"/>
  <c r="BR52" i="1"/>
  <c r="AX52" i="1" s="1"/>
  <c r="D51" i="2" s="1"/>
  <c r="BS37" i="1" a="1"/>
  <c r="BS37" i="1" s="1"/>
  <c r="AZ37" i="1" s="1"/>
  <c r="F36" i="2" s="1"/>
  <c r="BQ28" i="1"/>
  <c r="AY28" i="1" s="1"/>
  <c r="E27" i="2" s="1"/>
  <c r="BR9" i="1"/>
  <c r="AX9" i="1" s="1"/>
  <c r="D8" i="2" s="1"/>
  <c r="BS40" i="1" a="1"/>
  <c r="BS40" i="1" s="1"/>
  <c r="AZ40" i="1" s="1"/>
  <c r="F39" i="2" s="1"/>
  <c r="BW14" i="1"/>
  <c r="BH14" i="1" s="1"/>
  <c r="N13" i="2" s="1"/>
  <c r="CJ57" i="1"/>
  <c r="CD48" i="1"/>
  <c r="CN48" i="1" s="1"/>
  <c r="BU25" i="1"/>
  <c r="BD25" i="1" s="1"/>
  <c r="J24" i="2" s="1"/>
  <c r="CE25" i="1"/>
  <c r="BT25" i="1"/>
  <c r="BB25" i="1" s="1"/>
  <c r="H24" i="2" s="1"/>
  <c r="BR30" i="1"/>
  <c r="AX30" i="1" s="1"/>
  <c r="D29" i="2" s="1"/>
  <c r="CI34" i="1"/>
  <c r="BS34" i="1" a="1"/>
  <c r="BS34" i="1" s="1"/>
  <c r="AZ34" i="1" s="1"/>
  <c r="F33" i="2" s="1"/>
  <c r="BU11" i="1"/>
  <c r="BD11" i="1" s="1"/>
  <c r="J10" i="2" s="1"/>
  <c r="BV15" i="1"/>
  <c r="BF15" i="1" s="1"/>
  <c r="L14" i="2" s="1"/>
  <c r="E4" i="1"/>
  <c r="BP4" i="1"/>
  <c r="CD37" i="1"/>
  <c r="CN37" i="1" s="1"/>
  <c r="BS15" i="1" a="1"/>
  <c r="BS15" i="1" s="1"/>
  <c r="AZ15" i="1" s="1"/>
  <c r="F14" i="2" s="1"/>
  <c r="BU12" i="1"/>
  <c r="BD12" i="1" s="1"/>
  <c r="J11" i="2" s="1"/>
  <c r="CD7" i="1"/>
  <c r="CN7" i="1" s="1"/>
  <c r="BW7" i="1"/>
  <c r="BH7" i="1" s="1"/>
  <c r="N6" i="2" s="1"/>
  <c r="BV18" i="1"/>
  <c r="BF18" i="1" s="1"/>
  <c r="L17" i="2" s="1"/>
  <c r="BS20" i="1" a="1"/>
  <c r="BS20" i="1" s="1"/>
  <c r="AZ20" i="1" s="1"/>
  <c r="F19" i="2" s="1"/>
  <c r="Q7" i="2" l="1"/>
  <c r="AU8" i="1"/>
  <c r="Q53" i="2"/>
  <c r="AU54" i="1"/>
  <c r="AS21" i="1"/>
  <c r="O20" i="2"/>
  <c r="BL50" i="1"/>
  <c r="BN50" i="1" s="1"/>
  <c r="BI50" i="1"/>
  <c r="BK50" i="1" s="1"/>
  <c r="P49" i="2" s="1"/>
  <c r="BJ14" i="1"/>
  <c r="BM14" i="1"/>
  <c r="BI6" i="1"/>
  <c r="BK6" i="1" s="1"/>
  <c r="P5" i="2" s="1"/>
  <c r="BM57" i="1"/>
  <c r="AT57" i="1" s="1"/>
  <c r="BJ57" i="1"/>
  <c r="BM65" i="1"/>
  <c r="AT65" i="1" s="1"/>
  <c r="BJ65" i="1"/>
  <c r="AS65" i="1" s="1"/>
  <c r="AU65" i="1" s="1"/>
  <c r="BM50" i="1"/>
  <c r="AT50" i="1" s="1"/>
  <c r="BJ50" i="1"/>
  <c r="Q15" i="2"/>
  <c r="AU16" i="1"/>
  <c r="BM44" i="1"/>
  <c r="AT44" i="1" s="1"/>
  <c r="BJ44" i="1"/>
  <c r="O25" i="2"/>
  <c r="AS26" i="1"/>
  <c r="O12" i="2"/>
  <c r="AS13" i="1"/>
  <c r="BI58" i="1"/>
  <c r="BK58" i="1" s="1"/>
  <c r="P57" i="2" s="1"/>
  <c r="BL58" i="1"/>
  <c r="BN58" i="1" s="1"/>
  <c r="O47" i="2"/>
  <c r="AS48" i="1"/>
  <c r="BL17" i="1"/>
  <c r="BN17" i="1" s="1"/>
  <c r="AT17" i="1" s="1"/>
  <c r="BI17" i="1"/>
  <c r="BK17" i="1" s="1"/>
  <c r="P16" i="2" s="1"/>
  <c r="AT10" i="1"/>
  <c r="O35" i="2"/>
  <c r="AS36" i="1"/>
  <c r="O18" i="2"/>
  <c r="AS19" i="1"/>
  <c r="CN53" i="1"/>
  <c r="O46" i="2"/>
  <c r="AS47" i="1"/>
  <c r="BL20" i="1"/>
  <c r="BN20" i="1" s="1"/>
  <c r="BI20" i="1"/>
  <c r="BK20" i="1" s="1"/>
  <c r="P19" i="2" s="1"/>
  <c r="Q31" i="2"/>
  <c r="AU32" i="1"/>
  <c r="BM30" i="1"/>
  <c r="BJ30" i="1"/>
  <c r="Q30" i="2"/>
  <c r="AU31" i="1"/>
  <c r="AT48" i="1"/>
  <c r="CN11" i="1"/>
  <c r="O9" i="2"/>
  <c r="AS10" i="1"/>
  <c r="CN25" i="1"/>
  <c r="BI44" i="1"/>
  <c r="BK44" i="1" s="1"/>
  <c r="P43" i="2" s="1"/>
  <c r="BM20" i="1"/>
  <c r="AT20" i="1" s="1"/>
  <c r="BJ20" i="1"/>
  <c r="O32" i="2"/>
  <c r="AS33" i="1"/>
  <c r="BL34" i="1"/>
  <c r="BN34" i="1" s="1"/>
  <c r="BI34" i="1"/>
  <c r="BK34" i="1" s="1"/>
  <c r="P33" i="2" s="1"/>
  <c r="BM28" i="1"/>
  <c r="AT28" i="1" s="1"/>
  <c r="BJ28" i="1"/>
  <c r="BJ53" i="1"/>
  <c r="BM53" i="1"/>
  <c r="AT53" i="1" s="1"/>
  <c r="AT63" i="1"/>
  <c r="BM5" i="1"/>
  <c r="AT5" i="1" s="1"/>
  <c r="BJ5" i="1"/>
  <c r="CN5" i="1"/>
  <c r="BI5" i="1"/>
  <c r="BK5" i="1" s="1"/>
  <c r="P4" i="2" s="1"/>
  <c r="BM6" i="1"/>
  <c r="AT6" i="1" s="1"/>
  <c r="BJ6" i="1"/>
  <c r="BI11" i="1"/>
  <c r="BK11" i="1" s="1"/>
  <c r="P10" i="2" s="1"/>
  <c r="BL11" i="1"/>
  <c r="BN11" i="1" s="1"/>
  <c r="BL28" i="1"/>
  <c r="BN28" i="1" s="1"/>
  <c r="BI28" i="1"/>
  <c r="BK28" i="1" s="1"/>
  <c r="P27" i="2" s="1"/>
  <c r="BI57" i="1"/>
  <c r="BK57" i="1" s="1"/>
  <c r="P56" i="2" s="1"/>
  <c r="BL12" i="1"/>
  <c r="BN12" i="1" s="1"/>
  <c r="BI12" i="1"/>
  <c r="BK12" i="1" s="1"/>
  <c r="P11" i="2" s="1"/>
  <c r="BI30" i="1"/>
  <c r="BK30" i="1" s="1"/>
  <c r="P29" i="2" s="1"/>
  <c r="BL30" i="1"/>
  <c r="BN30" i="1" s="1"/>
  <c r="BJ51" i="1"/>
  <c r="BM51" i="1"/>
  <c r="O6" i="2"/>
  <c r="AS7" i="1"/>
  <c r="BL14" i="1"/>
  <c r="BN14" i="1" s="1"/>
  <c r="O36" i="2"/>
  <c r="AS37" i="1"/>
  <c r="AT59" i="1"/>
  <c r="AT66" i="1"/>
  <c r="BL15" i="1"/>
  <c r="BN15" i="1" s="1"/>
  <c r="BI15" i="1"/>
  <c r="BK15" i="1" s="1"/>
  <c r="P14" i="2" s="1"/>
  <c r="AS22" i="1"/>
  <c r="O54" i="2"/>
  <c r="AS55" i="1"/>
  <c r="O62" i="2"/>
  <c r="AS63" i="1"/>
  <c r="AT64" i="1"/>
  <c r="BJ11" i="1"/>
  <c r="BM11" i="1"/>
  <c r="AT11" i="1" s="1"/>
  <c r="CN12" i="1"/>
  <c r="O33" i="2"/>
  <c r="AS34" i="1"/>
  <c r="BM40" i="1"/>
  <c r="AT40" i="1" s="1"/>
  <c r="BJ40" i="1"/>
  <c r="Q34" i="2"/>
  <c r="AU35" i="1"/>
  <c r="CN51" i="1"/>
  <c r="AT43" i="1"/>
  <c r="AT7" i="1"/>
  <c r="BI14" i="1"/>
  <c r="BK14" i="1" s="1"/>
  <c r="P13" i="2" s="1"/>
  <c r="AT37" i="1"/>
  <c r="O58" i="2"/>
  <c r="AS59" i="1"/>
  <c r="AS66" i="1"/>
  <c r="AU66" i="1" s="1"/>
  <c r="BI4" i="1"/>
  <c r="BK4" i="1" s="1"/>
  <c r="P3" i="2" s="1"/>
  <c r="BL4" i="1"/>
  <c r="BN4" i="1" s="1"/>
  <c r="AT55" i="1"/>
  <c r="BM25" i="1"/>
  <c r="AT25" i="1" s="1"/>
  <c r="BJ25" i="1"/>
  <c r="BI52" i="1"/>
  <c r="BK52" i="1" s="1"/>
  <c r="P51" i="2" s="1"/>
  <c r="BL52" i="1"/>
  <c r="BN52" i="1" s="1"/>
  <c r="AT21" i="1"/>
  <c r="CN30" i="1"/>
  <c r="CN20" i="1"/>
  <c r="O63" i="2"/>
  <c r="AS64" i="1"/>
  <c r="CN15" i="1"/>
  <c r="AT34" i="1"/>
  <c r="AS39" i="1"/>
  <c r="O38" i="2"/>
  <c r="BI48" i="1"/>
  <c r="BK48" i="1" s="1"/>
  <c r="P47" i="2" s="1"/>
  <c r="BI65" i="1"/>
  <c r="BK65" i="1" s="1"/>
  <c r="O42" i="2"/>
  <c r="AS43" i="1"/>
  <c r="O11" i="2"/>
  <c r="AS12" i="1"/>
  <c r="AT27" i="1"/>
  <c r="O57" i="2"/>
  <c r="AS58" i="1"/>
  <c r="AT38" i="1"/>
  <c r="BL6" i="1"/>
  <c r="BN6" i="1" s="1"/>
  <c r="BL40" i="1"/>
  <c r="BN40" i="1" s="1"/>
  <c r="BI40" i="1"/>
  <c r="BK40" i="1" s="1"/>
  <c r="P39" i="2" s="1"/>
  <c r="AT12" i="1"/>
  <c r="O26" i="2"/>
  <c r="AS27" i="1"/>
  <c r="AT58" i="1"/>
  <c r="O37" i="2"/>
  <c r="AS38" i="1"/>
  <c r="O40" i="2"/>
  <c r="AS41" i="1"/>
  <c r="BJ52" i="1"/>
  <c r="BM52" i="1"/>
  <c r="AT52" i="1" s="1"/>
  <c r="O61" i="2"/>
  <c r="AS62" i="1"/>
  <c r="O55" i="2"/>
  <c r="AS56" i="1"/>
  <c r="O41" i="2"/>
  <c r="AS42" i="1"/>
  <c r="O48" i="2"/>
  <c r="AS49" i="1"/>
  <c r="O8" i="2"/>
  <c r="AS9" i="1"/>
  <c r="Q45" i="2"/>
  <c r="AU46" i="1"/>
  <c r="AT4" i="1"/>
  <c r="CN40" i="1"/>
  <c r="O16" i="2"/>
  <c r="BL25" i="1"/>
  <c r="BN25" i="1" s="1"/>
  <c r="BI25" i="1"/>
  <c r="BK25" i="1" s="1"/>
  <c r="P24" i="2" s="1"/>
  <c r="O44" i="2"/>
  <c r="AS45" i="1"/>
  <c r="BJ18" i="1"/>
  <c r="BM18" i="1"/>
  <c r="AT18" i="1" s="1"/>
  <c r="BM15" i="1"/>
  <c r="AT15" i="1" s="1"/>
  <c r="BJ15" i="1"/>
  <c r="Q60" i="2"/>
  <c r="AU61" i="1"/>
  <c r="Q22" i="2"/>
  <c r="AU23" i="1"/>
  <c r="AT19" i="1"/>
  <c r="BL51" i="1"/>
  <c r="BN51" i="1" s="1"/>
  <c r="BI51" i="1"/>
  <c r="BK51" i="1" s="1"/>
  <c r="P50" i="2" s="1"/>
  <c r="O59" i="2"/>
  <c r="AS60" i="1"/>
  <c r="O28" i="2"/>
  <c r="AS29" i="1"/>
  <c r="O3" i="2"/>
  <c r="AS4" i="1"/>
  <c r="AT47" i="1"/>
  <c r="O51" i="2" l="1"/>
  <c r="AS52" i="1"/>
  <c r="Q11" i="2"/>
  <c r="AU12" i="1"/>
  <c r="O39" i="2"/>
  <c r="AS40" i="1"/>
  <c r="Q62" i="2"/>
  <c r="AU63" i="1"/>
  <c r="O19" i="2"/>
  <c r="AS20" i="1"/>
  <c r="Q46" i="2"/>
  <c r="AU47" i="1"/>
  <c r="Q41" i="2"/>
  <c r="AU42" i="1"/>
  <c r="Q40" i="2"/>
  <c r="AU41" i="1"/>
  <c r="O24" i="2"/>
  <c r="AS25" i="1"/>
  <c r="Q36" i="2"/>
  <c r="AU37" i="1"/>
  <c r="O5" i="2"/>
  <c r="AS6" i="1"/>
  <c r="O52" i="2"/>
  <c r="AS53" i="1"/>
  <c r="Q25" i="2"/>
  <c r="AU26" i="1"/>
  <c r="Q3" i="2"/>
  <c r="AU4" i="1"/>
  <c r="O17" i="2"/>
  <c r="AS18" i="1"/>
  <c r="Q42" i="2"/>
  <c r="AU43" i="1"/>
  <c r="Q63" i="2"/>
  <c r="AU64" i="1"/>
  <c r="Q33" i="2"/>
  <c r="AU34" i="1"/>
  <c r="AU55" i="1"/>
  <c r="Q54" i="2"/>
  <c r="O27" i="2"/>
  <c r="AS28" i="1"/>
  <c r="AS30" i="1"/>
  <c r="O29" i="2"/>
  <c r="Q44" i="2"/>
  <c r="AU45" i="1"/>
  <c r="AU56" i="1"/>
  <c r="Q55" i="2"/>
  <c r="Q18" i="2"/>
  <c r="AU19" i="1"/>
  <c r="O56" i="2"/>
  <c r="AS57" i="1"/>
  <c r="AU29" i="1"/>
  <c r="Q28" i="2"/>
  <c r="Q9" i="2"/>
  <c r="AU10" i="1"/>
  <c r="Q8" i="2"/>
  <c r="AU9" i="1"/>
  <c r="Q57" i="2"/>
  <c r="AU58" i="1"/>
  <c r="O4" i="2"/>
  <c r="AS5" i="1"/>
  <c r="Q47" i="2"/>
  <c r="AU48" i="1"/>
  <c r="Q37" i="2"/>
  <c r="AU38" i="1"/>
  <c r="AT30" i="1"/>
  <c r="O43" i="2"/>
  <c r="AS44" i="1"/>
  <c r="Q20" i="2"/>
  <c r="AU21" i="1"/>
  <c r="Q21" i="2"/>
  <c r="AU22" i="1"/>
  <c r="Q6" i="2"/>
  <c r="AU7" i="1"/>
  <c r="Q61" i="2"/>
  <c r="AU62" i="1"/>
  <c r="Q35" i="2"/>
  <c r="AU36" i="1"/>
  <c r="Q59" i="2"/>
  <c r="AU60" i="1"/>
  <c r="Q26" i="2"/>
  <c r="AU27" i="1"/>
  <c r="O10" i="2"/>
  <c r="AS11" i="1"/>
  <c r="AT51" i="1"/>
  <c r="Q32" i="2"/>
  <c r="AU33" i="1"/>
  <c r="AT14" i="1"/>
  <c r="O14" i="2"/>
  <c r="AS15" i="1"/>
  <c r="AS17" i="1"/>
  <c r="Q48" i="2"/>
  <c r="AU49" i="1"/>
  <c r="Q38" i="2"/>
  <c r="AU39" i="1"/>
  <c r="Q58" i="2"/>
  <c r="AU59" i="1"/>
  <c r="AS51" i="1"/>
  <c r="O50" i="2"/>
  <c r="Q12" i="2"/>
  <c r="AU13" i="1"/>
  <c r="AS50" i="1"/>
  <c r="O49" i="2"/>
  <c r="O13" i="2"/>
  <c r="AS14" i="1"/>
  <c r="Q13" i="2" l="1"/>
  <c r="AU14" i="1"/>
  <c r="Q27" i="2"/>
  <c r="AU28" i="1"/>
  <c r="Q52" i="2"/>
  <c r="AU53" i="1"/>
  <c r="Q17" i="2"/>
  <c r="AU18" i="1"/>
  <c r="Q5" i="2"/>
  <c r="AU6" i="1"/>
  <c r="Q39" i="2"/>
  <c r="AU40" i="1"/>
  <c r="Q49" i="2"/>
  <c r="AU50" i="1"/>
  <c r="Q4" i="2"/>
  <c r="AU5" i="1"/>
  <c r="Q10" i="2"/>
  <c r="AU11" i="1"/>
  <c r="Q43" i="2"/>
  <c r="AU44" i="1"/>
  <c r="Q16" i="2"/>
  <c r="AU17" i="1"/>
  <c r="Q56" i="2"/>
  <c r="AU57" i="1"/>
  <c r="Q24" i="2"/>
  <c r="AU25" i="1"/>
  <c r="Q19" i="2"/>
  <c r="AU20" i="1"/>
  <c r="Q51" i="2"/>
  <c r="AU52" i="1"/>
  <c r="Q50" i="2"/>
  <c r="AU51" i="1"/>
  <c r="Q14" i="2"/>
  <c r="AU15" i="1"/>
  <c r="Q29" i="2"/>
  <c r="AU30" i="1"/>
</calcChain>
</file>

<file path=xl/sharedStrings.xml><?xml version="1.0" encoding="utf-8"?>
<sst xmlns="http://schemas.openxmlformats.org/spreadsheetml/2006/main" count="162" uniqueCount="114">
  <si>
    <t>Ethanol Upgrade Asset Parameters (normalized by MWh ethanol)</t>
  </si>
  <si>
    <t>Ethanol feedstock asset</t>
  </si>
  <si>
    <t>Duals</t>
  </si>
  <si>
    <t>LCOE for assets with ethane capacity ($/t-ethylene)</t>
  </si>
  <si>
    <t>CI</t>
  </si>
  <si>
    <t>CREDIT</t>
  </si>
  <si>
    <t>CHEM SEQUESTRATION - CARBON INTENSITY</t>
  </si>
  <si>
    <t>CHEM SEQUESTRATION - CREDIT</t>
  </si>
  <si>
    <t>Ethanol Production LCOE parameters ($/t-ethylene)</t>
  </si>
  <si>
    <t>Carbon Content</t>
  </si>
  <si>
    <t>Carbon Inputs - Ethanol Production</t>
  </si>
  <si>
    <t>Carbon Inputs - Ethanol Dehydration</t>
  </si>
  <si>
    <t>Carbon Outputs - Ethanol Production</t>
  </si>
  <si>
    <t>Carbon Outputs - Ethanol Dehydration</t>
  </si>
  <si>
    <t>Sanity Checks</t>
  </si>
  <si>
    <t>Asset Parameters (normalized by commodity feedstock)</t>
  </si>
  <si>
    <t>id</t>
  </si>
  <si>
    <t>commodity</t>
  </si>
  <si>
    <t>production_asset</t>
  </si>
  <si>
    <t>id_name</t>
  </si>
  <si>
    <t>h2_consumption (MWh/MWh-ethanol)</t>
  </si>
  <si>
    <t>elec_consumption (MWh/MWh-ethanol)</t>
  </si>
  <si>
    <t>ethylene_production (t-ethylene/MWh-ethanol)</t>
  </si>
  <si>
    <t>natgas_consumption (MWh/MWh-ethanol)</t>
  </si>
  <si>
    <t>process_capture_rate (t-CO2/MWh-ethanol)</t>
  </si>
  <si>
    <t>fuel_capture_rate (t-CO2/MWh-ethanol)</t>
  </si>
  <si>
    <t>process_emission_rate (t-CO2/MWh-ethanol)</t>
  </si>
  <si>
    <t>fuel_emission_rate (t-CO2/MWh-ethanol)</t>
  </si>
  <si>
    <t>investment_cost ($/yr per MW ethanol)</t>
  </si>
  <si>
    <t>fixed_om_cost ($/yr per MW ethanol)</t>
  </si>
  <si>
    <t>variable_om_cost ($/MWh-ethanol)</t>
  </si>
  <si>
    <t>id_ethanol_prod_ref</t>
  </si>
  <si>
    <t>commodity_ethanol_prod_ref</t>
  </si>
  <si>
    <t>elec_production (MWh/t-bio)</t>
  </si>
  <si>
    <t>elec_consumption (MWh/t-bio)</t>
  </si>
  <si>
    <t>ethanol_production (MWh-ethanol/t-bio)</t>
  </si>
  <si>
    <t>natgas_consumption (MWh/t-bio)</t>
  </si>
  <si>
    <t>co2_biomass_content (t-CO2/t-bio)</t>
  </si>
  <si>
    <t>process_capture_rate (t-CO2/t-bio)</t>
  </si>
  <si>
    <t>process_emission_rate (t-CO2/t-bio)</t>
  </si>
  <si>
    <t>fuel_capture_rate (t-CO2/t-bio)</t>
  </si>
  <si>
    <t>fuel_emission_rate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</si>
  <si>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</si>
  <si>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</si>
  <si>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</si>
  <si>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</si>
  <si>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</si>
  <si>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bioherb_supply ($/t)</t>
  </si>
  <si>
    <t>biowood_supply ($/t)</t>
  </si>
  <si>
    <t>bioagri_supply ($/t)</t>
  </si>
  <si>
    <t>biocorn_supply ($/t)</t>
  </si>
  <si>
    <t>elec_demand ($/MWh)</t>
  </si>
  <si>
    <t>h2_balance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</si>
  <si>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</si>
  <si>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</si>
  <si>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</si>
  <si>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</si>
  <si>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</si>
  <si>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</si>
  <si>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elec_consumption</t>
  </si>
  <si>
    <t>elec_consumption - ethanol prod.</t>
  </si>
  <si>
    <t>elec_production - ethanol prod.</t>
  </si>
  <si>
    <t>biomass_consumption - ethanol prod.</t>
  </si>
  <si>
    <t>natgas_consumption</t>
  </si>
  <si>
    <t>natgas_consumption - ethanol prod.</t>
  </si>
  <si>
    <t>investment_cost</t>
  </si>
  <si>
    <t>investment_cost - ethanol prod.</t>
  </si>
  <si>
    <t>fixed_om_cost</t>
  </si>
  <si>
    <t>fixed_om_cost - ethanol prod.</t>
  </si>
  <si>
    <t>variable_om_cost</t>
  </si>
  <si>
    <t>variable_om_cost - ethanol prod.</t>
  </si>
  <si>
    <t>modified capture cost</t>
  </si>
  <si>
    <t>modified emissions cost</t>
  </si>
  <si>
    <t>id_LC_ethanol</t>
  </si>
  <si>
    <t>elec_production</t>
  </si>
  <si>
    <t>biomass_consumption</t>
  </si>
  <si>
    <t>Ethylene (t-CO2/t-ethylene)</t>
  </si>
  <si>
    <t>Biomass CO2 content (t-CO2/t-bio)</t>
  </si>
  <si>
    <t>NG (t-CO2/MWh-NG)</t>
  </si>
  <si>
    <t>Ethanol (t-CO2/MWh-ethanol)</t>
  </si>
  <si>
    <t>Biomass (t-CO2/t-ethylene)</t>
  </si>
  <si>
    <t>NG (t-CO2/t-ethylene)</t>
  </si>
  <si>
    <t>Ethanol (t-CO2/t-ethylene)</t>
  </si>
  <si>
    <t>Emissions (t-CO2/t-ethylene)</t>
  </si>
  <si>
    <t>Captured (t-CO2/t-ethylene)</t>
  </si>
  <si>
    <t>CARBON INPUT - OUTPUT</t>
  </si>
  <si>
    <t>ethanol_production_asset</t>
  </si>
  <si>
    <t>CA_B-NGin</t>
  </si>
  <si>
    <t>DryMill_Existing_Non_CCS</t>
  </si>
  <si>
    <t>Biomass_Corn</t>
  </si>
  <si>
    <t>NW_B-NGin</t>
  </si>
  <si>
    <t>Biochemical_Non_CCS</t>
  </si>
  <si>
    <t>Biomass_Agri</t>
  </si>
  <si>
    <t>SW_B-NGin</t>
  </si>
  <si>
    <t>Biochemical_CCS_20</t>
  </si>
  <si>
    <t>TX_B-NGin</t>
  </si>
  <si>
    <t>Biochemical_CCS_86</t>
  </si>
  <si>
    <t>NCEN_B-NGin</t>
  </si>
  <si>
    <t>Drymill CCS Fermentation</t>
  </si>
  <si>
    <t>CEN_B-NGin</t>
  </si>
  <si>
    <t>Drymill CCS Fermentation Exhaust</t>
  </si>
  <si>
    <t>SE_B-NGin</t>
  </si>
  <si>
    <t>MIDAT_B-NGin</t>
  </si>
  <si>
    <t>NE_B-NGin</t>
  </si>
  <si>
    <t>CA_B-H2in</t>
  </si>
  <si>
    <t>NW_B-H2in</t>
  </si>
  <si>
    <t>SW_B-H2in</t>
  </si>
  <si>
    <t>TX_B-H2in</t>
  </si>
  <si>
    <t>NCEN_B-H2in</t>
  </si>
  <si>
    <t>CEN_B-H2in</t>
  </si>
  <si>
    <t>SE_B-H2in</t>
  </si>
  <si>
    <t>MIDAT_B-H2in</t>
  </si>
  <si>
    <t>NE_B-H2in</t>
  </si>
  <si>
    <t>Levelized cost for Bioethylene Production - $/GJ-ethylene - chemicals CO2 sequestration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</si>
</sst>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7E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9E1E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2" fillId="0" borderId="0" xfId="0" applyFont="1"/>
    <xf numFmtId="0" fontId="1" fillId="14" borderId="0" xfId="0" applyFont="1" applyFill="1"/>
    <xf numFmtId="0" fontId="5" fillId="0" borderId="0" xfId="0" applyFont="1" applyAlignment="1">
      <alignment horizontal="left"/>
    </xf>
    <xf numFmtId="0" fontId="2" fillId="4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0" fontId="0" fillId="15" borderId="0" xfId="0" applyFill="1"/>
    <xf numFmtId="0" fontId="1" fillId="15" borderId="0" xfId="0" applyFont="1" applyFill="1"/>
    <xf numFmtId="2" fontId="0" fillId="0" borderId="0" xfId="0" applyNumberFormat="1"/>
    <xf numFmtId="0" fontId="0" fillId="16" borderId="0" xfId="0" applyFill="1"/>
    <xf numFmtId="0" fontId="6" fillId="16" borderId="0" xfId="0" applyFont="1" applyFill="1"/>
    <xf numFmtId="0" fontId="2" fillId="1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D108"/>
  <sheetViews>
    <sheetView tabSelected="1" topLeftCell="BF1" zoomScale="90" zoomScaleNormal="157" workbookViewId="0">
      <selection activeCell="BK48" sqref="BK48"/>
    </sheetView>
  </sheetViews>
  <sheetFormatPr baseColWidth="10" defaultRowHeight="16" x14ac:dyDescent="0.2"/>
  <cols>
    <col min="1" max="1" width="2.6640625" style="1" customWidth="1"/>
    <col min="2" max="2" width="50.5" style="1" bestFit="1" customWidth="1"/>
    <col min="3" max="3" width="10" style="1" bestFit="1" customWidth="1"/>
    <col min="4" max="4" width="14" style="1" customWidth="1"/>
    <col min="5" max="5" width="27.33203125" style="1" bestFit="1" customWidth="1"/>
    <col min="6" max="6" width="31.33203125" style="1" bestFit="1" customWidth="1"/>
    <col min="7" max="7" width="32.5" style="1" customWidth="1"/>
    <col min="8" max="8" width="38.1640625" style="1" bestFit="1" customWidth="1"/>
    <col min="9" max="9" width="34.33203125" style="1" bestFit="1" customWidth="1"/>
    <col min="10" max="10" width="34.83203125" style="1" bestFit="1" customWidth="1"/>
    <col min="11" max="11" width="32" style="1" bestFit="1" customWidth="1"/>
    <col min="12" max="12" width="35.6640625" style="1" bestFit="1" customWidth="1"/>
    <col min="13" max="13" width="32.83203125" style="1" bestFit="1" customWidth="1"/>
    <col min="14" max="14" width="31.1640625" style="1" bestFit="1" customWidth="1"/>
    <col min="15" max="15" width="29.6640625" style="1" bestFit="1" customWidth="1"/>
    <col min="16" max="16" width="28.5" style="1" bestFit="1" customWidth="1"/>
    <col min="17" max="17" width="2.83203125" style="1" customWidth="1"/>
    <col min="18" max="18" width="20.83203125" style="1" bestFit="1" customWidth="1"/>
    <col min="19" max="19" width="24.33203125" style="1" bestFit="1" customWidth="1"/>
    <col min="20" max="20" width="23.83203125" style="1" bestFit="1" customWidth="1"/>
    <col min="21" max="21" width="25.33203125" style="1" bestFit="1" customWidth="1"/>
    <col min="22" max="22" width="33.33203125" style="1" bestFit="1" customWidth="1"/>
    <col min="23" max="23" width="27.33203125" style="1" bestFit="1" customWidth="1"/>
    <col min="24" max="24" width="28.33203125" style="1" bestFit="1" customWidth="1"/>
    <col min="25" max="25" width="27.83203125" style="1" bestFit="1" customWidth="1"/>
    <col min="26" max="26" width="28.6640625" style="1" bestFit="1" customWidth="1"/>
    <col min="27" max="27" width="24.83203125" style="1" bestFit="1" customWidth="1"/>
    <col min="28" max="28" width="25.6640625" style="1" bestFit="1" customWidth="1"/>
    <col min="29" max="29" width="27.83203125" style="1" bestFit="1" customWidth="1"/>
    <col min="30" max="30" width="26.1640625" style="1" customWidth="1"/>
    <col min="31" max="31" width="21.5" style="1" bestFit="1" customWidth="1"/>
    <col min="32" max="32" width="3" style="1" customWidth="1"/>
    <col min="33" max="33" width="12.83203125" style="1" bestFit="1" customWidth="1"/>
    <col min="34" max="34" width="11" style="1" customWidth="1"/>
    <col min="35" max="35" width="12.83203125" style="1" customWidth="1"/>
    <col min="36" max="36" width="13.83203125" style="1" customWidth="1"/>
    <col min="37" max="37" width="12" style="1" customWidth="1"/>
    <col min="38" max="38" width="16.83203125" style="1" bestFit="1" customWidth="1"/>
    <col min="39" max="39" width="11" style="1" customWidth="1"/>
    <col min="40" max="40" width="9.33203125" style="1" customWidth="1"/>
    <col min="41" max="41" width="9.6640625" style="1" customWidth="1"/>
    <col min="42" max="42" width="3.33203125" customWidth="1"/>
    <col min="43" max="43" width="44" style="1" bestFit="1" customWidth="1"/>
    <col min="44" max="44" width="19.83203125" style="1" customWidth="1"/>
    <col min="45" max="45" width="15.6640625" style="1" bestFit="1" customWidth="1"/>
    <col min="46" max="46" width="15.6640625" style="1" customWidth="1"/>
    <col min="47" max="47" width="18.33203125" style="1" bestFit="1" customWidth="1"/>
    <col min="48" max="48" width="14.1640625" style="1" bestFit="1" customWidth="1"/>
    <col min="49" max="49" width="15.1640625" style="1" bestFit="1" customWidth="1"/>
    <col min="50" max="50" width="22.5" style="1" bestFit="1" customWidth="1"/>
    <col min="51" max="51" width="20.83203125" style="1" bestFit="1" customWidth="1"/>
    <col min="52" max="52" width="25.6640625" style="1" bestFit="1" customWidth="1"/>
    <col min="53" max="53" width="17.1640625" style="1" bestFit="1" customWidth="1"/>
    <col min="54" max="54" width="24.33203125" style="1" bestFit="1" customWidth="1"/>
    <col min="55" max="55" width="13.6640625" style="1" bestFit="1" customWidth="1"/>
    <col min="56" max="56" width="20.83203125" style="1" bestFit="1" customWidth="1"/>
    <col min="57" max="57" width="12.1640625" style="1" bestFit="1" customWidth="1"/>
    <col min="58" max="58" width="19.33203125" style="1" bestFit="1" customWidth="1"/>
    <col min="59" max="59" width="14.5" style="1" bestFit="1" customWidth="1"/>
    <col min="60" max="60" width="21.83203125" style="1" bestFit="1" customWidth="1"/>
    <col min="61" max="61" width="10.5" style="1" customWidth="1"/>
    <col min="62" max="62" width="17.83203125" style="1" bestFit="1" customWidth="1"/>
    <col min="63" max="63" width="19.6640625" style="1" bestFit="1" customWidth="1"/>
    <col min="64" max="64" width="12.1640625" style="1" customWidth="1"/>
    <col min="65" max="65" width="17.83203125" style="1" bestFit="1" customWidth="1"/>
    <col min="66" max="66" width="19.33203125" style="1" bestFit="1" customWidth="1"/>
    <col min="67" max="67" width="2.83203125" style="1" customWidth="1"/>
    <col min="68" max="68" width="43.5" style="1" bestFit="1" customWidth="1"/>
    <col min="69" max="69" width="13.6640625" style="1" bestFit="1" customWidth="1"/>
    <col min="70" max="70" width="15.1640625" style="1" bestFit="1" customWidth="1"/>
    <col min="71" max="71" width="16.6640625" style="1" bestFit="1" customWidth="1"/>
    <col min="72" max="72" width="17.5" style="1" bestFit="1" customWidth="1"/>
    <col min="73" max="73" width="13.83203125" style="1" bestFit="1" customWidth="1"/>
    <col min="74" max="74" width="12.33203125" style="1" bestFit="1" customWidth="1"/>
    <col min="75" max="75" width="14.5" style="1" bestFit="1" customWidth="1"/>
    <col min="76" max="76" width="2.83203125" style="1" customWidth="1"/>
    <col min="77" max="77" width="22.33203125" style="1" bestFit="1" customWidth="1"/>
    <col min="78" max="78" width="28.6640625" style="1" bestFit="1" customWidth="1"/>
    <col min="79" max="79" width="18" style="1" bestFit="1" customWidth="1"/>
    <col min="80" max="80" width="24.83203125" style="1" bestFit="1" customWidth="1"/>
    <col min="81" max="81" width="3.6640625" style="1" customWidth="1"/>
    <col min="82" max="82" width="28.83203125" style="1" bestFit="1" customWidth="1"/>
    <col min="83" max="83" width="18.83203125" style="1" bestFit="1" customWidth="1"/>
    <col min="84" max="85" width="26" style="1" bestFit="1" customWidth="1"/>
    <col min="86" max="86" width="3.33203125" style="1" customWidth="1"/>
    <col min="87" max="87" width="23.5" style="1" bestFit="1" customWidth="1"/>
    <col min="88" max="88" width="22.5" style="1" bestFit="1" customWidth="1"/>
    <col min="89" max="89" width="22" style="1" bestFit="1" customWidth="1"/>
    <col min="90" max="90" width="22.83203125" style="1" bestFit="1" customWidth="1"/>
    <col min="91" max="91" width="3.5" style="1" customWidth="1"/>
    <col min="92" max="92" width="22.83203125" style="1" customWidth="1"/>
    <col min="93" max="93" width="3.5" style="1" customWidth="1"/>
    <col min="94" max="94" width="23" style="1" customWidth="1"/>
    <col min="95" max="95" width="29.5" style="1" bestFit="1" customWidth="1"/>
    <col min="96" max="96" width="13" style="1" bestFit="1" customWidth="1"/>
    <col min="97" max="97" width="23.83203125" style="1" bestFit="1" customWidth="1"/>
    <col min="98" max="98" width="25.5" style="1" bestFit="1" customWidth="1"/>
    <col min="99" max="99" width="33.33203125" style="1" bestFit="1" customWidth="1"/>
    <col min="100" max="100" width="27.6640625" style="1" bestFit="1" customWidth="1"/>
    <col min="101" max="101" width="28.6640625" style="1" bestFit="1" customWidth="1"/>
    <col min="102" max="103" width="28.6640625" style="1" customWidth="1"/>
    <col min="104" max="104" width="21" style="1" bestFit="1" customWidth="1"/>
    <col min="105" max="105" width="22.1640625" style="1" bestFit="1" customWidth="1"/>
    <col min="106" max="106" width="27.83203125" style="1" bestFit="1" customWidth="1"/>
    <col min="107" max="107" width="26.33203125" style="1" bestFit="1" customWidth="1"/>
    <col min="108" max="108" width="21.5" style="1" bestFit="1" customWidth="1"/>
    <col min="109" max="127" width="10.83203125" style="1" customWidth="1"/>
    <col min="128" max="16384" width="10.83203125" style="1"/>
  </cols>
  <sheetData>
    <row r="2" spans="2:108" x14ac:dyDescent="0.2">
      <c r="B2" s="1" t="s">
        <v>0</v>
      </c>
      <c r="D2" s="1" t="s">
        <v>1</v>
      </c>
      <c r="AG2" s="1" t="s">
        <v>2</v>
      </c>
      <c r="AQ2" s="1" t="s">
        <v>3</v>
      </c>
      <c r="AS2" s="1" t="s">
        <v>4</v>
      </c>
      <c r="AT2" s="1" t="s">
        <v>5</v>
      </c>
      <c r="BI2" s="1" t="s">
        <v>6</v>
      </c>
      <c r="BL2" s="1" t="s">
        <v>7</v>
      </c>
      <c r="BP2" s="1" t="s">
        <v>8</v>
      </c>
      <c r="BY2" s="1" t="s">
        <v>9</v>
      </c>
      <c r="CD2" s="1" t="s">
        <v>10</v>
      </c>
      <c r="CF2" s="1" t="s">
        <v>11</v>
      </c>
      <c r="CI2" s="1" t="s">
        <v>12</v>
      </c>
      <c r="CK2" s="1" t="s">
        <v>13</v>
      </c>
      <c r="CN2" s="1" t="s">
        <v>14</v>
      </c>
      <c r="CP2" s="1" t="s">
        <v>15</v>
      </c>
    </row>
    <row r="3" spans="2:108" x14ac:dyDescent="0.2"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  <c r="P3" s="2" t="s">
        <v>30</v>
      </c>
      <c r="Q3" s="17"/>
      <c r="R3" s="2" t="s">
        <v>31</v>
      </c>
      <c r="S3" s="2" t="s">
        <v>32</v>
      </c>
      <c r="T3" s="2" t="s">
        <v>33</v>
      </c>
      <c r="U3" s="2" t="s">
        <v>34</v>
      </c>
      <c r="V3" s="2" t="s">
        <v>35</v>
      </c>
      <c r="W3" s="2" t="s">
        <v>36</v>
      </c>
      <c r="X3" s="2" t="s">
        <v>37</v>
      </c>
      <c r="Y3" s="2" t="s">
        <v>38</v>
      </c>
      <c r="Z3" s="2" t="s">
        <v>39</v>
      </c>
      <c r="AA3" s="2" t="s">
        <v>40</v>
      </c>
      <c r="AB3" s="2" t="s">
        <v>41</v>
      </c>
      <c r="AC3" s="2" t="s">
        <v>42</v>
      </c>
      <c r="AD3" s="2" t="s">
        <v>43</v>
      </c>
      <c r="AE3" s="2" t="s">
        <v>44</v>
      </c>
      <c r="AF3" s="17"/>
      <c r="AG3" s="14" t="s">
        <v>45</v>
      </c>
      <c r="AH3" s="14" t="s">
        <v>46</v>
      </c>
      <c r="AI3" s="14" t="s">
        <v>47</v>
      </c>
      <c r="AJ3" s="14" t="s">
        <v>48</v>
      </c>
      <c r="AK3" s="14" t="s">
        <v>49</v>
      </c>
      <c r="AL3" s="28" t="s">
        <v>50</v>
      </c>
      <c r="AM3" s="14" t="s">
        <v>51</v>
      </c>
      <c r="AN3" s="14" t="s">
        <v>52</v>
      </c>
      <c r="AO3" s="14" t="s">
        <v>53</v>
      </c>
      <c r="AQ3" s="4" t="s">
        <v>54</v>
      </c>
      <c r="AR3" s="4" t="s">
        <v>55</v>
      </c>
      <c r="AS3" s="3" t="s">
        <v>56</v>
      </c>
      <c r="AT3" s="6" t="s">
        <v>56</v>
      </c>
      <c r="AU3" s="7" t="s">
        <v>57</v>
      </c>
      <c r="AV3" s="4" t="s">
        <v>58</v>
      </c>
      <c r="AW3" s="4" t="s">
        <v>59</v>
      </c>
      <c r="AX3" s="4" t="s">
        <v>60</v>
      </c>
      <c r="AY3" s="4" t="s">
        <v>61</v>
      </c>
      <c r="AZ3" s="4" t="s">
        <v>62</v>
      </c>
      <c r="BA3" s="4" t="s">
        <v>63</v>
      </c>
      <c r="BB3" s="4" t="s">
        <v>64</v>
      </c>
      <c r="BC3" s="4" t="s">
        <v>65</v>
      </c>
      <c r="BD3" s="4" t="s">
        <v>66</v>
      </c>
      <c r="BE3" s="4" t="s">
        <v>67</v>
      </c>
      <c r="BF3" s="4" t="s">
        <v>68</v>
      </c>
      <c r="BG3" s="4" t="s">
        <v>69</v>
      </c>
      <c r="BH3" s="4" t="s">
        <v>70</v>
      </c>
      <c r="BI3" s="3" t="s">
        <v>4</v>
      </c>
      <c r="BJ3" s="3" t="s">
        <v>71</v>
      </c>
      <c r="BK3" s="3" t="s">
        <v>72</v>
      </c>
      <c r="BL3" s="6" t="s">
        <v>4</v>
      </c>
      <c r="BM3" s="6" t="s">
        <v>71</v>
      </c>
      <c r="BN3" s="6" t="s">
        <v>72</v>
      </c>
      <c r="BO3" s="17"/>
      <c r="BP3" s="4" t="s">
        <v>73</v>
      </c>
      <c r="BQ3" s="4" t="s">
        <v>74</v>
      </c>
      <c r="BR3" s="4" t="s">
        <v>59</v>
      </c>
      <c r="BS3" s="4" t="s">
        <v>75</v>
      </c>
      <c r="BT3" s="4" t="s">
        <v>63</v>
      </c>
      <c r="BU3" s="4" t="s">
        <v>65</v>
      </c>
      <c r="BV3" s="4" t="s">
        <v>67</v>
      </c>
      <c r="BW3" s="4" t="s">
        <v>69</v>
      </c>
      <c r="BY3" s="7" t="s">
        <v>76</v>
      </c>
      <c r="BZ3" s="7" t="s">
        <v>77</v>
      </c>
      <c r="CA3" s="7" t="s">
        <v>78</v>
      </c>
      <c r="CB3" s="7" t="s">
        <v>79</v>
      </c>
      <c r="CD3" s="7" t="s">
        <v>80</v>
      </c>
      <c r="CE3" s="7" t="s">
        <v>81</v>
      </c>
      <c r="CF3" s="7" t="s">
        <v>82</v>
      </c>
      <c r="CG3" s="7" t="s">
        <v>81</v>
      </c>
      <c r="CI3" s="7" t="s">
        <v>83</v>
      </c>
      <c r="CJ3" s="7" t="s">
        <v>84</v>
      </c>
      <c r="CK3" s="7" t="s">
        <v>76</v>
      </c>
      <c r="CL3" s="7" t="s">
        <v>83</v>
      </c>
      <c r="CN3" s="7" t="s">
        <v>85</v>
      </c>
      <c r="CP3" s="2" t="s">
        <v>86</v>
      </c>
      <c r="CQ3" s="2" t="s">
        <v>31</v>
      </c>
      <c r="CR3" s="2" t="s">
        <v>32</v>
      </c>
      <c r="CS3" s="2" t="s">
        <v>33</v>
      </c>
      <c r="CT3" s="2" t="s">
        <v>34</v>
      </c>
      <c r="CU3" s="2" t="s">
        <v>35</v>
      </c>
      <c r="CV3" s="2" t="s">
        <v>36</v>
      </c>
      <c r="CW3" s="2" t="s">
        <v>37</v>
      </c>
      <c r="CX3" s="2" t="s">
        <v>38</v>
      </c>
      <c r="CY3" s="2" t="s">
        <v>39</v>
      </c>
      <c r="CZ3" s="2" t="s">
        <v>40</v>
      </c>
      <c r="DA3" s="2" t="s">
        <v>41</v>
      </c>
      <c r="DB3" s="2" t="s">
        <v>42</v>
      </c>
      <c r="DC3" s="2" t="s">
        <v>43</v>
      </c>
      <c r="DD3" s="2" t="s">
        <v>44</v>
      </c>
    </row>
    <row r="4" spans="2:108" x14ac:dyDescent="0.2">
      <c r="B4" s="23" t="s">
        <v>87</v>
      </c>
      <c r="C4" s="24"/>
      <c r="D4" s="24">
        <v>6</v>
      </c>
      <c r="E4" s="24" t="str">
        <f>R4</f>
        <v>Drymill CCS Fermentation Exhaust</v>
      </c>
      <c r="F4" s="23">
        <v>0</v>
      </c>
      <c r="G4" s="23">
        <v>1.6199999999999999E-2</v>
      </c>
      <c r="H4" s="23">
        <v>7.0452767058742899E-2</v>
      </c>
      <c r="I4" s="23">
        <v>0.1159</v>
      </c>
      <c r="J4" s="23">
        <v>0</v>
      </c>
      <c r="K4" s="23">
        <v>0</v>
      </c>
      <c r="L4" s="23">
        <v>8.9519280166729005E-3</v>
      </c>
      <c r="M4" s="23">
        <v>2.11921923300483E-2</v>
      </c>
      <c r="N4" s="23">
        <v>6578.32</v>
      </c>
      <c r="O4" s="23">
        <v>6324.47</v>
      </c>
      <c r="P4" s="23">
        <v>0.11</v>
      </c>
      <c r="R4" s="18" t="str">
        <f t="array" ref="R4:AE4">_xlfn.XLOOKUP(D4, CP:CP, CQ:DD)</f>
        <v>Drymill CCS Fermentation Exhaust</v>
      </c>
      <c r="S4" s="18" t="str">
        <v>Biomass_Corn</v>
      </c>
      <c r="T4" s="18">
        <v>0</v>
      </c>
      <c r="U4" s="18">
        <v>8.5342824999999997E-2</v>
      </c>
      <c r="V4" s="18">
        <v>3.1043379949999999</v>
      </c>
      <c r="W4" s="18">
        <v>1.013397519</v>
      </c>
      <c r="X4" s="18">
        <v>1.7588666580000001</v>
      </c>
      <c r="Y4" s="18">
        <v>0.35768767200000001</v>
      </c>
      <c r="Z4" s="18">
        <v>0.68601739399999995</v>
      </c>
      <c r="AA4" s="18">
        <v>0.15290642300000001</v>
      </c>
      <c r="AB4" s="18">
        <v>3.2434695999999999E-2</v>
      </c>
      <c r="AC4" s="18">
        <v>45179.42</v>
      </c>
      <c r="AD4" s="18">
        <v>201481.25</v>
      </c>
      <c r="AE4" s="18">
        <v>-25.28</v>
      </c>
      <c r="AG4" s="15">
        <v>115.647671</v>
      </c>
      <c r="AH4" s="15">
        <v>-10.809246999999999</v>
      </c>
      <c r="AI4" s="15">
        <v>142.23325</v>
      </c>
      <c r="AJ4" s="15">
        <v>164.86411100000001</v>
      </c>
      <c r="AK4" s="15">
        <v>143.07368600000001</v>
      </c>
      <c r="AL4" s="15">
        <v>160</v>
      </c>
      <c r="AM4" s="15">
        <v>36.626545999999998</v>
      </c>
      <c r="AN4" s="15">
        <v>29.562591000000001</v>
      </c>
      <c r="AO4" s="15">
        <v>13.614224</v>
      </c>
      <c r="AQ4" s="1" t="str">
        <f t="shared" ref="AQ4:AQ35" si="0">B4</f>
        <v>CA_B-NGin</v>
      </c>
      <c r="AR4" s="1">
        <f t="shared" ref="AR4:AR35" si="1">C4</f>
        <v>0</v>
      </c>
      <c r="AS4" s="11">
        <f t="shared" ref="AS4:AS35" si="2">SUM(AV4:BH4)+BJ4+BK4</f>
        <v>780.04712445423525</v>
      </c>
      <c r="AT4" s="11">
        <f t="shared" ref="AT4:AT35" si="3">SUM(AV4:BH4)+BM4+BN4</f>
        <v>780.04712445423536</v>
      </c>
      <c r="AU4" s="5">
        <f t="shared" ref="AU4:AU35" si="4">AS4-AT4</f>
        <v>0</v>
      </c>
      <c r="AV4" s="5">
        <f t="shared" ref="AV4:AV35" si="5">F4/H4*AN4</f>
        <v>0</v>
      </c>
      <c r="AW4" s="1">
        <f t="shared" ref="AW4:AW35" si="6">G4/H4*AM4</f>
        <v>8.4219551618926456</v>
      </c>
      <c r="AX4" s="1">
        <f t="shared" ref="AX4:AX35" si="7">BR4</f>
        <v>14.292095999110224</v>
      </c>
      <c r="AY4" s="1">
        <f t="shared" ref="AY4:AY35" si="8">BQ4</f>
        <v>0</v>
      </c>
      <c r="AZ4" s="1">
        <f t="shared" ref="AZ4:AZ35" si="9">BS4</f>
        <v>731.56501329210482</v>
      </c>
      <c r="BA4" s="1">
        <f t="shared" ref="BA4:BA35" si="10">I4/H4*AO4</f>
        <v>22.396402972850883</v>
      </c>
      <c r="BB4" s="1">
        <f t="shared" ref="BB4:BB35" si="11">BT4</f>
        <v>63.082031856345552</v>
      </c>
      <c r="BC4" s="1">
        <f t="shared" ref="BC4:BC35" si="12">N4/H4/(0.9*8760)</f>
        <v>11.843234411429817</v>
      </c>
      <c r="BD4" s="1">
        <f t="shared" ref="BD4:BD35" si="13">BU4</f>
        <v>26.201549810398898</v>
      </c>
      <c r="BE4" s="1">
        <f t="shared" ref="BE4:BE35" si="14">O4/H4/(0.9*8760)</f>
        <v>11.386217261862534</v>
      </c>
      <c r="BF4" s="1">
        <f t="shared" ref="BF4:BF35" si="15">BV4</f>
        <v>116.84791455349433</v>
      </c>
      <c r="BG4" s="1">
        <f t="shared" ref="BG4:BG35" si="16">P4/H4</f>
        <v>1.5613297332705607</v>
      </c>
      <c r="BH4" s="1">
        <f t="shared" ref="BH4:BH35" si="17">BW4</f>
        <v>-115.58727210015257</v>
      </c>
      <c r="BI4" s="1">
        <f t="shared" ref="BI4:BI35" si="18">CI4+CJ4+CL4-CD4+CK4</f>
        <v>1.1482317150108554</v>
      </c>
      <c r="BJ4" s="1">
        <f t="shared" ref="BJ4:BJ35" si="19">(AG4+AH4)*-1*CJ4</f>
        <v>-244.7536721077135</v>
      </c>
      <c r="BK4" s="1">
        <f t="shared" ref="BK4:BK35" si="20">BI4*AG4</f>
        <v>132.79032360934116</v>
      </c>
      <c r="BL4" s="1">
        <f t="shared" ref="BL4:BL35" si="21">CI4+CL4-CD4+CK4</f>
        <v>-1.1863481343363023</v>
      </c>
      <c r="BM4" s="1">
        <f t="shared" ref="BM4:BM35" si="22">CJ4*AH4*-1</f>
        <v>25.235050232816217</v>
      </c>
      <c r="BN4" s="1">
        <f t="shared" ref="BN4:BN35" si="23">BL4*AG4</f>
        <v>-137.19839873118849</v>
      </c>
      <c r="BP4" s="1" t="str">
        <f t="shared" ref="BP4:BP35" si="24">R4</f>
        <v>Drymill CCS Fermentation Exhaust</v>
      </c>
      <c r="BQ4" s="1">
        <f t="shared" ref="BQ4:BQ35" si="25">T4/V4/H4*AM4*-1</f>
        <v>0</v>
      </c>
      <c r="BR4" s="1">
        <f t="shared" ref="BR4:BR35" si="26">U4/V4/H4*AM4</f>
        <v>14.292095999110224</v>
      </c>
      <c r="BS4" s="1">
        <f t="array" ref="BS4">_xlfn.IFS(S4="Biomass_Corn", 1/V4/H4*AL4, S4="Biomass_Agri", 1/V4/H4*AK4, S4="Biomass_Wood", 1/V4/H4*AJ4, S4="Biomass_Herb", 1/V4/H4*AI4)</f>
        <v>731.56501329210482</v>
      </c>
      <c r="BT4" s="1">
        <f t="shared" ref="BT4:BT35" si="27">W4/V4/H4*AO4</f>
        <v>63.082031856345552</v>
      </c>
      <c r="BU4" s="1">
        <f t="shared" ref="BU4:BU35" si="28">AC4/V4/H4/(0.9*8760)</f>
        <v>26.201549810398898</v>
      </c>
      <c r="BV4" s="1">
        <f t="shared" ref="BV4:BV35" si="29">AD4/V4/H4/(0.9*8760)</f>
        <v>116.84791455349433</v>
      </c>
      <c r="BW4" s="1">
        <f t="shared" ref="BW4:BW35" si="30">AE4/V4/H4</f>
        <v>-115.58727210015257</v>
      </c>
      <c r="BY4" s="9">
        <f t="shared" ref="BY4:BY35" si="31">22/7</f>
        <v>3.1428571428571428</v>
      </c>
      <c r="BZ4" s="18">
        <f t="shared" ref="BZ4:BZ35" si="32">X4</f>
        <v>1.7588666580000001</v>
      </c>
      <c r="CA4" s="10">
        <v>0.1828908353</v>
      </c>
      <c r="CB4" s="9">
        <v>0.23037490999999999</v>
      </c>
      <c r="CD4" s="10">
        <f t="shared" ref="CD4:CD35" si="33">BZ4/V4/H4</f>
        <v>8.0420331877425628</v>
      </c>
      <c r="CE4" s="10">
        <f t="shared" ref="CE4:CE35" si="34">IF(W4=0, 0, CA4*W4/V4/H4)</f>
        <v>0.84743173747018186</v>
      </c>
      <c r="CF4" s="10">
        <f t="shared" ref="CF4:CF35" si="35">CB4/H4</f>
        <v>3.2699199707502675</v>
      </c>
      <c r="CG4" s="10">
        <f t="shared" ref="CG4:CG35" si="36">IF(I4=0, 0, CA4*I4/H4)</f>
        <v>0.300868918229941</v>
      </c>
      <c r="CI4" s="18">
        <f t="shared" ref="CI4:CI35" si="37">(Z4+AB4)/V4/H4</f>
        <v>3.2849650798161911</v>
      </c>
      <c r="CJ4" s="18">
        <f t="shared" ref="CJ4:CJ35" si="38">(Y4+AA4)/V4/H4</f>
        <v>2.3345798493471581</v>
      </c>
      <c r="CK4" s="10">
        <f t="shared" ref="CK4:CK35" si="39">BY4</f>
        <v>3.1428571428571428</v>
      </c>
      <c r="CL4" s="10">
        <f t="shared" ref="CL4:CL35" si="40">(L4+M4)/H4</f>
        <v>0.4278628307329263</v>
      </c>
      <c r="CN4" s="1">
        <f t="shared" ref="CN4:CN35" si="41">CD4+CE4+CG4-SUM(CI4:CL4)</f>
        <v>6.8940689265772903E-5</v>
      </c>
      <c r="CP4" s="13">
        <v>1</v>
      </c>
      <c r="CQ4" s="13" t="s">
        <v>88</v>
      </c>
      <c r="CR4" s="12" t="s">
        <v>89</v>
      </c>
      <c r="CS4" s="26">
        <v>0</v>
      </c>
      <c r="CT4" s="26">
        <v>8.5342824999999997E-2</v>
      </c>
      <c r="CU4" s="26">
        <v>3.1043379949999999</v>
      </c>
      <c r="CV4" s="26">
        <v>1.013397519</v>
      </c>
      <c r="CW4" s="26">
        <v>1.7588666580000001</v>
      </c>
      <c r="CX4" s="26">
        <v>0</v>
      </c>
      <c r="CY4" s="26">
        <v>1.043705066</v>
      </c>
      <c r="CZ4" s="26">
        <v>0</v>
      </c>
      <c r="DA4" s="26">
        <v>0.185341119</v>
      </c>
      <c r="DB4" s="26">
        <v>0</v>
      </c>
      <c r="DC4" s="26">
        <v>176727.97</v>
      </c>
      <c r="DD4" s="26">
        <v>-25.41</v>
      </c>
    </row>
    <row r="5" spans="2:108" x14ac:dyDescent="0.2">
      <c r="B5" s="23" t="s">
        <v>90</v>
      </c>
      <c r="C5" s="24"/>
      <c r="D5" s="24">
        <v>6</v>
      </c>
      <c r="E5" s="24" t="str">
        <f>R5</f>
        <v>Drymill CCS Fermentation Exhaust</v>
      </c>
      <c r="F5" s="23">
        <v>0</v>
      </c>
      <c r="G5" s="23">
        <v>1.6199999999999999E-2</v>
      </c>
      <c r="H5" s="23">
        <v>7.0452767058742899E-2</v>
      </c>
      <c r="I5" s="23">
        <v>0.1159</v>
      </c>
      <c r="J5" s="23">
        <v>0</v>
      </c>
      <c r="K5" s="23">
        <v>0</v>
      </c>
      <c r="L5" s="23">
        <v>8.9519280166729005E-3</v>
      </c>
      <c r="M5" s="23">
        <v>2.11921923300483E-2</v>
      </c>
      <c r="N5" s="23">
        <v>6578.32</v>
      </c>
      <c r="O5" s="23">
        <v>6324.47</v>
      </c>
      <c r="P5" s="23">
        <v>0.11</v>
      </c>
      <c r="R5" s="18" t="str">
        <f t="array" ref="R5:AE5">_xlfn.XLOOKUP(D5, CP:CP, CQ:DD)</f>
        <v>Drymill CCS Fermentation Exhaust</v>
      </c>
      <c r="S5" s="18" t="str">
        <v>Biomass_Corn</v>
      </c>
      <c r="T5" s="18">
        <v>0</v>
      </c>
      <c r="U5" s="18">
        <v>8.5342824999999997E-2</v>
      </c>
      <c r="V5" s="18">
        <v>3.1043379949999999</v>
      </c>
      <c r="W5" s="18">
        <v>1.013397519</v>
      </c>
      <c r="X5" s="18">
        <v>1.7588666580000001</v>
      </c>
      <c r="Y5" s="18">
        <v>0.35768767200000001</v>
      </c>
      <c r="Z5" s="18">
        <v>0.68601739399999995</v>
      </c>
      <c r="AA5" s="18">
        <v>0.15290642300000001</v>
      </c>
      <c r="AB5" s="18">
        <v>3.2434695999999999E-2</v>
      </c>
      <c r="AC5" s="18">
        <v>45179.42</v>
      </c>
      <c r="AD5" s="18">
        <v>201481.25</v>
      </c>
      <c r="AE5" s="18">
        <v>-25.28</v>
      </c>
      <c r="AG5" s="15">
        <v>115.647671</v>
      </c>
      <c r="AH5" s="15">
        <v>-9</v>
      </c>
      <c r="AI5" s="15">
        <v>147.18870799999999</v>
      </c>
      <c r="AJ5" s="15">
        <v>166.14730700000001</v>
      </c>
      <c r="AK5" s="15">
        <v>127.85122200000001</v>
      </c>
      <c r="AL5" s="15">
        <v>160</v>
      </c>
      <c r="AM5" s="15">
        <v>26.781399</v>
      </c>
      <c r="AN5" s="15">
        <v>27.646605999999998</v>
      </c>
      <c r="AO5" s="15">
        <v>13.614224</v>
      </c>
      <c r="AQ5" s="1" t="str">
        <f t="shared" si="0"/>
        <v>NW_B-NGin</v>
      </c>
      <c r="AR5" s="1">
        <f t="shared" si="1"/>
        <v>0</v>
      </c>
      <c r="AS5" s="11">
        <f t="shared" si="2"/>
        <v>769.71779843411139</v>
      </c>
      <c r="AT5" s="11">
        <f t="shared" si="3"/>
        <v>769.71779843411139</v>
      </c>
      <c r="AU5" s="5">
        <f t="shared" si="4"/>
        <v>0</v>
      </c>
      <c r="AV5" s="5">
        <f t="shared" si="5"/>
        <v>0</v>
      </c>
      <c r="AW5" s="1">
        <f t="shared" si="6"/>
        <v>6.1581493802543266</v>
      </c>
      <c r="AX5" s="1">
        <f t="shared" si="7"/>
        <v>10.450407349316384</v>
      </c>
      <c r="AY5" s="1">
        <f t="shared" si="8"/>
        <v>0</v>
      </c>
      <c r="AZ5" s="1">
        <f t="shared" si="9"/>
        <v>731.56501329210482</v>
      </c>
      <c r="BA5" s="1">
        <f t="shared" si="10"/>
        <v>22.396402972850883</v>
      </c>
      <c r="BB5" s="1">
        <f t="shared" si="11"/>
        <v>63.082031856345552</v>
      </c>
      <c r="BC5" s="1">
        <f t="shared" si="12"/>
        <v>11.843234411429817</v>
      </c>
      <c r="BD5" s="1">
        <f t="shared" si="13"/>
        <v>26.201549810398898</v>
      </c>
      <c r="BE5" s="1">
        <f t="shared" si="14"/>
        <v>11.386217261862534</v>
      </c>
      <c r="BF5" s="1">
        <f t="shared" si="15"/>
        <v>116.84791455349433</v>
      </c>
      <c r="BG5" s="1">
        <f t="shared" si="16"/>
        <v>1.5613297332705607</v>
      </c>
      <c r="BH5" s="1">
        <f t="shared" si="17"/>
        <v>-115.58727210015257</v>
      </c>
      <c r="BI5" s="1">
        <f t="shared" si="18"/>
        <v>1.1482317150108554</v>
      </c>
      <c r="BJ5" s="1">
        <f t="shared" si="19"/>
        <v>-248.97750369640528</v>
      </c>
      <c r="BK5" s="1">
        <f t="shared" si="20"/>
        <v>132.79032360934116</v>
      </c>
      <c r="BL5" s="1">
        <f t="shared" si="21"/>
        <v>-1.1863481343363023</v>
      </c>
      <c r="BM5" s="1">
        <f t="shared" si="22"/>
        <v>21.011218644124423</v>
      </c>
      <c r="BN5" s="1">
        <f t="shared" si="23"/>
        <v>-137.19839873118849</v>
      </c>
      <c r="BP5" s="1" t="str">
        <f t="shared" si="24"/>
        <v>Drymill CCS Fermentation Exhaust</v>
      </c>
      <c r="BQ5" s="1">
        <f t="shared" si="25"/>
        <v>0</v>
      </c>
      <c r="BR5" s="1">
        <f t="shared" si="26"/>
        <v>10.450407349316384</v>
      </c>
      <c r="BS5" s="1">
        <f t="array" ref="BS5">_xlfn.IFS(S5="Biomass_Corn", 1/V5/H5*AL5, S5="Biomass_Agri", 1/V5/H5*AK5, S5="Biomass_Wood", 1/V5/H5*AJ5, S5="Biomass_Herb", 1/V5/H5*AI5)</f>
        <v>731.56501329210482</v>
      </c>
      <c r="BT5" s="1">
        <f t="shared" si="27"/>
        <v>63.082031856345552</v>
      </c>
      <c r="BU5" s="1">
        <f t="shared" si="28"/>
        <v>26.201549810398898</v>
      </c>
      <c r="BV5" s="1">
        <f t="shared" si="29"/>
        <v>116.84791455349433</v>
      </c>
      <c r="BW5" s="1">
        <f t="shared" si="30"/>
        <v>-115.58727210015257</v>
      </c>
      <c r="BY5" s="9">
        <f t="shared" si="31"/>
        <v>3.1428571428571428</v>
      </c>
      <c r="BZ5" s="18">
        <f t="shared" si="32"/>
        <v>1.7588666580000001</v>
      </c>
      <c r="CA5" s="10">
        <v>0.1828908353</v>
      </c>
      <c r="CB5" s="9">
        <v>0.23037490999999999</v>
      </c>
      <c r="CD5" s="10">
        <f t="shared" si="33"/>
        <v>8.0420331877425628</v>
      </c>
      <c r="CE5" s="10">
        <f t="shared" si="34"/>
        <v>0.84743173747018186</v>
      </c>
      <c r="CF5" s="10">
        <f t="shared" si="35"/>
        <v>3.2699199707502675</v>
      </c>
      <c r="CG5" s="10">
        <f t="shared" si="36"/>
        <v>0.300868918229941</v>
      </c>
      <c r="CI5" s="18">
        <f t="shared" si="37"/>
        <v>3.2849650798161911</v>
      </c>
      <c r="CJ5" s="18">
        <f t="shared" si="38"/>
        <v>2.3345798493471581</v>
      </c>
      <c r="CK5" s="10">
        <f t="shared" si="39"/>
        <v>3.1428571428571428</v>
      </c>
      <c r="CL5" s="10">
        <f t="shared" si="40"/>
        <v>0.4278628307329263</v>
      </c>
      <c r="CN5" s="1">
        <f t="shared" si="41"/>
        <v>6.8940689265772903E-5</v>
      </c>
      <c r="CP5" s="13">
        <v>2</v>
      </c>
      <c r="CQ5" s="13" t="s">
        <v>91</v>
      </c>
      <c r="CR5" s="12" t="s">
        <v>92</v>
      </c>
      <c r="CS5" s="26">
        <v>0.2142</v>
      </c>
      <c r="CT5" s="26">
        <v>0</v>
      </c>
      <c r="CU5" s="26">
        <v>1.9847999999999999</v>
      </c>
      <c r="CV5" s="26">
        <v>0</v>
      </c>
      <c r="CW5" s="26">
        <v>1.7230000000000001</v>
      </c>
      <c r="CX5" s="26">
        <v>0</v>
      </c>
      <c r="CY5" s="26">
        <v>1.26576020051355</v>
      </c>
      <c r="CZ5" s="26">
        <v>0</v>
      </c>
      <c r="DA5" s="26">
        <v>0</v>
      </c>
      <c r="DB5" s="26">
        <v>273134.21999999997</v>
      </c>
      <c r="DC5" s="26">
        <v>144062.46</v>
      </c>
      <c r="DD5" s="26">
        <v>0.45</v>
      </c>
    </row>
    <row r="6" spans="2:108" x14ac:dyDescent="0.2">
      <c r="B6" s="23" t="s">
        <v>93</v>
      </c>
      <c r="C6" s="24"/>
      <c r="D6" s="24">
        <v>6</v>
      </c>
      <c r="E6" s="24" t="str">
        <f>R6</f>
        <v>Drymill CCS Fermentation Exhaust</v>
      </c>
      <c r="F6" s="23">
        <v>0</v>
      </c>
      <c r="G6" s="23">
        <v>1.6199999999999999E-2</v>
      </c>
      <c r="H6" s="23">
        <v>7.0452767058742899E-2</v>
      </c>
      <c r="I6" s="23">
        <v>0.1159</v>
      </c>
      <c r="J6" s="23">
        <v>0</v>
      </c>
      <c r="K6" s="23">
        <v>0</v>
      </c>
      <c r="L6" s="23">
        <v>8.9519280166729005E-3</v>
      </c>
      <c r="M6" s="23">
        <v>2.11921923300483E-2</v>
      </c>
      <c r="N6" s="23">
        <v>6578.32</v>
      </c>
      <c r="O6" s="23">
        <v>6324.47</v>
      </c>
      <c r="P6" s="23">
        <v>0.11</v>
      </c>
      <c r="R6" s="18" t="str">
        <f t="array" ref="R6:AE6">_xlfn.XLOOKUP(D6, CP:CP, CQ:DD)</f>
        <v>Drymill CCS Fermentation Exhaust</v>
      </c>
      <c r="S6" s="18" t="str">
        <v>Biomass_Corn</v>
      </c>
      <c r="T6" s="18">
        <v>0</v>
      </c>
      <c r="U6" s="18">
        <v>8.5342824999999997E-2</v>
      </c>
      <c r="V6" s="18">
        <v>3.1043379949999999</v>
      </c>
      <c r="W6" s="18">
        <v>1.013397519</v>
      </c>
      <c r="X6" s="18">
        <v>1.7588666580000001</v>
      </c>
      <c r="Y6" s="18">
        <v>0.35768767200000001</v>
      </c>
      <c r="Z6" s="18">
        <v>0.68601739399999995</v>
      </c>
      <c r="AA6" s="18">
        <v>0.15290642300000001</v>
      </c>
      <c r="AB6" s="18">
        <v>3.2434695999999999E-2</v>
      </c>
      <c r="AC6" s="18">
        <v>45179.42</v>
      </c>
      <c r="AD6" s="18">
        <v>201481.25</v>
      </c>
      <c r="AE6" s="18">
        <v>-25.28</v>
      </c>
      <c r="AG6" s="15">
        <v>115.647671</v>
      </c>
      <c r="AH6" s="15">
        <v>-20.917114999999999</v>
      </c>
      <c r="AI6" s="15">
        <v>128.655351</v>
      </c>
      <c r="AJ6" s="15">
        <v>146.173159</v>
      </c>
      <c r="AK6" s="15">
        <v>117.017945</v>
      </c>
      <c r="AL6" s="15">
        <v>160</v>
      </c>
      <c r="AM6" s="15">
        <v>28.069365999999999</v>
      </c>
      <c r="AN6" s="15">
        <v>26.265581000000001</v>
      </c>
      <c r="AO6" s="15">
        <v>13.614224</v>
      </c>
      <c r="AQ6" s="1" t="str">
        <f t="shared" si="0"/>
        <v>SW_B-NGin</v>
      </c>
      <c r="AR6" s="1">
        <f t="shared" si="1"/>
        <v>0</v>
      </c>
      <c r="AS6" s="11">
        <f t="shared" si="2"/>
        <v>798.33799117984665</v>
      </c>
      <c r="AT6" s="11">
        <f t="shared" si="3"/>
        <v>798.33799117984677</v>
      </c>
      <c r="AU6" s="5">
        <f t="shared" si="4"/>
        <v>0</v>
      </c>
      <c r="AV6" s="5">
        <f t="shared" si="5"/>
        <v>0</v>
      </c>
      <c r="AW6" s="1">
        <f t="shared" si="6"/>
        <v>6.4543061711239149</v>
      </c>
      <c r="AX6" s="1">
        <f t="shared" si="7"/>
        <v>10.952986762829358</v>
      </c>
      <c r="AY6" s="1">
        <f t="shared" si="8"/>
        <v>0</v>
      </c>
      <c r="AZ6" s="1">
        <f t="shared" si="9"/>
        <v>731.56501329210482</v>
      </c>
      <c r="BA6" s="1">
        <f t="shared" si="10"/>
        <v>22.396402972850883</v>
      </c>
      <c r="BB6" s="1">
        <f t="shared" si="11"/>
        <v>63.082031856345552</v>
      </c>
      <c r="BC6" s="1">
        <f t="shared" si="12"/>
        <v>11.843234411429817</v>
      </c>
      <c r="BD6" s="1">
        <f t="shared" si="13"/>
        <v>26.201549810398898</v>
      </c>
      <c r="BE6" s="1">
        <f t="shared" si="14"/>
        <v>11.386217261862534</v>
      </c>
      <c r="BF6" s="1">
        <f t="shared" si="15"/>
        <v>116.84791455349433</v>
      </c>
      <c r="BG6" s="1">
        <f t="shared" si="16"/>
        <v>1.5613297332705607</v>
      </c>
      <c r="BH6" s="1">
        <f t="shared" si="17"/>
        <v>-115.58727210015257</v>
      </c>
      <c r="BI6" s="1">
        <f t="shared" si="18"/>
        <v>1.1482317150108554</v>
      </c>
      <c r="BJ6" s="1">
        <f t="shared" si="19"/>
        <v>-221.15604715505253</v>
      </c>
      <c r="BK6" s="1">
        <f t="shared" si="20"/>
        <v>132.79032360934116</v>
      </c>
      <c r="BL6" s="1">
        <f t="shared" si="21"/>
        <v>-1.1863481343363023</v>
      </c>
      <c r="BM6" s="1">
        <f t="shared" si="22"/>
        <v>48.832675185477179</v>
      </c>
      <c r="BN6" s="1">
        <f t="shared" si="23"/>
        <v>-137.19839873118849</v>
      </c>
      <c r="BP6" s="1" t="str">
        <f t="shared" si="24"/>
        <v>Drymill CCS Fermentation Exhaust</v>
      </c>
      <c r="BQ6" s="1">
        <f t="shared" si="25"/>
        <v>0</v>
      </c>
      <c r="BR6" s="1">
        <f t="shared" si="26"/>
        <v>10.952986762829358</v>
      </c>
      <c r="BS6" s="1">
        <f t="array" ref="BS6">_xlfn.IFS(S6="Biomass_Corn", 1/V6/H6*AL6, S6="Biomass_Agri", 1/V6/H6*AK6, S6="Biomass_Wood", 1/V6/H6*AJ6, S6="Biomass_Herb", 1/V6/H6*AI6)</f>
        <v>731.56501329210482</v>
      </c>
      <c r="BT6" s="1">
        <f t="shared" si="27"/>
        <v>63.082031856345552</v>
      </c>
      <c r="BU6" s="1">
        <f t="shared" si="28"/>
        <v>26.201549810398898</v>
      </c>
      <c r="BV6" s="1">
        <f t="shared" si="29"/>
        <v>116.84791455349433</v>
      </c>
      <c r="BW6" s="1">
        <f t="shared" si="30"/>
        <v>-115.58727210015257</v>
      </c>
      <c r="BY6" s="9">
        <f t="shared" si="31"/>
        <v>3.1428571428571428</v>
      </c>
      <c r="BZ6" s="18">
        <f t="shared" si="32"/>
        <v>1.7588666580000001</v>
      </c>
      <c r="CA6" s="10">
        <v>0.1828908353</v>
      </c>
      <c r="CB6" s="9">
        <v>0.23037490999999999</v>
      </c>
      <c r="CD6" s="10">
        <f t="shared" si="33"/>
        <v>8.0420331877425628</v>
      </c>
      <c r="CE6" s="10">
        <f t="shared" si="34"/>
        <v>0.84743173747018186</v>
      </c>
      <c r="CF6" s="10">
        <f t="shared" si="35"/>
        <v>3.2699199707502675</v>
      </c>
      <c r="CG6" s="10">
        <f t="shared" si="36"/>
        <v>0.300868918229941</v>
      </c>
      <c r="CI6" s="18">
        <f t="shared" si="37"/>
        <v>3.2849650798161911</v>
      </c>
      <c r="CJ6" s="18">
        <f t="shared" si="38"/>
        <v>2.3345798493471581</v>
      </c>
      <c r="CK6" s="10">
        <f t="shared" si="39"/>
        <v>3.1428571428571428</v>
      </c>
      <c r="CL6" s="10">
        <f t="shared" si="40"/>
        <v>0.4278628307329263</v>
      </c>
      <c r="CN6" s="1">
        <f t="shared" si="41"/>
        <v>6.8940689265772903E-5</v>
      </c>
      <c r="CP6" s="13">
        <v>3</v>
      </c>
      <c r="CQ6" s="13" t="s">
        <v>94</v>
      </c>
      <c r="CR6" s="12" t="s">
        <v>92</v>
      </c>
      <c r="CS6" s="26">
        <v>0</v>
      </c>
      <c r="CT6" s="26">
        <v>0</v>
      </c>
      <c r="CU6" s="26">
        <v>1.9847999999999999</v>
      </c>
      <c r="CV6" s="26">
        <v>0</v>
      </c>
      <c r="CW6" s="26">
        <v>1.7230000000000001</v>
      </c>
      <c r="CX6" s="26">
        <v>0.25912642818944298</v>
      </c>
      <c r="CY6" s="26">
        <v>1.00663377203253</v>
      </c>
      <c r="CZ6" s="26">
        <v>0</v>
      </c>
      <c r="DA6" s="26">
        <v>0</v>
      </c>
      <c r="DB6" s="26">
        <v>293026.95</v>
      </c>
      <c r="DC6" s="26">
        <v>154950.42000000001</v>
      </c>
      <c r="DD6" s="26">
        <v>0.48</v>
      </c>
    </row>
    <row r="7" spans="2:108" x14ac:dyDescent="0.2">
      <c r="B7" s="23" t="s">
        <v>95</v>
      </c>
      <c r="C7" s="24"/>
      <c r="D7" s="24">
        <v>6</v>
      </c>
      <c r="E7" s="24" t="str">
        <f>R7</f>
        <v>Drymill CCS Fermentation Exhaust</v>
      </c>
      <c r="F7" s="23">
        <v>0</v>
      </c>
      <c r="G7" s="23">
        <v>1.6199999999999999E-2</v>
      </c>
      <c r="H7" s="23">
        <v>7.0452767058742899E-2</v>
      </c>
      <c r="I7" s="23">
        <v>0.1159</v>
      </c>
      <c r="J7" s="23">
        <v>0</v>
      </c>
      <c r="K7" s="23">
        <v>0</v>
      </c>
      <c r="L7" s="23">
        <v>8.9519280166729005E-3</v>
      </c>
      <c r="M7" s="23">
        <v>2.11921923300483E-2</v>
      </c>
      <c r="N7" s="23">
        <v>6578.32</v>
      </c>
      <c r="O7" s="23">
        <v>6324.47</v>
      </c>
      <c r="P7" s="23">
        <v>0.11</v>
      </c>
      <c r="R7" s="18" t="str">
        <f t="array" ref="R7:AE7">_xlfn.XLOOKUP(D7, CP:CP, CQ:DD)</f>
        <v>Drymill CCS Fermentation Exhaust</v>
      </c>
      <c r="S7" s="18" t="str">
        <v>Biomass_Corn</v>
      </c>
      <c r="T7" s="18">
        <v>0</v>
      </c>
      <c r="U7" s="18">
        <v>8.5342824999999997E-2</v>
      </c>
      <c r="V7" s="18">
        <v>3.1043379949999999</v>
      </c>
      <c r="W7" s="18">
        <v>1.013397519</v>
      </c>
      <c r="X7" s="18">
        <v>1.7588666580000001</v>
      </c>
      <c r="Y7" s="18">
        <v>0.35768767200000001</v>
      </c>
      <c r="Z7" s="18">
        <v>0.68601739399999995</v>
      </c>
      <c r="AA7" s="18">
        <v>0.15290642300000001</v>
      </c>
      <c r="AB7" s="18">
        <v>3.2434695999999999E-2</v>
      </c>
      <c r="AC7" s="18">
        <v>45179.42</v>
      </c>
      <c r="AD7" s="18">
        <v>201481.25</v>
      </c>
      <c r="AE7" s="18">
        <v>-25.28</v>
      </c>
      <c r="AG7" s="15">
        <v>115.647671</v>
      </c>
      <c r="AH7" s="15">
        <v>-25.816296000000001</v>
      </c>
      <c r="AI7" s="15">
        <v>143.895802</v>
      </c>
      <c r="AJ7" s="15">
        <v>164.13046700000001</v>
      </c>
      <c r="AK7" s="15">
        <v>116.883005</v>
      </c>
      <c r="AL7" s="15">
        <v>160</v>
      </c>
      <c r="AM7" s="15">
        <v>20.196279000000001</v>
      </c>
      <c r="AN7" s="15">
        <v>19.066547</v>
      </c>
      <c r="AO7" s="15">
        <v>13.326110999999999</v>
      </c>
      <c r="AQ7" s="1" t="str">
        <f t="shared" si="0"/>
        <v>TX_B-NGin</v>
      </c>
      <c r="AR7" s="1">
        <f t="shared" si="1"/>
        <v>0</v>
      </c>
      <c r="AS7" s="11">
        <f t="shared" si="2"/>
        <v>803.08405447275186</v>
      </c>
      <c r="AT7" s="11">
        <f t="shared" si="3"/>
        <v>803.08405447275197</v>
      </c>
      <c r="AU7" s="5">
        <f t="shared" si="4"/>
        <v>0</v>
      </c>
      <c r="AV7" s="5">
        <f t="shared" si="5"/>
        <v>0</v>
      </c>
      <c r="AW7" s="1">
        <f t="shared" si="6"/>
        <v>4.6439584058806433</v>
      </c>
      <c r="AX7" s="1">
        <f t="shared" si="7"/>
        <v>7.8808184176802767</v>
      </c>
      <c r="AY7" s="1">
        <f t="shared" si="8"/>
        <v>0</v>
      </c>
      <c r="AZ7" s="1">
        <f t="shared" si="9"/>
        <v>731.56501329210482</v>
      </c>
      <c r="BA7" s="1">
        <f t="shared" si="10"/>
        <v>21.922435830124495</v>
      </c>
      <c r="BB7" s="1">
        <f t="shared" si="11"/>
        <v>61.747049161465014</v>
      </c>
      <c r="BC7" s="1">
        <f t="shared" si="12"/>
        <v>11.843234411429817</v>
      </c>
      <c r="BD7" s="1">
        <f t="shared" si="13"/>
        <v>26.201549810398898</v>
      </c>
      <c r="BE7" s="1">
        <f t="shared" si="14"/>
        <v>11.386217261862534</v>
      </c>
      <c r="BF7" s="1">
        <f t="shared" si="15"/>
        <v>116.84791455349433</v>
      </c>
      <c r="BG7" s="1">
        <f t="shared" si="16"/>
        <v>1.5613297332705607</v>
      </c>
      <c r="BH7" s="1">
        <f t="shared" si="17"/>
        <v>-115.58727210015257</v>
      </c>
      <c r="BI7" s="1">
        <f t="shared" si="18"/>
        <v>1.1482317150108554</v>
      </c>
      <c r="BJ7" s="1">
        <f t="shared" si="19"/>
        <v>-209.71851791414809</v>
      </c>
      <c r="BK7" s="1">
        <f t="shared" si="20"/>
        <v>132.79032360934116</v>
      </c>
      <c r="BL7" s="1">
        <f t="shared" si="21"/>
        <v>-1.1863481343363023</v>
      </c>
      <c r="BM7" s="1">
        <f t="shared" si="22"/>
        <v>60.270204426381646</v>
      </c>
      <c r="BN7" s="1">
        <f t="shared" si="23"/>
        <v>-137.19839873118849</v>
      </c>
      <c r="BP7" s="1" t="str">
        <f t="shared" si="24"/>
        <v>Drymill CCS Fermentation Exhaust</v>
      </c>
      <c r="BQ7" s="1">
        <f t="shared" si="25"/>
        <v>0</v>
      </c>
      <c r="BR7" s="1">
        <f t="shared" si="26"/>
        <v>7.8808184176802767</v>
      </c>
      <c r="BS7" s="1">
        <f t="array" ref="BS7">_xlfn.IFS(S7="Biomass_Corn", 1/V7/H7*AL7, S7="Biomass_Agri", 1/V7/H7*AK7, S7="Biomass_Wood", 1/V7/H7*AJ7, S7="Biomass_Herb", 1/V7/H7*AI7)</f>
        <v>731.56501329210482</v>
      </c>
      <c r="BT7" s="1">
        <f t="shared" si="27"/>
        <v>61.747049161465014</v>
      </c>
      <c r="BU7" s="1">
        <f t="shared" si="28"/>
        <v>26.201549810398898</v>
      </c>
      <c r="BV7" s="1">
        <f t="shared" si="29"/>
        <v>116.84791455349433</v>
      </c>
      <c r="BW7" s="1">
        <f t="shared" si="30"/>
        <v>-115.58727210015257</v>
      </c>
      <c r="BY7" s="9">
        <f t="shared" si="31"/>
        <v>3.1428571428571428</v>
      </c>
      <c r="BZ7" s="18">
        <f t="shared" si="32"/>
        <v>1.7588666580000001</v>
      </c>
      <c r="CA7" s="10">
        <v>0.1828908353</v>
      </c>
      <c r="CB7" s="9">
        <v>0.23037490999999999</v>
      </c>
      <c r="CD7" s="10">
        <f t="shared" si="33"/>
        <v>8.0420331877425628</v>
      </c>
      <c r="CE7" s="10">
        <f t="shared" si="34"/>
        <v>0.84743173747018186</v>
      </c>
      <c r="CF7" s="10">
        <f t="shared" si="35"/>
        <v>3.2699199707502675</v>
      </c>
      <c r="CG7" s="10">
        <f t="shared" si="36"/>
        <v>0.300868918229941</v>
      </c>
      <c r="CI7" s="18">
        <f t="shared" si="37"/>
        <v>3.2849650798161911</v>
      </c>
      <c r="CJ7" s="18">
        <f t="shared" si="38"/>
        <v>2.3345798493471581</v>
      </c>
      <c r="CK7" s="10">
        <f t="shared" si="39"/>
        <v>3.1428571428571428</v>
      </c>
      <c r="CL7" s="10">
        <f t="shared" si="40"/>
        <v>0.4278628307329263</v>
      </c>
      <c r="CN7" s="1">
        <f t="shared" si="41"/>
        <v>6.8940689265772903E-5</v>
      </c>
      <c r="CP7" s="13">
        <v>4</v>
      </c>
      <c r="CQ7" s="13" t="s">
        <v>96</v>
      </c>
      <c r="CR7" s="12" t="s">
        <v>92</v>
      </c>
      <c r="CS7" s="26">
        <v>0</v>
      </c>
      <c r="CT7" s="26">
        <v>0.26319999999999999</v>
      </c>
      <c r="CU7" s="26">
        <v>1.9847999999999999</v>
      </c>
      <c r="CV7" s="26">
        <v>0</v>
      </c>
      <c r="CW7" s="26">
        <v>1.7230000000000001</v>
      </c>
      <c r="CX7" s="26">
        <v>1.0913384446313901</v>
      </c>
      <c r="CY7" s="26">
        <v>0.17442175559058801</v>
      </c>
      <c r="CZ7" s="26">
        <v>0</v>
      </c>
      <c r="DA7" s="26">
        <v>0</v>
      </c>
      <c r="DB7" s="26">
        <v>520155.64</v>
      </c>
      <c r="DC7" s="26">
        <v>279265.62</v>
      </c>
      <c r="DD7" s="26">
        <v>1.67</v>
      </c>
    </row>
    <row r="8" spans="2:108" x14ac:dyDescent="0.2">
      <c r="B8" s="23" t="s">
        <v>97</v>
      </c>
      <c r="C8" s="24"/>
      <c r="D8" s="24">
        <v>6</v>
      </c>
      <c r="E8" s="24"/>
      <c r="F8" s="23">
        <v>0</v>
      </c>
      <c r="G8" s="23">
        <v>1.6199999999999999E-2</v>
      </c>
      <c r="H8" s="23">
        <v>7.0452767058742899E-2</v>
      </c>
      <c r="I8" s="23">
        <v>0.1159</v>
      </c>
      <c r="J8" s="23">
        <v>0</v>
      </c>
      <c r="K8" s="23">
        <v>0</v>
      </c>
      <c r="L8" s="23">
        <v>8.9519280166729005E-3</v>
      </c>
      <c r="M8" s="23">
        <v>2.11921923300483E-2</v>
      </c>
      <c r="N8" s="23">
        <v>6578.32</v>
      </c>
      <c r="O8" s="23">
        <v>6324.47</v>
      </c>
      <c r="P8" s="23">
        <v>0.11</v>
      </c>
      <c r="R8" s="18" t="str">
        <f t="array" ref="R8:AE8">_xlfn.XLOOKUP(D8, CP:CP, CQ:DD)</f>
        <v>Drymill CCS Fermentation Exhaust</v>
      </c>
      <c r="S8" s="18" t="str">
        <v>Biomass_Corn</v>
      </c>
      <c r="T8" s="18">
        <v>0</v>
      </c>
      <c r="U8" s="18">
        <v>8.5342824999999997E-2</v>
      </c>
      <c r="V8" s="18">
        <v>3.1043379949999999</v>
      </c>
      <c r="W8" s="18">
        <v>1.013397519</v>
      </c>
      <c r="X8" s="18">
        <v>1.7588666580000001</v>
      </c>
      <c r="Y8" s="18">
        <v>0.35768767200000001</v>
      </c>
      <c r="Z8" s="18">
        <v>0.68601739399999995</v>
      </c>
      <c r="AA8" s="18">
        <v>0.15290642300000001</v>
      </c>
      <c r="AB8" s="18">
        <v>3.2434695999999999E-2</v>
      </c>
      <c r="AC8" s="18">
        <v>45179.42</v>
      </c>
      <c r="AD8" s="18">
        <v>201481.25</v>
      </c>
      <c r="AE8" s="18">
        <v>-25.28</v>
      </c>
      <c r="AG8" s="15">
        <v>115.647671</v>
      </c>
      <c r="AH8" s="15">
        <v>-46.038499000000002</v>
      </c>
      <c r="AI8" s="15">
        <v>109.157662</v>
      </c>
      <c r="AJ8" s="15">
        <v>120.698685</v>
      </c>
      <c r="AK8" s="15">
        <v>95.960336999999996</v>
      </c>
      <c r="AL8" s="15">
        <v>160</v>
      </c>
      <c r="AM8" s="15">
        <v>30.833673999999998</v>
      </c>
      <c r="AN8" s="15">
        <v>27.073661000000001</v>
      </c>
      <c r="AO8" s="15">
        <v>13.420595</v>
      </c>
      <c r="AQ8" s="1" t="str">
        <f t="shared" si="0"/>
        <v>NCEN_B-NGin</v>
      </c>
      <c r="AR8" s="1">
        <f t="shared" si="1"/>
        <v>0</v>
      </c>
      <c r="AS8" s="11">
        <f t="shared" si="2"/>
        <v>857.48443967712456</v>
      </c>
      <c r="AT8" s="11">
        <f t="shared" si="3"/>
        <v>857.48443967712467</v>
      </c>
      <c r="AU8" s="5">
        <f t="shared" si="4"/>
        <v>0</v>
      </c>
      <c r="AV8" s="5">
        <f t="shared" si="5"/>
        <v>0</v>
      </c>
      <c r="AW8" s="1">
        <f t="shared" si="6"/>
        <v>7.0899347130470636</v>
      </c>
      <c r="AX8" s="1">
        <f t="shared" si="7"/>
        <v>12.031651273185</v>
      </c>
      <c r="AY8" s="1">
        <f t="shared" si="8"/>
        <v>0</v>
      </c>
      <c r="AZ8" s="1">
        <f t="shared" si="9"/>
        <v>731.56501329210482</v>
      </c>
      <c r="BA8" s="1">
        <f t="shared" si="10"/>
        <v>22.077868981399725</v>
      </c>
      <c r="BB8" s="1">
        <f t="shared" si="11"/>
        <v>62.184844418683866</v>
      </c>
      <c r="BC8" s="1">
        <f t="shared" si="12"/>
        <v>11.843234411429817</v>
      </c>
      <c r="BD8" s="1">
        <f t="shared" si="13"/>
        <v>26.201549810398898</v>
      </c>
      <c r="BE8" s="1">
        <f t="shared" si="14"/>
        <v>11.386217261862534</v>
      </c>
      <c r="BF8" s="1">
        <f t="shared" si="15"/>
        <v>116.84791455349433</v>
      </c>
      <c r="BG8" s="1">
        <f t="shared" si="16"/>
        <v>1.5613297332705607</v>
      </c>
      <c r="BH8" s="1">
        <f t="shared" si="17"/>
        <v>-115.58727210015257</v>
      </c>
      <c r="BI8" s="1">
        <f t="shared" si="18"/>
        <v>1.1482317150108554</v>
      </c>
      <c r="BJ8" s="1">
        <f t="shared" si="19"/>
        <v>-162.50817028094042</v>
      </c>
      <c r="BK8" s="1">
        <f t="shared" si="20"/>
        <v>132.79032360934116</v>
      </c>
      <c r="BL8" s="1">
        <f t="shared" si="21"/>
        <v>-1.1863481343363023</v>
      </c>
      <c r="BM8" s="1">
        <f t="shared" si="22"/>
        <v>107.4805520595893</v>
      </c>
      <c r="BN8" s="1">
        <f t="shared" si="23"/>
        <v>-137.19839873118849</v>
      </c>
      <c r="BP8" s="1" t="str">
        <f t="shared" si="24"/>
        <v>Drymill CCS Fermentation Exhaust</v>
      </c>
      <c r="BQ8" s="1">
        <f t="shared" si="25"/>
        <v>0</v>
      </c>
      <c r="BR8" s="1">
        <f t="shared" si="26"/>
        <v>12.031651273185</v>
      </c>
      <c r="BS8" s="1">
        <f t="array" ref="BS8">_xlfn.IFS(S8="Biomass_Corn", 1/V8/H8*AL8, S8="Biomass_Agri", 1/V8/H8*AK8, S8="Biomass_Wood", 1/V8/H8*AJ8, S8="Biomass_Herb", 1/V8/H8*AI8)</f>
        <v>731.56501329210482</v>
      </c>
      <c r="BT8" s="1">
        <f t="shared" si="27"/>
        <v>62.184844418683866</v>
      </c>
      <c r="BU8" s="1">
        <f t="shared" si="28"/>
        <v>26.201549810398898</v>
      </c>
      <c r="BV8" s="1">
        <f t="shared" si="29"/>
        <v>116.84791455349433</v>
      </c>
      <c r="BW8" s="1">
        <f t="shared" si="30"/>
        <v>-115.58727210015257</v>
      </c>
      <c r="BY8" s="9">
        <f t="shared" si="31"/>
        <v>3.1428571428571428</v>
      </c>
      <c r="BZ8" s="18">
        <f t="shared" si="32"/>
        <v>1.7588666580000001</v>
      </c>
      <c r="CA8" s="10">
        <v>0.1828908353</v>
      </c>
      <c r="CB8" s="9">
        <v>0.23037490999999999</v>
      </c>
      <c r="CD8" s="10">
        <f t="shared" si="33"/>
        <v>8.0420331877425628</v>
      </c>
      <c r="CE8" s="10">
        <f t="shared" si="34"/>
        <v>0.84743173747018186</v>
      </c>
      <c r="CF8" s="10">
        <f t="shared" si="35"/>
        <v>3.2699199707502675</v>
      </c>
      <c r="CG8" s="10">
        <f t="shared" si="36"/>
        <v>0.300868918229941</v>
      </c>
      <c r="CI8" s="18">
        <f t="shared" si="37"/>
        <v>3.2849650798161911</v>
      </c>
      <c r="CJ8" s="18">
        <f t="shared" si="38"/>
        <v>2.3345798493471581</v>
      </c>
      <c r="CK8" s="10">
        <f t="shared" si="39"/>
        <v>3.1428571428571428</v>
      </c>
      <c r="CL8" s="10">
        <f t="shared" si="40"/>
        <v>0.4278628307329263</v>
      </c>
      <c r="CN8" s="1">
        <f t="shared" si="41"/>
        <v>6.8940689265772903E-5</v>
      </c>
      <c r="CP8" s="13">
        <v>5</v>
      </c>
      <c r="CQ8" s="13" t="s">
        <v>98</v>
      </c>
      <c r="CR8" s="12" t="s">
        <v>89</v>
      </c>
      <c r="CS8" s="27">
        <v>0</v>
      </c>
      <c r="CT8" s="27">
        <v>8.5342829999999995E-2</v>
      </c>
      <c r="CU8" s="27">
        <v>3.1043379999999998</v>
      </c>
      <c r="CV8" s="27">
        <v>1.0133975200000001</v>
      </c>
      <c r="CW8" s="27">
        <v>1.75886666</v>
      </c>
      <c r="CX8" s="27">
        <v>0.35768767000000001</v>
      </c>
      <c r="CY8" s="27">
        <v>0.68601738999999995</v>
      </c>
      <c r="CZ8" s="27">
        <v>0</v>
      </c>
      <c r="DA8" s="27">
        <v>0.18534112</v>
      </c>
      <c r="DB8" s="27">
        <v>27458.48</v>
      </c>
      <c r="DC8" s="27">
        <v>191772.15</v>
      </c>
      <c r="DD8" s="27">
        <v>-25.37</v>
      </c>
    </row>
    <row r="9" spans="2:108" x14ac:dyDescent="0.2">
      <c r="B9" s="23" t="s">
        <v>99</v>
      </c>
      <c r="C9" s="24"/>
      <c r="D9" s="24">
        <v>6</v>
      </c>
      <c r="E9" s="24"/>
      <c r="F9" s="23">
        <v>0</v>
      </c>
      <c r="G9" s="23">
        <v>1.6199999999999999E-2</v>
      </c>
      <c r="H9" s="23">
        <v>7.0452767058742899E-2</v>
      </c>
      <c r="I9" s="23">
        <v>0.1159</v>
      </c>
      <c r="J9" s="23">
        <v>0</v>
      </c>
      <c r="K9" s="23">
        <v>0</v>
      </c>
      <c r="L9" s="23">
        <v>8.9519280166729005E-3</v>
      </c>
      <c r="M9" s="23">
        <v>2.11921923300483E-2</v>
      </c>
      <c r="N9" s="23">
        <v>6578.32</v>
      </c>
      <c r="O9" s="23">
        <v>6324.47</v>
      </c>
      <c r="P9" s="23">
        <v>0.11</v>
      </c>
      <c r="R9" s="18" t="str">
        <f t="array" ref="R9:AE9">_xlfn.XLOOKUP(D9, CP:CP, CQ:DD)</f>
        <v>Drymill CCS Fermentation Exhaust</v>
      </c>
      <c r="S9" s="18" t="str">
        <v>Biomass_Corn</v>
      </c>
      <c r="T9" s="18">
        <v>0</v>
      </c>
      <c r="U9" s="18">
        <v>8.5342824999999997E-2</v>
      </c>
      <c r="V9" s="18">
        <v>3.1043379949999999</v>
      </c>
      <c r="W9" s="18">
        <v>1.013397519</v>
      </c>
      <c r="X9" s="18">
        <v>1.7588666580000001</v>
      </c>
      <c r="Y9" s="18">
        <v>0.35768767200000001</v>
      </c>
      <c r="Z9" s="18">
        <v>0.68601739399999995</v>
      </c>
      <c r="AA9" s="18">
        <v>0.15290642300000001</v>
      </c>
      <c r="AB9" s="18">
        <v>3.2434695999999999E-2</v>
      </c>
      <c r="AC9" s="18">
        <v>45179.42</v>
      </c>
      <c r="AD9" s="18">
        <v>201481.25</v>
      </c>
      <c r="AE9" s="18">
        <v>-25.28</v>
      </c>
      <c r="AG9" s="15">
        <v>115.647671</v>
      </c>
      <c r="AH9" s="15">
        <v>-36.022399999999998</v>
      </c>
      <c r="AI9" s="15">
        <v>115.552525</v>
      </c>
      <c r="AJ9" s="15">
        <v>132.75418400000001</v>
      </c>
      <c r="AK9" s="15">
        <v>104.006925</v>
      </c>
      <c r="AL9" s="15">
        <v>160</v>
      </c>
      <c r="AM9" s="15">
        <v>25.527353999999999</v>
      </c>
      <c r="AN9" s="15">
        <v>25.372129999999999</v>
      </c>
      <c r="AO9" s="15">
        <v>13.420595</v>
      </c>
      <c r="AQ9" s="1" t="str">
        <f t="shared" si="0"/>
        <v>CEN_B-NGin</v>
      </c>
      <c r="AR9" s="1">
        <f t="shared" si="1"/>
        <v>0</v>
      </c>
      <c r="AS9" s="11">
        <f t="shared" si="2"/>
        <v>830.81032814128844</v>
      </c>
      <c r="AT9" s="11">
        <f t="shared" si="3"/>
        <v>830.81032814128855</v>
      </c>
      <c r="AU9" s="5">
        <f t="shared" si="4"/>
        <v>0</v>
      </c>
      <c r="AV9" s="5">
        <f t="shared" si="5"/>
        <v>0</v>
      </c>
      <c r="AW9" s="1">
        <f t="shared" si="6"/>
        <v>5.8697926577559594</v>
      </c>
      <c r="AX9" s="1">
        <f t="shared" si="7"/>
        <v>9.9610646871061874</v>
      </c>
      <c r="AY9" s="1">
        <f t="shared" si="8"/>
        <v>0</v>
      </c>
      <c r="AZ9" s="1">
        <f t="shared" si="9"/>
        <v>731.56501329210482</v>
      </c>
      <c r="BA9" s="1">
        <f t="shared" si="10"/>
        <v>22.077868981399725</v>
      </c>
      <c r="BB9" s="1">
        <f t="shared" si="11"/>
        <v>62.184844418683866</v>
      </c>
      <c r="BC9" s="1">
        <f t="shared" si="12"/>
        <v>11.843234411429817</v>
      </c>
      <c r="BD9" s="1">
        <f t="shared" si="13"/>
        <v>26.201549810398898</v>
      </c>
      <c r="BE9" s="1">
        <f t="shared" si="14"/>
        <v>11.386217261862534</v>
      </c>
      <c r="BF9" s="1">
        <f t="shared" si="15"/>
        <v>116.84791455349433</v>
      </c>
      <c r="BG9" s="1">
        <f t="shared" si="16"/>
        <v>1.5613297332705607</v>
      </c>
      <c r="BH9" s="1">
        <f t="shared" si="17"/>
        <v>-115.58727210015257</v>
      </c>
      <c r="BI9" s="1">
        <f t="shared" si="18"/>
        <v>1.1482317150108554</v>
      </c>
      <c r="BJ9" s="1">
        <f t="shared" si="19"/>
        <v>-185.89155317540664</v>
      </c>
      <c r="BK9" s="1">
        <f t="shared" si="20"/>
        <v>132.79032360934116</v>
      </c>
      <c r="BL9" s="1">
        <f t="shared" si="21"/>
        <v>-1.1863481343363023</v>
      </c>
      <c r="BM9" s="1">
        <f t="shared" si="22"/>
        <v>84.097169165123063</v>
      </c>
      <c r="BN9" s="1">
        <f t="shared" si="23"/>
        <v>-137.19839873118849</v>
      </c>
      <c r="BP9" s="1" t="str">
        <f t="shared" si="24"/>
        <v>Drymill CCS Fermentation Exhaust</v>
      </c>
      <c r="BQ9" s="1">
        <f t="shared" si="25"/>
        <v>0</v>
      </c>
      <c r="BR9" s="1">
        <f t="shared" si="26"/>
        <v>9.9610646871061874</v>
      </c>
      <c r="BS9" s="1">
        <f t="array" ref="BS9">_xlfn.IFS(S9="Biomass_Corn", 1/V9/H9*AL9, S9="Biomass_Agri", 1/V9/H9*AK9, S9="Biomass_Wood", 1/V9/H9*AJ9, S9="Biomass_Herb", 1/V9/H9*AI9)</f>
        <v>731.56501329210482</v>
      </c>
      <c r="BT9" s="1">
        <f t="shared" si="27"/>
        <v>62.184844418683866</v>
      </c>
      <c r="BU9" s="1">
        <f t="shared" si="28"/>
        <v>26.201549810398898</v>
      </c>
      <c r="BV9" s="1">
        <f t="shared" si="29"/>
        <v>116.84791455349433</v>
      </c>
      <c r="BW9" s="1">
        <f t="shared" si="30"/>
        <v>-115.58727210015257</v>
      </c>
      <c r="BY9" s="9">
        <f t="shared" si="31"/>
        <v>3.1428571428571428</v>
      </c>
      <c r="BZ9" s="18">
        <f t="shared" si="32"/>
        <v>1.7588666580000001</v>
      </c>
      <c r="CA9" s="10">
        <v>0.1828908353</v>
      </c>
      <c r="CB9" s="9">
        <v>0.23037490999999999</v>
      </c>
      <c r="CD9" s="10">
        <f t="shared" si="33"/>
        <v>8.0420331877425628</v>
      </c>
      <c r="CE9" s="10">
        <f t="shared" si="34"/>
        <v>0.84743173747018186</v>
      </c>
      <c r="CF9" s="10">
        <f t="shared" si="35"/>
        <v>3.2699199707502675</v>
      </c>
      <c r="CG9" s="10">
        <f t="shared" si="36"/>
        <v>0.300868918229941</v>
      </c>
      <c r="CI9" s="18">
        <f t="shared" si="37"/>
        <v>3.2849650798161911</v>
      </c>
      <c r="CJ9" s="18">
        <f t="shared" si="38"/>
        <v>2.3345798493471581</v>
      </c>
      <c r="CK9" s="10">
        <f t="shared" si="39"/>
        <v>3.1428571428571428</v>
      </c>
      <c r="CL9" s="10">
        <f t="shared" si="40"/>
        <v>0.4278628307329263</v>
      </c>
      <c r="CN9" s="1">
        <f t="shared" si="41"/>
        <v>6.8940689265772903E-5</v>
      </c>
      <c r="CP9" s="13">
        <v>6</v>
      </c>
      <c r="CQ9" s="13" t="s">
        <v>100</v>
      </c>
      <c r="CR9" s="12" t="s">
        <v>89</v>
      </c>
      <c r="CS9" s="26">
        <v>0</v>
      </c>
      <c r="CT9" s="26">
        <v>8.5342824999999997E-2</v>
      </c>
      <c r="CU9" s="26">
        <v>3.1043379949999999</v>
      </c>
      <c r="CV9" s="26">
        <v>1.013397519</v>
      </c>
      <c r="CW9" s="26">
        <v>1.7588666580000001</v>
      </c>
      <c r="CX9" s="26">
        <v>0.35768767200000001</v>
      </c>
      <c r="CY9" s="26">
        <v>0.68601739399999995</v>
      </c>
      <c r="CZ9" s="26">
        <v>0.15290642300000001</v>
      </c>
      <c r="DA9" s="26">
        <v>3.2434695999999999E-2</v>
      </c>
      <c r="DB9" s="26">
        <v>45179.42</v>
      </c>
      <c r="DC9" s="26">
        <v>201481.25</v>
      </c>
      <c r="DD9" s="26">
        <v>-25.28</v>
      </c>
    </row>
    <row r="10" spans="2:108" x14ac:dyDescent="0.2">
      <c r="B10" s="23" t="s">
        <v>101</v>
      </c>
      <c r="C10" s="24"/>
      <c r="D10" s="24">
        <v>6</v>
      </c>
      <c r="E10" s="24"/>
      <c r="F10" s="23">
        <v>0</v>
      </c>
      <c r="G10" s="23">
        <v>1.6199999999999999E-2</v>
      </c>
      <c r="H10" s="23">
        <v>7.0452767058742899E-2</v>
      </c>
      <c r="I10" s="23">
        <v>0.1159</v>
      </c>
      <c r="J10" s="23">
        <v>0</v>
      </c>
      <c r="K10" s="23">
        <v>0</v>
      </c>
      <c r="L10" s="23">
        <v>8.9519280166729005E-3</v>
      </c>
      <c r="M10" s="23">
        <v>2.11921923300483E-2</v>
      </c>
      <c r="N10" s="23">
        <v>6578.32</v>
      </c>
      <c r="O10" s="23">
        <v>6324.47</v>
      </c>
      <c r="P10" s="23">
        <v>0.11</v>
      </c>
      <c r="R10" s="18" t="str">
        <f t="array" ref="R10:AE10">_xlfn.XLOOKUP(D10, CP:CP, CQ:DD)</f>
        <v>Drymill CCS Fermentation Exhaust</v>
      </c>
      <c r="S10" s="18" t="str">
        <v>Biomass_Corn</v>
      </c>
      <c r="T10" s="18">
        <v>0</v>
      </c>
      <c r="U10" s="18">
        <v>8.5342824999999997E-2</v>
      </c>
      <c r="V10" s="18">
        <v>3.1043379949999999</v>
      </c>
      <c r="W10" s="18">
        <v>1.013397519</v>
      </c>
      <c r="X10" s="18">
        <v>1.7588666580000001</v>
      </c>
      <c r="Y10" s="18">
        <v>0.35768767200000001</v>
      </c>
      <c r="Z10" s="18">
        <v>0.68601739399999995</v>
      </c>
      <c r="AA10" s="18">
        <v>0.15290642300000001</v>
      </c>
      <c r="AB10" s="18">
        <v>3.2434695999999999E-2</v>
      </c>
      <c r="AC10" s="18">
        <v>45179.42</v>
      </c>
      <c r="AD10" s="18">
        <v>201481.25</v>
      </c>
      <c r="AE10" s="18">
        <v>-25.28</v>
      </c>
      <c r="AG10" s="15">
        <v>115.647671</v>
      </c>
      <c r="AH10" s="15">
        <v>-52.124285999999998</v>
      </c>
      <c r="AI10" s="15">
        <v>103.016395</v>
      </c>
      <c r="AJ10" s="15">
        <v>118.344319</v>
      </c>
      <c r="AK10" s="15">
        <v>92.034135000000006</v>
      </c>
      <c r="AL10" s="15">
        <v>160</v>
      </c>
      <c r="AM10" s="15">
        <v>38.371324000000001</v>
      </c>
      <c r="AN10" s="15">
        <v>29.598485</v>
      </c>
      <c r="AO10" s="15">
        <v>13.420595</v>
      </c>
      <c r="AQ10" s="1" t="str">
        <f t="shared" si="0"/>
        <v>SE_B-NGin</v>
      </c>
      <c r="AR10" s="1">
        <f t="shared" si="1"/>
        <v>0</v>
      </c>
      <c r="AS10" s="11">
        <f t="shared" si="2"/>
        <v>876.36668932603607</v>
      </c>
      <c r="AT10" s="11">
        <f t="shared" si="3"/>
        <v>876.36668932603607</v>
      </c>
      <c r="AU10" s="5">
        <f t="shared" si="4"/>
        <v>0</v>
      </c>
      <c r="AV10" s="5">
        <f t="shared" si="5"/>
        <v>0</v>
      </c>
      <c r="AW10" s="1">
        <f t="shared" si="6"/>
        <v>8.8231516624705808</v>
      </c>
      <c r="AX10" s="1">
        <f t="shared" si="7"/>
        <v>14.972928275053896</v>
      </c>
      <c r="AY10" s="1">
        <f t="shared" si="8"/>
        <v>0</v>
      </c>
      <c r="AZ10" s="1">
        <f t="shared" si="9"/>
        <v>731.56501329210482</v>
      </c>
      <c r="BA10" s="1">
        <f t="shared" si="10"/>
        <v>22.077868981399725</v>
      </c>
      <c r="BB10" s="1">
        <f t="shared" si="11"/>
        <v>62.184844418683866</v>
      </c>
      <c r="BC10" s="1">
        <f t="shared" si="12"/>
        <v>11.843234411429817</v>
      </c>
      <c r="BD10" s="1">
        <f t="shared" si="13"/>
        <v>26.201549810398898</v>
      </c>
      <c r="BE10" s="1">
        <f t="shared" si="14"/>
        <v>11.386217261862534</v>
      </c>
      <c r="BF10" s="1">
        <f t="shared" si="15"/>
        <v>116.84791455349433</v>
      </c>
      <c r="BG10" s="1">
        <f t="shared" si="16"/>
        <v>1.5613297332705607</v>
      </c>
      <c r="BH10" s="1">
        <f t="shared" si="17"/>
        <v>-115.58727210015257</v>
      </c>
      <c r="BI10" s="1">
        <f t="shared" si="18"/>
        <v>1.1482317150108554</v>
      </c>
      <c r="BJ10" s="1">
        <f t="shared" si="19"/>
        <v>-148.30041458332153</v>
      </c>
      <c r="BK10" s="1">
        <f t="shared" si="20"/>
        <v>132.79032360934116</v>
      </c>
      <c r="BL10" s="1">
        <f t="shared" si="21"/>
        <v>-1.1863481343363023</v>
      </c>
      <c r="BM10" s="1">
        <f t="shared" si="22"/>
        <v>121.68830775720818</v>
      </c>
      <c r="BN10" s="1">
        <f t="shared" si="23"/>
        <v>-137.19839873118849</v>
      </c>
      <c r="BP10" s="1" t="str">
        <f t="shared" si="24"/>
        <v>Drymill CCS Fermentation Exhaust</v>
      </c>
      <c r="BQ10" s="1">
        <f t="shared" si="25"/>
        <v>0</v>
      </c>
      <c r="BR10" s="1">
        <f t="shared" si="26"/>
        <v>14.972928275053896</v>
      </c>
      <c r="BS10" s="1">
        <f t="array" ref="BS10">_xlfn.IFS(S10="Biomass_Corn", 1/V10/H10*AL10, S10="Biomass_Agri", 1/V10/H10*AK10, S10="Biomass_Wood", 1/V10/H10*AJ10, S10="Biomass_Herb", 1/V10/H10*AI10)</f>
        <v>731.56501329210482</v>
      </c>
      <c r="BT10" s="1">
        <f t="shared" si="27"/>
        <v>62.184844418683866</v>
      </c>
      <c r="BU10" s="1">
        <f t="shared" si="28"/>
        <v>26.201549810398898</v>
      </c>
      <c r="BV10" s="1">
        <f t="shared" si="29"/>
        <v>116.84791455349433</v>
      </c>
      <c r="BW10" s="1">
        <f t="shared" si="30"/>
        <v>-115.58727210015257</v>
      </c>
      <c r="BY10" s="9">
        <f t="shared" si="31"/>
        <v>3.1428571428571428</v>
      </c>
      <c r="BZ10" s="18">
        <f t="shared" si="32"/>
        <v>1.7588666580000001</v>
      </c>
      <c r="CA10" s="10">
        <v>0.1828908353</v>
      </c>
      <c r="CB10" s="9">
        <v>0.23037490999999999</v>
      </c>
      <c r="CD10" s="10">
        <f t="shared" si="33"/>
        <v>8.0420331877425628</v>
      </c>
      <c r="CE10" s="10">
        <f t="shared" si="34"/>
        <v>0.84743173747018186</v>
      </c>
      <c r="CF10" s="10">
        <f t="shared" si="35"/>
        <v>3.2699199707502675</v>
      </c>
      <c r="CG10" s="10">
        <f t="shared" si="36"/>
        <v>0.300868918229941</v>
      </c>
      <c r="CI10" s="18">
        <f t="shared" si="37"/>
        <v>3.2849650798161911</v>
      </c>
      <c r="CJ10" s="18">
        <f t="shared" si="38"/>
        <v>2.3345798493471581</v>
      </c>
      <c r="CK10" s="10">
        <f t="shared" si="39"/>
        <v>3.1428571428571428</v>
      </c>
      <c r="CL10" s="10">
        <f t="shared" si="40"/>
        <v>0.4278628307329263</v>
      </c>
      <c r="CN10" s="1">
        <f t="shared" si="41"/>
        <v>6.8940689265772903E-5</v>
      </c>
    </row>
    <row r="11" spans="2:108" x14ac:dyDescent="0.2">
      <c r="B11" s="23" t="s">
        <v>102</v>
      </c>
      <c r="C11" s="24"/>
      <c r="D11" s="24">
        <v>6</v>
      </c>
      <c r="E11" s="24"/>
      <c r="F11" s="23">
        <v>0</v>
      </c>
      <c r="G11" s="23">
        <v>1.6199999999999999E-2</v>
      </c>
      <c r="H11" s="23">
        <v>7.0452767058742899E-2</v>
      </c>
      <c r="I11" s="23">
        <v>0.1159</v>
      </c>
      <c r="J11" s="23">
        <v>0</v>
      </c>
      <c r="K11" s="23">
        <v>0</v>
      </c>
      <c r="L11" s="23">
        <v>8.9519280166729005E-3</v>
      </c>
      <c r="M11" s="23">
        <v>2.11921923300483E-2</v>
      </c>
      <c r="N11" s="23">
        <v>6578.32</v>
      </c>
      <c r="O11" s="23">
        <v>6324.47</v>
      </c>
      <c r="P11" s="23">
        <v>0.11</v>
      </c>
      <c r="R11" s="18" t="str">
        <f t="array" ref="R11:AE11">_xlfn.XLOOKUP(D11, CP:CP, CQ:DD)</f>
        <v>Drymill CCS Fermentation Exhaust</v>
      </c>
      <c r="S11" s="18" t="str">
        <v>Biomass_Corn</v>
      </c>
      <c r="T11" s="18">
        <v>0</v>
      </c>
      <c r="U11" s="18">
        <v>8.5342824999999997E-2</v>
      </c>
      <c r="V11" s="18">
        <v>3.1043379949999999</v>
      </c>
      <c r="W11" s="18">
        <v>1.013397519</v>
      </c>
      <c r="X11" s="18">
        <v>1.7588666580000001</v>
      </c>
      <c r="Y11" s="18">
        <v>0.35768767200000001</v>
      </c>
      <c r="Z11" s="18">
        <v>0.68601739399999995</v>
      </c>
      <c r="AA11" s="18">
        <v>0.15290642300000001</v>
      </c>
      <c r="AB11" s="18">
        <v>3.2434695999999999E-2</v>
      </c>
      <c r="AC11" s="18">
        <v>45179.42</v>
      </c>
      <c r="AD11" s="18">
        <v>201481.25</v>
      </c>
      <c r="AE11" s="18">
        <v>-25.28</v>
      </c>
      <c r="AG11" s="15">
        <v>115.647671</v>
      </c>
      <c r="AH11" s="15">
        <v>-56.504998000000001</v>
      </c>
      <c r="AI11" s="15">
        <v>104.15609600000001</v>
      </c>
      <c r="AJ11" s="15">
        <v>112.194858</v>
      </c>
      <c r="AK11" s="15">
        <v>92.603804999999994</v>
      </c>
      <c r="AL11" s="15">
        <v>160</v>
      </c>
      <c r="AM11" s="15">
        <v>39.464758000000003</v>
      </c>
      <c r="AN11" s="15">
        <v>30.833227999999998</v>
      </c>
      <c r="AO11" s="15">
        <v>13.420595</v>
      </c>
      <c r="AQ11" s="1" t="str">
        <f t="shared" si="0"/>
        <v>MIDAT_B-NGin</v>
      </c>
      <c r="AR11" s="1">
        <f t="shared" si="1"/>
        <v>0</v>
      </c>
      <c r="AS11" s="11">
        <f t="shared" si="2"/>
        <v>887.27190732745805</v>
      </c>
      <c r="AT11" s="11">
        <f t="shared" si="3"/>
        <v>887.27190732745817</v>
      </c>
      <c r="AU11" s="5">
        <f t="shared" si="4"/>
        <v>0</v>
      </c>
      <c r="AV11" s="5">
        <f t="shared" si="5"/>
        <v>0</v>
      </c>
      <c r="AW11" s="1">
        <f t="shared" si="6"/>
        <v>9.0745772847634658</v>
      </c>
      <c r="AX11" s="1">
        <f t="shared" si="7"/>
        <v>15.399598693189724</v>
      </c>
      <c r="AY11" s="1">
        <f t="shared" si="8"/>
        <v>0</v>
      </c>
      <c r="AZ11" s="1">
        <f t="shared" si="9"/>
        <v>731.56501329210482</v>
      </c>
      <c r="BA11" s="1">
        <f t="shared" si="10"/>
        <v>22.077868981399725</v>
      </c>
      <c r="BB11" s="1">
        <f t="shared" si="11"/>
        <v>62.184844418683866</v>
      </c>
      <c r="BC11" s="1">
        <f t="shared" si="12"/>
        <v>11.843234411429817</v>
      </c>
      <c r="BD11" s="1">
        <f t="shared" si="13"/>
        <v>26.201549810398898</v>
      </c>
      <c r="BE11" s="1">
        <f t="shared" si="14"/>
        <v>11.386217261862534</v>
      </c>
      <c r="BF11" s="1">
        <f t="shared" si="15"/>
        <v>116.84791455349433</v>
      </c>
      <c r="BG11" s="1">
        <f t="shared" si="16"/>
        <v>1.5613297332705607</v>
      </c>
      <c r="BH11" s="1">
        <f t="shared" si="17"/>
        <v>-115.58727210015257</v>
      </c>
      <c r="BI11" s="1">
        <f t="shared" si="18"/>
        <v>1.1482317150108554</v>
      </c>
      <c r="BJ11" s="1">
        <f t="shared" si="19"/>
        <v>-138.07329262232824</v>
      </c>
      <c r="BK11" s="1">
        <f t="shared" si="20"/>
        <v>132.79032360934116</v>
      </c>
      <c r="BL11" s="1">
        <f t="shared" si="21"/>
        <v>-1.1863481343363023</v>
      </c>
      <c r="BM11" s="1">
        <f t="shared" si="22"/>
        <v>131.91542971820147</v>
      </c>
      <c r="BN11" s="1">
        <f t="shared" si="23"/>
        <v>-137.19839873118849</v>
      </c>
      <c r="BP11" s="1" t="str">
        <f t="shared" si="24"/>
        <v>Drymill CCS Fermentation Exhaust</v>
      </c>
      <c r="BQ11" s="1">
        <f t="shared" si="25"/>
        <v>0</v>
      </c>
      <c r="BR11" s="1">
        <f t="shared" si="26"/>
        <v>15.399598693189724</v>
      </c>
      <c r="BS11" s="1">
        <f t="array" ref="BS11">_xlfn.IFS(S11="Biomass_Corn", 1/V11/H11*AL11, S11="Biomass_Agri", 1/V11/H11*AK11, S11="Biomass_Wood", 1/V11/H11*AJ11, S11="Biomass_Herb", 1/V11/H11*AI11)</f>
        <v>731.56501329210482</v>
      </c>
      <c r="BT11" s="1">
        <f t="shared" si="27"/>
        <v>62.184844418683866</v>
      </c>
      <c r="BU11" s="1">
        <f t="shared" si="28"/>
        <v>26.201549810398898</v>
      </c>
      <c r="BV11" s="1">
        <f t="shared" si="29"/>
        <v>116.84791455349433</v>
      </c>
      <c r="BW11" s="1">
        <f t="shared" si="30"/>
        <v>-115.58727210015257</v>
      </c>
      <c r="BY11" s="9">
        <f t="shared" si="31"/>
        <v>3.1428571428571428</v>
      </c>
      <c r="BZ11" s="18">
        <f t="shared" si="32"/>
        <v>1.7588666580000001</v>
      </c>
      <c r="CA11" s="10">
        <v>0.1828908353</v>
      </c>
      <c r="CB11" s="9">
        <v>0.23037490999999999</v>
      </c>
      <c r="CD11" s="10">
        <f t="shared" si="33"/>
        <v>8.0420331877425628</v>
      </c>
      <c r="CE11" s="10">
        <f t="shared" si="34"/>
        <v>0.84743173747018186</v>
      </c>
      <c r="CF11" s="10">
        <f t="shared" si="35"/>
        <v>3.2699199707502675</v>
      </c>
      <c r="CG11" s="10">
        <f t="shared" si="36"/>
        <v>0.300868918229941</v>
      </c>
      <c r="CI11" s="18">
        <f t="shared" si="37"/>
        <v>3.2849650798161911</v>
      </c>
      <c r="CJ11" s="18">
        <f t="shared" si="38"/>
        <v>2.3345798493471581</v>
      </c>
      <c r="CK11" s="10">
        <f t="shared" si="39"/>
        <v>3.1428571428571428</v>
      </c>
      <c r="CL11" s="10">
        <f t="shared" si="40"/>
        <v>0.4278628307329263</v>
      </c>
      <c r="CN11" s="1">
        <f t="shared" si="41"/>
        <v>6.8940689265772903E-5</v>
      </c>
    </row>
    <row r="12" spans="2:108" x14ac:dyDescent="0.2">
      <c r="B12" s="24" t="s">
        <v>103</v>
      </c>
      <c r="C12" s="24"/>
      <c r="D12" s="24">
        <v>6</v>
      </c>
      <c r="E12" s="24"/>
      <c r="F12" s="24">
        <v>0</v>
      </c>
      <c r="G12" s="24">
        <v>1.6199999999999999E-2</v>
      </c>
      <c r="H12" s="24">
        <v>7.0452767058742899E-2</v>
      </c>
      <c r="I12" s="24">
        <v>0.1159</v>
      </c>
      <c r="J12" s="24">
        <v>0</v>
      </c>
      <c r="K12" s="24">
        <v>0</v>
      </c>
      <c r="L12" s="24">
        <v>8.9519280166729005E-3</v>
      </c>
      <c r="M12" s="24">
        <v>2.11921923300483E-2</v>
      </c>
      <c r="N12" s="24">
        <v>6578.32</v>
      </c>
      <c r="O12" s="24">
        <v>6324.47</v>
      </c>
      <c r="P12" s="24">
        <v>0.11</v>
      </c>
      <c r="R12" s="18" t="str">
        <f t="array" ref="R12:AE12">_xlfn.XLOOKUP(D12, CP:CP, CQ:DD)</f>
        <v>Drymill CCS Fermentation Exhaust</v>
      </c>
      <c r="S12" s="18" t="str">
        <v>Biomass_Corn</v>
      </c>
      <c r="T12" s="18">
        <v>0</v>
      </c>
      <c r="U12" s="18">
        <v>8.5342824999999997E-2</v>
      </c>
      <c r="V12" s="18">
        <v>3.1043379949999999</v>
      </c>
      <c r="W12" s="18">
        <v>1.013397519</v>
      </c>
      <c r="X12" s="18">
        <v>1.7588666580000001</v>
      </c>
      <c r="Y12" s="18">
        <v>0.35768767200000001</v>
      </c>
      <c r="Z12" s="18">
        <v>0.68601739399999995</v>
      </c>
      <c r="AA12" s="18">
        <v>0.15290642300000001</v>
      </c>
      <c r="AB12" s="18">
        <v>3.2434695999999999E-2</v>
      </c>
      <c r="AC12" s="18">
        <v>45179.42</v>
      </c>
      <c r="AD12" s="18">
        <v>201481.25</v>
      </c>
      <c r="AE12" s="18">
        <v>-25.28</v>
      </c>
      <c r="AG12" s="15">
        <v>115.647671</v>
      </c>
      <c r="AH12" s="15">
        <v>-65.603281999999993</v>
      </c>
      <c r="AI12" s="15">
        <v>104.94355899999999</v>
      </c>
      <c r="AJ12" s="15">
        <v>110.83754500000001</v>
      </c>
      <c r="AK12" s="15">
        <v>94.867732000000004</v>
      </c>
      <c r="AL12" s="15">
        <v>160</v>
      </c>
      <c r="AM12" s="15">
        <v>47.491526</v>
      </c>
      <c r="AN12" s="15">
        <v>32.774438000000004</v>
      </c>
      <c r="AO12" s="15">
        <v>13.420595</v>
      </c>
      <c r="AQ12" s="1" t="str">
        <f t="shared" si="0"/>
        <v>NE_B-NGin</v>
      </c>
      <c r="AR12" s="1">
        <f t="shared" si="1"/>
        <v>0</v>
      </c>
      <c r="AS12" s="11">
        <f t="shared" si="2"/>
        <v>913.49039961400092</v>
      </c>
      <c r="AT12" s="11">
        <f t="shared" si="3"/>
        <v>913.49039961400103</v>
      </c>
      <c r="AU12" s="5">
        <f t="shared" si="4"/>
        <v>0</v>
      </c>
      <c r="AV12" s="5">
        <f t="shared" si="5"/>
        <v>0</v>
      </c>
      <c r="AW12" s="1">
        <f t="shared" si="6"/>
        <v>10.920262657086443</v>
      </c>
      <c r="AX12" s="1">
        <f t="shared" si="7"/>
        <v>18.531735117371955</v>
      </c>
      <c r="AY12" s="1">
        <f t="shared" si="8"/>
        <v>0</v>
      </c>
      <c r="AZ12" s="1">
        <f t="shared" si="9"/>
        <v>731.56501329210482</v>
      </c>
      <c r="BA12" s="1">
        <f t="shared" si="10"/>
        <v>22.077868981399725</v>
      </c>
      <c r="BB12" s="1">
        <f t="shared" si="11"/>
        <v>62.184844418683866</v>
      </c>
      <c r="BC12" s="1">
        <f t="shared" si="12"/>
        <v>11.843234411429817</v>
      </c>
      <c r="BD12" s="1">
        <f t="shared" si="13"/>
        <v>26.201549810398898</v>
      </c>
      <c r="BE12" s="1">
        <f t="shared" si="14"/>
        <v>11.386217261862534</v>
      </c>
      <c r="BF12" s="1">
        <f t="shared" si="15"/>
        <v>116.84791455349433</v>
      </c>
      <c r="BG12" s="1">
        <f t="shared" si="16"/>
        <v>1.5613297332705607</v>
      </c>
      <c r="BH12" s="1">
        <f t="shared" si="17"/>
        <v>-115.58727210015257</v>
      </c>
      <c r="BI12" s="1">
        <f t="shared" si="18"/>
        <v>1.1482317150108554</v>
      </c>
      <c r="BJ12" s="1">
        <f t="shared" si="19"/>
        <v>-116.8326221322906</v>
      </c>
      <c r="BK12" s="1">
        <f t="shared" si="20"/>
        <v>132.79032360934116</v>
      </c>
      <c r="BL12" s="1">
        <f t="shared" si="21"/>
        <v>-1.1863481343363023</v>
      </c>
      <c r="BM12" s="1">
        <f t="shared" si="22"/>
        <v>153.15610020823911</v>
      </c>
      <c r="BN12" s="1">
        <f t="shared" si="23"/>
        <v>-137.19839873118849</v>
      </c>
      <c r="BP12" s="1" t="str">
        <f t="shared" si="24"/>
        <v>Drymill CCS Fermentation Exhaust</v>
      </c>
      <c r="BQ12" s="1">
        <f t="shared" si="25"/>
        <v>0</v>
      </c>
      <c r="BR12" s="1">
        <f t="shared" si="26"/>
        <v>18.531735117371955</v>
      </c>
      <c r="BS12" s="1">
        <f t="array" ref="BS12">_xlfn.IFS(S12="Biomass_Corn", 1/V12/H12*AL12, S12="Biomass_Agri", 1/V12/H12*AK12, S12="Biomass_Wood", 1/V12/H12*AJ12, S12="Biomass_Herb", 1/V12/H12*AI12)</f>
        <v>731.56501329210482</v>
      </c>
      <c r="BT12" s="1">
        <f t="shared" si="27"/>
        <v>62.184844418683866</v>
      </c>
      <c r="BU12" s="1">
        <f t="shared" si="28"/>
        <v>26.201549810398898</v>
      </c>
      <c r="BV12" s="1">
        <f t="shared" si="29"/>
        <v>116.84791455349433</v>
      </c>
      <c r="BW12" s="1">
        <f t="shared" si="30"/>
        <v>-115.58727210015257</v>
      </c>
      <c r="BY12" s="9">
        <f t="shared" si="31"/>
        <v>3.1428571428571428</v>
      </c>
      <c r="BZ12" s="18">
        <f t="shared" si="32"/>
        <v>1.7588666580000001</v>
      </c>
      <c r="CA12" s="10">
        <v>0.1828908353</v>
      </c>
      <c r="CB12" s="9">
        <v>0.23037490999999999</v>
      </c>
      <c r="CD12" s="10">
        <f t="shared" si="33"/>
        <v>8.0420331877425628</v>
      </c>
      <c r="CE12" s="10">
        <f t="shared" si="34"/>
        <v>0.84743173747018186</v>
      </c>
      <c r="CF12" s="10">
        <f t="shared" si="35"/>
        <v>3.2699199707502675</v>
      </c>
      <c r="CG12" s="10">
        <f t="shared" si="36"/>
        <v>0.300868918229941</v>
      </c>
      <c r="CI12" s="18">
        <f t="shared" si="37"/>
        <v>3.2849650798161911</v>
      </c>
      <c r="CJ12" s="18">
        <f t="shared" si="38"/>
        <v>2.3345798493471581</v>
      </c>
      <c r="CK12" s="10">
        <f t="shared" si="39"/>
        <v>3.1428571428571428</v>
      </c>
      <c r="CL12" s="10">
        <f t="shared" si="40"/>
        <v>0.4278628307329263</v>
      </c>
      <c r="CN12" s="1">
        <f t="shared" si="41"/>
        <v>6.8940689265772903E-5</v>
      </c>
    </row>
    <row r="13" spans="2:108" x14ac:dyDescent="0.2">
      <c r="B13" s="24" t="s">
        <v>104</v>
      </c>
      <c r="C13" s="24"/>
      <c r="D13" s="24">
        <v>6</v>
      </c>
      <c r="E13" s="24"/>
      <c r="F13" s="24">
        <v>0.1158706123669586</v>
      </c>
      <c r="G13" s="24">
        <v>1.6199999999999999E-2</v>
      </c>
      <c r="H13" s="24">
        <v>7.0452767058742899E-2</v>
      </c>
      <c r="I13" s="24">
        <v>0</v>
      </c>
      <c r="J13" s="24">
        <v>0</v>
      </c>
      <c r="K13" s="24">
        <v>0</v>
      </c>
      <c r="L13" s="24">
        <v>8.9519280166729005E-3</v>
      </c>
      <c r="M13" s="24">
        <v>0</v>
      </c>
      <c r="N13" s="24">
        <v>6578.32</v>
      </c>
      <c r="O13" s="24">
        <v>6324.47</v>
      </c>
      <c r="P13" s="24">
        <v>0.11</v>
      </c>
      <c r="R13" s="18" t="str">
        <f t="array" ref="R13:AE13">_xlfn.XLOOKUP(D13, CP:CP, CQ:DD)</f>
        <v>Drymill CCS Fermentation Exhaust</v>
      </c>
      <c r="S13" s="18" t="str">
        <v>Biomass_Corn</v>
      </c>
      <c r="T13" s="18">
        <v>0</v>
      </c>
      <c r="U13" s="18">
        <v>8.5342824999999997E-2</v>
      </c>
      <c r="V13" s="18">
        <v>3.1043379949999999</v>
      </c>
      <c r="W13" s="18">
        <v>1.013397519</v>
      </c>
      <c r="X13" s="18">
        <v>1.7588666580000001</v>
      </c>
      <c r="Y13" s="18">
        <v>0.35768767200000001</v>
      </c>
      <c r="Z13" s="18">
        <v>0.68601739399999995</v>
      </c>
      <c r="AA13" s="18">
        <v>0.15290642300000001</v>
      </c>
      <c r="AB13" s="18">
        <v>3.2434695999999999E-2</v>
      </c>
      <c r="AC13" s="18">
        <v>45179.42</v>
      </c>
      <c r="AD13" s="18">
        <v>201481.25</v>
      </c>
      <c r="AE13" s="18">
        <v>-25.28</v>
      </c>
      <c r="AG13" s="15">
        <v>115.647671</v>
      </c>
      <c r="AH13" s="15">
        <v>-10.809246999999999</v>
      </c>
      <c r="AI13" s="15">
        <v>142.23325</v>
      </c>
      <c r="AJ13" s="15">
        <v>164.86411100000001</v>
      </c>
      <c r="AK13" s="15">
        <v>143.07368600000001</v>
      </c>
      <c r="AL13" s="15">
        <v>160</v>
      </c>
      <c r="AM13" s="15">
        <v>36.626545999999998</v>
      </c>
      <c r="AN13" s="15">
        <v>29.562591000000001</v>
      </c>
      <c r="AO13" s="15">
        <v>13.614224</v>
      </c>
      <c r="AQ13" s="1" t="str">
        <f t="shared" si="0"/>
        <v>CA_B-H2in</v>
      </c>
      <c r="AR13" s="1">
        <f t="shared" si="1"/>
        <v>0</v>
      </c>
      <c r="AS13" s="11">
        <f t="shared" si="2"/>
        <v>771.48421414118548</v>
      </c>
      <c r="AT13" s="11">
        <f t="shared" si="3"/>
        <v>771.48421414118548</v>
      </c>
      <c r="AU13" s="5">
        <f t="shared" si="4"/>
        <v>0</v>
      </c>
      <c r="AV13" s="5">
        <f t="shared" si="5"/>
        <v>48.620312094595818</v>
      </c>
      <c r="AW13" s="1">
        <f t="shared" si="6"/>
        <v>8.4219551618926456</v>
      </c>
      <c r="AX13" s="1">
        <f t="shared" si="7"/>
        <v>14.292095999110224</v>
      </c>
      <c r="AY13" s="1">
        <f t="shared" si="8"/>
        <v>0</v>
      </c>
      <c r="AZ13" s="1">
        <f t="shared" si="9"/>
        <v>731.56501329210482</v>
      </c>
      <c r="BA13" s="1">
        <f t="shared" si="10"/>
        <v>0</v>
      </c>
      <c r="BB13" s="1">
        <f t="shared" si="11"/>
        <v>63.082031856345552</v>
      </c>
      <c r="BC13" s="1">
        <f t="shared" si="12"/>
        <v>11.843234411429817</v>
      </c>
      <c r="BD13" s="1">
        <f t="shared" si="13"/>
        <v>26.201549810398898</v>
      </c>
      <c r="BE13" s="1">
        <f t="shared" si="14"/>
        <v>11.386217261862534</v>
      </c>
      <c r="BF13" s="1">
        <f t="shared" si="15"/>
        <v>116.84791455349433</v>
      </c>
      <c r="BG13" s="1">
        <f t="shared" si="16"/>
        <v>1.5613297332705607</v>
      </c>
      <c r="BH13" s="1">
        <f t="shared" si="17"/>
        <v>-115.58727210015257</v>
      </c>
      <c r="BI13" s="1">
        <f t="shared" si="18"/>
        <v>0.8474317150281947</v>
      </c>
      <c r="BJ13" s="1">
        <f t="shared" si="19"/>
        <v>-244.7536721077135</v>
      </c>
      <c r="BK13" s="1">
        <f t="shared" si="20"/>
        <v>98.003504174546421</v>
      </c>
      <c r="BL13" s="1">
        <f t="shared" si="21"/>
        <v>-1.4871481343189639</v>
      </c>
      <c r="BM13" s="1">
        <f t="shared" si="22"/>
        <v>25.235050232816217</v>
      </c>
      <c r="BN13" s="1">
        <f t="shared" si="23"/>
        <v>-171.98521816598335</v>
      </c>
      <c r="BP13" s="1" t="str">
        <f t="shared" si="24"/>
        <v>Drymill CCS Fermentation Exhaust</v>
      </c>
      <c r="BQ13" s="1">
        <f t="shared" si="25"/>
        <v>0</v>
      </c>
      <c r="BR13" s="1">
        <f t="shared" si="26"/>
        <v>14.292095999110224</v>
      </c>
      <c r="BS13" s="1">
        <f t="array" ref="BS13">_xlfn.IFS(S13="Biomass_Corn", 1/V13/H13*AL13, S13="Biomass_Agri", 1/V13/H13*AK13, S13="Biomass_Wood", 1/V13/H13*AJ13, S13="Biomass_Herb", 1/V13/H13*AI13)</f>
        <v>731.56501329210482</v>
      </c>
      <c r="BT13" s="1">
        <f t="shared" si="27"/>
        <v>63.082031856345552</v>
      </c>
      <c r="BU13" s="1">
        <f t="shared" si="28"/>
        <v>26.201549810398898</v>
      </c>
      <c r="BV13" s="1">
        <f t="shared" si="29"/>
        <v>116.84791455349433</v>
      </c>
      <c r="BW13" s="1">
        <f t="shared" si="30"/>
        <v>-115.58727210015257</v>
      </c>
      <c r="BY13" s="9">
        <f t="shared" si="31"/>
        <v>3.1428571428571428</v>
      </c>
      <c r="BZ13" s="18">
        <f t="shared" si="32"/>
        <v>1.7588666580000001</v>
      </c>
      <c r="CA13" s="10">
        <v>0.1828908353</v>
      </c>
      <c r="CB13" s="9">
        <v>0.23037490999999999</v>
      </c>
      <c r="CD13" s="10">
        <f t="shared" si="33"/>
        <v>8.0420331877425628</v>
      </c>
      <c r="CE13" s="10">
        <f t="shared" si="34"/>
        <v>0.84743173747018186</v>
      </c>
      <c r="CF13" s="10">
        <f t="shared" si="35"/>
        <v>3.2699199707502675</v>
      </c>
      <c r="CG13" s="10">
        <f t="shared" si="36"/>
        <v>0</v>
      </c>
      <c r="CI13" s="18">
        <f t="shared" si="37"/>
        <v>3.2849650798161911</v>
      </c>
      <c r="CJ13" s="18">
        <f t="shared" si="38"/>
        <v>2.3345798493471581</v>
      </c>
      <c r="CK13" s="10">
        <f t="shared" si="39"/>
        <v>3.1428571428571428</v>
      </c>
      <c r="CL13" s="10">
        <f t="shared" si="40"/>
        <v>0.12706283075026509</v>
      </c>
      <c r="CN13" s="1">
        <f t="shared" si="41"/>
        <v>2.2441986047283535E-8</v>
      </c>
    </row>
    <row r="14" spans="2:108" x14ac:dyDescent="0.2">
      <c r="B14" s="24" t="s">
        <v>105</v>
      </c>
      <c r="C14" s="24"/>
      <c r="D14" s="24">
        <v>6</v>
      </c>
      <c r="E14" s="24"/>
      <c r="F14" s="24">
        <v>0.1158706123669586</v>
      </c>
      <c r="G14" s="24">
        <v>1.6199999999999999E-2</v>
      </c>
      <c r="H14" s="24">
        <v>7.0452767058742899E-2</v>
      </c>
      <c r="I14" s="24">
        <v>0</v>
      </c>
      <c r="J14" s="24">
        <v>0</v>
      </c>
      <c r="K14" s="24">
        <v>0</v>
      </c>
      <c r="L14" s="24">
        <v>8.9519280166729005E-3</v>
      </c>
      <c r="M14" s="24">
        <v>0</v>
      </c>
      <c r="N14" s="24">
        <v>6578.32</v>
      </c>
      <c r="O14" s="24">
        <v>6324.47</v>
      </c>
      <c r="P14" s="24">
        <v>0.11</v>
      </c>
      <c r="R14" s="18" t="str">
        <f t="array" ref="R14:AE14">_xlfn.XLOOKUP(D14, CP:CP, CQ:DD)</f>
        <v>Drymill CCS Fermentation Exhaust</v>
      </c>
      <c r="S14" s="18" t="str">
        <v>Biomass_Corn</v>
      </c>
      <c r="T14" s="18">
        <v>0</v>
      </c>
      <c r="U14" s="18">
        <v>8.5342824999999997E-2</v>
      </c>
      <c r="V14" s="18">
        <v>3.1043379949999999</v>
      </c>
      <c r="W14" s="18">
        <v>1.013397519</v>
      </c>
      <c r="X14" s="18">
        <v>1.7588666580000001</v>
      </c>
      <c r="Y14" s="18">
        <v>0.35768767200000001</v>
      </c>
      <c r="Z14" s="18">
        <v>0.68601739399999995</v>
      </c>
      <c r="AA14" s="18">
        <v>0.15290642300000001</v>
      </c>
      <c r="AB14" s="18">
        <v>3.2434695999999999E-2</v>
      </c>
      <c r="AC14" s="18">
        <v>45179.42</v>
      </c>
      <c r="AD14" s="18">
        <v>201481.25</v>
      </c>
      <c r="AE14" s="18">
        <v>-25.28</v>
      </c>
      <c r="AG14" s="15">
        <v>115.647671</v>
      </c>
      <c r="AH14" s="15">
        <v>-9</v>
      </c>
      <c r="AI14" s="15">
        <v>147.18870799999999</v>
      </c>
      <c r="AJ14" s="15">
        <v>166.14730700000001</v>
      </c>
      <c r="AK14" s="15">
        <v>127.85122200000001</v>
      </c>
      <c r="AL14" s="15">
        <v>160</v>
      </c>
      <c r="AM14" s="15">
        <v>26.781399</v>
      </c>
      <c r="AN14" s="15">
        <v>27.646605999999998</v>
      </c>
      <c r="AO14" s="15">
        <v>13.614224</v>
      </c>
      <c r="AQ14" s="1" t="str">
        <f t="shared" si="0"/>
        <v>NW_B-H2in</v>
      </c>
      <c r="AR14" s="1">
        <f t="shared" si="1"/>
        <v>0</v>
      </c>
      <c r="AS14" s="11">
        <f t="shared" si="2"/>
        <v>758.00375063556282</v>
      </c>
      <c r="AT14" s="11">
        <f t="shared" si="3"/>
        <v>758.00375063556271</v>
      </c>
      <c r="AU14" s="5">
        <f t="shared" si="4"/>
        <v>0</v>
      </c>
      <c r="AV14" s="5">
        <f t="shared" si="5"/>
        <v>45.469174609097195</v>
      </c>
      <c r="AW14" s="1">
        <f t="shared" si="6"/>
        <v>6.1581493802543266</v>
      </c>
      <c r="AX14" s="1">
        <f t="shared" si="7"/>
        <v>10.450407349316384</v>
      </c>
      <c r="AY14" s="1">
        <f t="shared" si="8"/>
        <v>0</v>
      </c>
      <c r="AZ14" s="1">
        <f t="shared" si="9"/>
        <v>731.56501329210482</v>
      </c>
      <c r="BA14" s="1">
        <f t="shared" si="10"/>
        <v>0</v>
      </c>
      <c r="BB14" s="1">
        <f t="shared" si="11"/>
        <v>63.082031856345552</v>
      </c>
      <c r="BC14" s="1">
        <f t="shared" si="12"/>
        <v>11.843234411429817</v>
      </c>
      <c r="BD14" s="1">
        <f t="shared" si="13"/>
        <v>26.201549810398898</v>
      </c>
      <c r="BE14" s="1">
        <f t="shared" si="14"/>
        <v>11.386217261862534</v>
      </c>
      <c r="BF14" s="1">
        <f t="shared" si="15"/>
        <v>116.84791455349433</v>
      </c>
      <c r="BG14" s="1">
        <f t="shared" si="16"/>
        <v>1.5613297332705607</v>
      </c>
      <c r="BH14" s="1">
        <f t="shared" si="17"/>
        <v>-115.58727210015257</v>
      </c>
      <c r="BI14" s="1">
        <f t="shared" si="18"/>
        <v>0.8474317150281947</v>
      </c>
      <c r="BJ14" s="1">
        <f t="shared" si="19"/>
        <v>-248.97750369640528</v>
      </c>
      <c r="BK14" s="1">
        <f t="shared" si="20"/>
        <v>98.003504174546421</v>
      </c>
      <c r="BL14" s="1">
        <f t="shared" si="21"/>
        <v>-1.4871481343189639</v>
      </c>
      <c r="BM14" s="1">
        <f t="shared" si="22"/>
        <v>21.011218644124423</v>
      </c>
      <c r="BN14" s="1">
        <f t="shared" si="23"/>
        <v>-171.98521816598335</v>
      </c>
      <c r="BP14" s="1" t="str">
        <f t="shared" si="24"/>
        <v>Drymill CCS Fermentation Exhaust</v>
      </c>
      <c r="BQ14" s="1">
        <f t="shared" si="25"/>
        <v>0</v>
      </c>
      <c r="BR14" s="1">
        <f t="shared" si="26"/>
        <v>10.450407349316384</v>
      </c>
      <c r="BS14" s="1">
        <f t="array" ref="BS14">_xlfn.IFS(S14="Biomass_Corn", 1/V14/H14*AL14, S14="Biomass_Agri", 1/V14/H14*AK14, S14="Biomass_Wood", 1/V14/H14*AJ14, S14="Biomass_Herb", 1/V14/H14*AI14)</f>
        <v>731.56501329210482</v>
      </c>
      <c r="BT14" s="1">
        <f t="shared" si="27"/>
        <v>63.082031856345552</v>
      </c>
      <c r="BU14" s="1">
        <f t="shared" si="28"/>
        <v>26.201549810398898</v>
      </c>
      <c r="BV14" s="1">
        <f t="shared" si="29"/>
        <v>116.84791455349433</v>
      </c>
      <c r="BW14" s="1">
        <f t="shared" si="30"/>
        <v>-115.58727210015257</v>
      </c>
      <c r="BY14" s="9">
        <f t="shared" si="31"/>
        <v>3.1428571428571428</v>
      </c>
      <c r="BZ14" s="18">
        <f t="shared" si="32"/>
        <v>1.7588666580000001</v>
      </c>
      <c r="CA14" s="10">
        <v>0.1828908353</v>
      </c>
      <c r="CB14" s="9">
        <v>0.23037490999999999</v>
      </c>
      <c r="CD14" s="10">
        <f t="shared" si="33"/>
        <v>8.0420331877425628</v>
      </c>
      <c r="CE14" s="10">
        <f t="shared" si="34"/>
        <v>0.84743173747018186</v>
      </c>
      <c r="CF14" s="10">
        <f t="shared" si="35"/>
        <v>3.2699199707502675</v>
      </c>
      <c r="CG14" s="10">
        <f t="shared" si="36"/>
        <v>0</v>
      </c>
      <c r="CI14" s="18">
        <f t="shared" si="37"/>
        <v>3.2849650798161911</v>
      </c>
      <c r="CJ14" s="18">
        <f t="shared" si="38"/>
        <v>2.3345798493471581</v>
      </c>
      <c r="CK14" s="10">
        <f t="shared" si="39"/>
        <v>3.1428571428571428</v>
      </c>
      <c r="CL14" s="10">
        <f t="shared" si="40"/>
        <v>0.12706283075026509</v>
      </c>
      <c r="CN14" s="1">
        <f t="shared" si="41"/>
        <v>2.2441986047283535E-8</v>
      </c>
    </row>
    <row r="15" spans="2:108" x14ac:dyDescent="0.2">
      <c r="B15" s="24" t="s">
        <v>106</v>
      </c>
      <c r="C15" s="24"/>
      <c r="D15" s="24">
        <v>6</v>
      </c>
      <c r="E15" s="24"/>
      <c r="F15" s="24">
        <v>0.1158706123669586</v>
      </c>
      <c r="G15" s="24">
        <v>1.6199999999999999E-2</v>
      </c>
      <c r="H15" s="24">
        <v>7.0452767058742899E-2</v>
      </c>
      <c r="I15" s="24">
        <v>0</v>
      </c>
      <c r="J15" s="24">
        <v>0</v>
      </c>
      <c r="K15" s="24">
        <v>0</v>
      </c>
      <c r="L15" s="24">
        <v>8.9519280166729005E-3</v>
      </c>
      <c r="M15" s="24">
        <v>0</v>
      </c>
      <c r="N15" s="24">
        <v>6578.32</v>
      </c>
      <c r="O15" s="24">
        <v>6324.47</v>
      </c>
      <c r="P15" s="24">
        <v>0.11</v>
      </c>
      <c r="R15" s="18" t="str">
        <f t="array" ref="R15:AE15">_xlfn.XLOOKUP(D15, CP:CP, CQ:DD)</f>
        <v>Drymill CCS Fermentation Exhaust</v>
      </c>
      <c r="S15" s="18" t="str">
        <v>Biomass_Corn</v>
      </c>
      <c r="T15" s="18">
        <v>0</v>
      </c>
      <c r="U15" s="18">
        <v>8.5342824999999997E-2</v>
      </c>
      <c r="V15" s="18">
        <v>3.1043379949999999</v>
      </c>
      <c r="W15" s="18">
        <v>1.013397519</v>
      </c>
      <c r="X15" s="18">
        <v>1.7588666580000001</v>
      </c>
      <c r="Y15" s="18">
        <v>0.35768767200000001</v>
      </c>
      <c r="Z15" s="18">
        <v>0.68601739399999995</v>
      </c>
      <c r="AA15" s="18">
        <v>0.15290642300000001</v>
      </c>
      <c r="AB15" s="18">
        <v>3.2434695999999999E-2</v>
      </c>
      <c r="AC15" s="18">
        <v>45179.42</v>
      </c>
      <c r="AD15" s="18">
        <v>201481.25</v>
      </c>
      <c r="AE15" s="18">
        <v>-25.28</v>
      </c>
      <c r="AG15" s="15">
        <v>115.647671</v>
      </c>
      <c r="AH15" s="15">
        <v>-20.917114999999999</v>
      </c>
      <c r="AI15" s="15">
        <v>128.655351</v>
      </c>
      <c r="AJ15" s="15">
        <v>146.173159</v>
      </c>
      <c r="AK15" s="15">
        <v>117.017945</v>
      </c>
      <c r="AL15" s="15">
        <v>160</v>
      </c>
      <c r="AM15" s="15">
        <v>28.069365999999999</v>
      </c>
      <c r="AN15" s="15">
        <v>26.265581000000001</v>
      </c>
      <c r="AO15" s="15">
        <v>13.614224</v>
      </c>
      <c r="AQ15" s="1" t="str">
        <f t="shared" si="0"/>
        <v>SW_B-H2in</v>
      </c>
      <c r="AR15" s="1">
        <f t="shared" si="1"/>
        <v>0</v>
      </c>
      <c r="AS15" s="11">
        <f t="shared" si="2"/>
        <v>784.35263142117799</v>
      </c>
      <c r="AT15" s="11">
        <f t="shared" si="3"/>
        <v>784.35263142117799</v>
      </c>
      <c r="AU15" s="5">
        <f t="shared" si="4"/>
        <v>0</v>
      </c>
      <c r="AV15" s="5">
        <f t="shared" si="5"/>
        <v>43.197862648977086</v>
      </c>
      <c r="AW15" s="1">
        <f t="shared" si="6"/>
        <v>6.4543061711239149</v>
      </c>
      <c r="AX15" s="1">
        <f t="shared" si="7"/>
        <v>10.952986762829358</v>
      </c>
      <c r="AY15" s="1">
        <f t="shared" si="8"/>
        <v>0</v>
      </c>
      <c r="AZ15" s="1">
        <f t="shared" si="9"/>
        <v>731.56501329210482</v>
      </c>
      <c r="BA15" s="1">
        <f t="shared" si="10"/>
        <v>0</v>
      </c>
      <c r="BB15" s="1">
        <f t="shared" si="11"/>
        <v>63.082031856345552</v>
      </c>
      <c r="BC15" s="1">
        <f t="shared" si="12"/>
        <v>11.843234411429817</v>
      </c>
      <c r="BD15" s="1">
        <f t="shared" si="13"/>
        <v>26.201549810398898</v>
      </c>
      <c r="BE15" s="1">
        <f t="shared" si="14"/>
        <v>11.386217261862534</v>
      </c>
      <c r="BF15" s="1">
        <f t="shared" si="15"/>
        <v>116.84791455349433</v>
      </c>
      <c r="BG15" s="1">
        <f t="shared" si="16"/>
        <v>1.5613297332705607</v>
      </c>
      <c r="BH15" s="1">
        <f t="shared" si="17"/>
        <v>-115.58727210015257</v>
      </c>
      <c r="BI15" s="1">
        <f t="shared" si="18"/>
        <v>0.8474317150281947</v>
      </c>
      <c r="BJ15" s="1">
        <f t="shared" si="19"/>
        <v>-221.15604715505253</v>
      </c>
      <c r="BK15" s="1">
        <f t="shared" si="20"/>
        <v>98.003504174546421</v>
      </c>
      <c r="BL15" s="1">
        <f t="shared" si="21"/>
        <v>-1.4871481343189639</v>
      </c>
      <c r="BM15" s="1">
        <f t="shared" si="22"/>
        <v>48.832675185477179</v>
      </c>
      <c r="BN15" s="1">
        <f t="shared" si="23"/>
        <v>-171.98521816598335</v>
      </c>
      <c r="BP15" s="1" t="str">
        <f t="shared" si="24"/>
        <v>Drymill CCS Fermentation Exhaust</v>
      </c>
      <c r="BQ15" s="1">
        <f t="shared" si="25"/>
        <v>0</v>
      </c>
      <c r="BR15" s="1">
        <f t="shared" si="26"/>
        <v>10.952986762829358</v>
      </c>
      <c r="BS15" s="1">
        <f t="array" ref="BS15">_xlfn.IFS(S15="Biomass_Corn", 1/V15/H15*AL15, S15="Biomass_Agri", 1/V15/H15*AK15, S15="Biomass_Wood", 1/V15/H15*AJ15, S15="Biomass_Herb", 1/V15/H15*AI15)</f>
        <v>731.56501329210482</v>
      </c>
      <c r="BT15" s="1">
        <f t="shared" si="27"/>
        <v>63.082031856345552</v>
      </c>
      <c r="BU15" s="1">
        <f t="shared" si="28"/>
        <v>26.201549810398898</v>
      </c>
      <c r="BV15" s="1">
        <f t="shared" si="29"/>
        <v>116.84791455349433</v>
      </c>
      <c r="BW15" s="1">
        <f t="shared" si="30"/>
        <v>-115.58727210015257</v>
      </c>
      <c r="BY15" s="9">
        <f t="shared" si="31"/>
        <v>3.1428571428571428</v>
      </c>
      <c r="BZ15" s="18">
        <f t="shared" si="32"/>
        <v>1.7588666580000001</v>
      </c>
      <c r="CA15" s="10">
        <v>0.1828908353</v>
      </c>
      <c r="CB15" s="9">
        <v>0.23037490999999999</v>
      </c>
      <c r="CD15" s="10">
        <f t="shared" si="33"/>
        <v>8.0420331877425628</v>
      </c>
      <c r="CE15" s="10">
        <f t="shared" si="34"/>
        <v>0.84743173747018186</v>
      </c>
      <c r="CF15" s="10">
        <f t="shared" si="35"/>
        <v>3.2699199707502675</v>
      </c>
      <c r="CG15" s="10">
        <f t="shared" si="36"/>
        <v>0</v>
      </c>
      <c r="CI15" s="18">
        <f t="shared" si="37"/>
        <v>3.2849650798161911</v>
      </c>
      <c r="CJ15" s="18">
        <f t="shared" si="38"/>
        <v>2.3345798493471581</v>
      </c>
      <c r="CK15" s="10">
        <f t="shared" si="39"/>
        <v>3.1428571428571428</v>
      </c>
      <c r="CL15" s="10">
        <f t="shared" si="40"/>
        <v>0.12706283075026509</v>
      </c>
      <c r="CN15" s="1">
        <f t="shared" si="41"/>
        <v>2.2441986047283535E-8</v>
      </c>
    </row>
    <row r="16" spans="2:108" x14ac:dyDescent="0.2">
      <c r="B16" s="24" t="s">
        <v>107</v>
      </c>
      <c r="C16" s="24"/>
      <c r="D16" s="24">
        <v>6</v>
      </c>
      <c r="E16" s="24"/>
      <c r="F16" s="24">
        <v>0.1158706123669586</v>
      </c>
      <c r="G16" s="24">
        <v>1.6199999999999999E-2</v>
      </c>
      <c r="H16" s="24">
        <v>7.0452767058742899E-2</v>
      </c>
      <c r="I16" s="24">
        <v>0</v>
      </c>
      <c r="J16" s="24">
        <v>0</v>
      </c>
      <c r="K16" s="24">
        <v>0</v>
      </c>
      <c r="L16" s="24">
        <v>8.9519280166729005E-3</v>
      </c>
      <c r="M16" s="24">
        <v>0</v>
      </c>
      <c r="N16" s="24">
        <v>6578.32</v>
      </c>
      <c r="O16" s="24">
        <v>6324.47</v>
      </c>
      <c r="P16" s="24">
        <v>0.11</v>
      </c>
      <c r="R16" s="18" t="str">
        <f t="array" ref="R16:AE16">_xlfn.XLOOKUP(D16, CP:CP, CQ:DD)</f>
        <v>Drymill CCS Fermentation Exhaust</v>
      </c>
      <c r="S16" s="18" t="str">
        <v>Biomass_Corn</v>
      </c>
      <c r="T16" s="18">
        <v>0</v>
      </c>
      <c r="U16" s="18">
        <v>8.5342824999999997E-2</v>
      </c>
      <c r="V16" s="18">
        <v>3.1043379949999999</v>
      </c>
      <c r="W16" s="18">
        <v>1.013397519</v>
      </c>
      <c r="X16" s="18">
        <v>1.7588666580000001</v>
      </c>
      <c r="Y16" s="18">
        <v>0.35768767200000001</v>
      </c>
      <c r="Z16" s="18">
        <v>0.68601739399999995</v>
      </c>
      <c r="AA16" s="18">
        <v>0.15290642300000001</v>
      </c>
      <c r="AB16" s="18">
        <v>3.2434695999999999E-2</v>
      </c>
      <c r="AC16" s="18">
        <v>45179.42</v>
      </c>
      <c r="AD16" s="18">
        <v>201481.25</v>
      </c>
      <c r="AE16" s="18">
        <v>-25.28</v>
      </c>
      <c r="AG16" s="15">
        <v>115.647671</v>
      </c>
      <c r="AH16" s="15">
        <v>-25.816296000000001</v>
      </c>
      <c r="AI16" s="15">
        <v>143.895802</v>
      </c>
      <c r="AJ16" s="15">
        <v>164.13046700000001</v>
      </c>
      <c r="AK16" s="15">
        <v>116.883005</v>
      </c>
      <c r="AL16" s="15">
        <v>160</v>
      </c>
      <c r="AM16" s="15">
        <v>20.196279000000001</v>
      </c>
      <c r="AN16" s="15">
        <v>19.066547</v>
      </c>
      <c r="AO16" s="15">
        <v>13.326110999999999</v>
      </c>
      <c r="AQ16" s="1" t="str">
        <f t="shared" si="0"/>
        <v>TX_B-H2in</v>
      </c>
      <c r="AR16" s="1">
        <f t="shared" si="1"/>
        <v>0</v>
      </c>
      <c r="AS16" s="11">
        <f t="shared" si="2"/>
        <v>777.73272266272443</v>
      </c>
      <c r="AT16" s="11">
        <f t="shared" si="3"/>
        <v>777.73272266272443</v>
      </c>
      <c r="AU16" s="5">
        <f t="shared" si="4"/>
        <v>0</v>
      </c>
      <c r="AV16" s="5">
        <f t="shared" si="5"/>
        <v>31.357923454892013</v>
      </c>
      <c r="AW16" s="1">
        <f t="shared" si="6"/>
        <v>4.6439584058806433</v>
      </c>
      <c r="AX16" s="1">
        <f t="shared" si="7"/>
        <v>7.8808184176802767</v>
      </c>
      <c r="AY16" s="1">
        <f t="shared" si="8"/>
        <v>0</v>
      </c>
      <c r="AZ16" s="1">
        <f t="shared" si="9"/>
        <v>731.56501329210482</v>
      </c>
      <c r="BA16" s="1">
        <f t="shared" si="10"/>
        <v>0</v>
      </c>
      <c r="BB16" s="1">
        <f t="shared" si="11"/>
        <v>61.747049161465014</v>
      </c>
      <c r="BC16" s="1">
        <f t="shared" si="12"/>
        <v>11.843234411429817</v>
      </c>
      <c r="BD16" s="1">
        <f t="shared" si="13"/>
        <v>26.201549810398898</v>
      </c>
      <c r="BE16" s="1">
        <f t="shared" si="14"/>
        <v>11.386217261862534</v>
      </c>
      <c r="BF16" s="1">
        <f t="shared" si="15"/>
        <v>116.84791455349433</v>
      </c>
      <c r="BG16" s="1">
        <f t="shared" si="16"/>
        <v>1.5613297332705607</v>
      </c>
      <c r="BH16" s="1">
        <f t="shared" si="17"/>
        <v>-115.58727210015257</v>
      </c>
      <c r="BI16" s="1">
        <f t="shared" si="18"/>
        <v>0.8474317150281947</v>
      </c>
      <c r="BJ16" s="1">
        <f t="shared" si="19"/>
        <v>-209.71851791414809</v>
      </c>
      <c r="BK16" s="1">
        <f t="shared" si="20"/>
        <v>98.003504174546421</v>
      </c>
      <c r="BL16" s="1">
        <f t="shared" si="21"/>
        <v>-1.4871481343189639</v>
      </c>
      <c r="BM16" s="1">
        <f t="shared" si="22"/>
        <v>60.270204426381646</v>
      </c>
      <c r="BN16" s="1">
        <f t="shared" si="23"/>
        <v>-171.98521816598335</v>
      </c>
      <c r="BP16" s="1" t="str">
        <f t="shared" si="24"/>
        <v>Drymill CCS Fermentation Exhaust</v>
      </c>
      <c r="BQ16" s="1">
        <f t="shared" si="25"/>
        <v>0</v>
      </c>
      <c r="BR16" s="1">
        <f t="shared" si="26"/>
        <v>7.8808184176802767</v>
      </c>
      <c r="BS16" s="1">
        <f t="array" ref="BS16">_xlfn.IFS(S16="Biomass_Corn", 1/V16/H16*AL16, S16="Biomass_Agri", 1/V16/H16*AK16, S16="Biomass_Wood", 1/V16/H16*AJ16, S16="Biomass_Herb", 1/V16/H16*AI16)</f>
        <v>731.56501329210482</v>
      </c>
      <c r="BT16" s="1">
        <f t="shared" si="27"/>
        <v>61.747049161465014</v>
      </c>
      <c r="BU16" s="1">
        <f t="shared" si="28"/>
        <v>26.201549810398898</v>
      </c>
      <c r="BV16" s="1">
        <f t="shared" si="29"/>
        <v>116.84791455349433</v>
      </c>
      <c r="BW16" s="1">
        <f t="shared" si="30"/>
        <v>-115.58727210015257</v>
      </c>
      <c r="BY16" s="9">
        <f t="shared" si="31"/>
        <v>3.1428571428571428</v>
      </c>
      <c r="BZ16" s="18">
        <f t="shared" si="32"/>
        <v>1.7588666580000001</v>
      </c>
      <c r="CA16" s="10">
        <v>0.1828908353</v>
      </c>
      <c r="CB16" s="9">
        <v>0.23037490999999999</v>
      </c>
      <c r="CD16" s="10">
        <f t="shared" si="33"/>
        <v>8.0420331877425628</v>
      </c>
      <c r="CE16" s="10">
        <f t="shared" si="34"/>
        <v>0.84743173747018186</v>
      </c>
      <c r="CF16" s="10">
        <f t="shared" si="35"/>
        <v>3.2699199707502675</v>
      </c>
      <c r="CG16" s="10">
        <f t="shared" si="36"/>
        <v>0</v>
      </c>
      <c r="CI16" s="18">
        <f t="shared" si="37"/>
        <v>3.2849650798161911</v>
      </c>
      <c r="CJ16" s="18">
        <f t="shared" si="38"/>
        <v>2.3345798493471581</v>
      </c>
      <c r="CK16" s="10">
        <f t="shared" si="39"/>
        <v>3.1428571428571428</v>
      </c>
      <c r="CL16" s="10">
        <f t="shared" si="40"/>
        <v>0.12706283075026509</v>
      </c>
      <c r="CN16" s="1">
        <f t="shared" si="41"/>
        <v>2.2441986047283535E-8</v>
      </c>
    </row>
    <row r="17" spans="2:92" x14ac:dyDescent="0.2">
      <c r="B17" s="24" t="s">
        <v>108</v>
      </c>
      <c r="C17" s="24"/>
      <c r="D17" s="24">
        <v>6</v>
      </c>
      <c r="E17" s="24"/>
      <c r="F17" s="24">
        <v>0.1158706123669586</v>
      </c>
      <c r="G17" s="24">
        <v>1.6199999999999999E-2</v>
      </c>
      <c r="H17" s="24">
        <v>7.0452767058742899E-2</v>
      </c>
      <c r="I17" s="24">
        <v>0</v>
      </c>
      <c r="J17" s="24">
        <v>0</v>
      </c>
      <c r="K17" s="24">
        <v>0</v>
      </c>
      <c r="L17" s="24">
        <v>8.9519280166729005E-3</v>
      </c>
      <c r="M17" s="24">
        <v>0</v>
      </c>
      <c r="N17" s="24">
        <v>6578.32</v>
      </c>
      <c r="O17" s="24">
        <v>6324.47</v>
      </c>
      <c r="P17" s="24">
        <v>0.11</v>
      </c>
      <c r="R17" s="18" t="str">
        <f t="array" ref="R17:AE17">_xlfn.XLOOKUP(D17, CP:CP, CQ:DD)</f>
        <v>Drymill CCS Fermentation Exhaust</v>
      </c>
      <c r="S17" s="18" t="str">
        <v>Biomass_Corn</v>
      </c>
      <c r="T17" s="18">
        <v>0</v>
      </c>
      <c r="U17" s="18">
        <v>8.5342824999999997E-2</v>
      </c>
      <c r="V17" s="18">
        <v>3.1043379949999999</v>
      </c>
      <c r="W17" s="18">
        <v>1.013397519</v>
      </c>
      <c r="X17" s="18">
        <v>1.7588666580000001</v>
      </c>
      <c r="Y17" s="18">
        <v>0.35768767200000001</v>
      </c>
      <c r="Z17" s="18">
        <v>0.68601739399999995</v>
      </c>
      <c r="AA17" s="18">
        <v>0.15290642300000001</v>
      </c>
      <c r="AB17" s="18">
        <v>3.2434695999999999E-2</v>
      </c>
      <c r="AC17" s="18">
        <v>45179.42</v>
      </c>
      <c r="AD17" s="18">
        <v>201481.25</v>
      </c>
      <c r="AE17" s="18">
        <v>-25.28</v>
      </c>
      <c r="AG17" s="15">
        <v>115.647671</v>
      </c>
      <c r="AH17" s="15">
        <v>-46.038499000000002</v>
      </c>
      <c r="AI17" s="15">
        <v>109.157662</v>
      </c>
      <c r="AJ17" s="15">
        <v>120.698685</v>
      </c>
      <c r="AK17" s="15">
        <v>95.960336999999996</v>
      </c>
      <c r="AL17" s="15">
        <v>160</v>
      </c>
      <c r="AM17" s="15">
        <v>30.833673999999998</v>
      </c>
      <c r="AN17" s="15">
        <v>27.073661000000001</v>
      </c>
      <c r="AO17" s="15">
        <v>13.420595</v>
      </c>
      <c r="AQ17" s="1" t="str">
        <f t="shared" si="0"/>
        <v>NCEN_B-H2in</v>
      </c>
      <c r="AR17" s="1">
        <f t="shared" si="1"/>
        <v>0</v>
      </c>
      <c r="AS17" s="11">
        <f t="shared" si="2"/>
        <v>845.14662806152205</v>
      </c>
      <c r="AT17" s="11">
        <f t="shared" si="3"/>
        <v>845.14662806152205</v>
      </c>
      <c r="AU17" s="5">
        <f t="shared" si="4"/>
        <v>0</v>
      </c>
      <c r="AV17" s="5">
        <f t="shared" si="5"/>
        <v>44.526876800591907</v>
      </c>
      <c r="AW17" s="1">
        <f t="shared" si="6"/>
        <v>7.0899347130470636</v>
      </c>
      <c r="AX17" s="1">
        <f t="shared" si="7"/>
        <v>12.031651273185</v>
      </c>
      <c r="AY17" s="1">
        <f t="shared" si="8"/>
        <v>0</v>
      </c>
      <c r="AZ17" s="1">
        <f t="shared" si="9"/>
        <v>731.56501329210482</v>
      </c>
      <c r="BA17" s="1">
        <f t="shared" si="10"/>
        <v>0</v>
      </c>
      <c r="BB17" s="1">
        <f t="shared" si="11"/>
        <v>62.184844418683866</v>
      </c>
      <c r="BC17" s="1">
        <f t="shared" si="12"/>
        <v>11.843234411429817</v>
      </c>
      <c r="BD17" s="1">
        <f t="shared" si="13"/>
        <v>26.201549810398898</v>
      </c>
      <c r="BE17" s="1">
        <f t="shared" si="14"/>
        <v>11.386217261862534</v>
      </c>
      <c r="BF17" s="1">
        <f t="shared" si="15"/>
        <v>116.84791455349433</v>
      </c>
      <c r="BG17" s="1">
        <f t="shared" si="16"/>
        <v>1.5613297332705607</v>
      </c>
      <c r="BH17" s="1">
        <f t="shared" si="17"/>
        <v>-115.58727210015257</v>
      </c>
      <c r="BI17" s="1">
        <f t="shared" si="18"/>
        <v>0.8474317150281947</v>
      </c>
      <c r="BJ17" s="1">
        <f t="shared" si="19"/>
        <v>-162.50817028094042</v>
      </c>
      <c r="BK17" s="1">
        <f t="shared" si="20"/>
        <v>98.003504174546421</v>
      </c>
      <c r="BL17" s="1">
        <f t="shared" si="21"/>
        <v>-1.4871481343189639</v>
      </c>
      <c r="BM17" s="1">
        <f t="shared" si="22"/>
        <v>107.4805520595893</v>
      </c>
      <c r="BN17" s="1">
        <f t="shared" si="23"/>
        <v>-171.98521816598335</v>
      </c>
      <c r="BP17" s="1" t="str">
        <f t="shared" si="24"/>
        <v>Drymill CCS Fermentation Exhaust</v>
      </c>
      <c r="BQ17" s="1">
        <f t="shared" si="25"/>
        <v>0</v>
      </c>
      <c r="BR17" s="1">
        <f t="shared" si="26"/>
        <v>12.031651273185</v>
      </c>
      <c r="BS17" s="1">
        <f t="array" ref="BS17">_xlfn.IFS(S17="Biomass_Corn", 1/V17/H17*AL17, S17="Biomass_Agri", 1/V17/H17*AK17, S17="Biomass_Wood", 1/V17/H17*AJ17, S17="Biomass_Herb", 1/V17/H17*AI17)</f>
        <v>731.56501329210482</v>
      </c>
      <c r="BT17" s="1">
        <f t="shared" si="27"/>
        <v>62.184844418683866</v>
      </c>
      <c r="BU17" s="1">
        <f t="shared" si="28"/>
        <v>26.201549810398898</v>
      </c>
      <c r="BV17" s="1">
        <f t="shared" si="29"/>
        <v>116.84791455349433</v>
      </c>
      <c r="BW17" s="1">
        <f t="shared" si="30"/>
        <v>-115.58727210015257</v>
      </c>
      <c r="BY17" s="9">
        <f t="shared" si="31"/>
        <v>3.1428571428571428</v>
      </c>
      <c r="BZ17" s="18">
        <f t="shared" si="32"/>
        <v>1.7588666580000001</v>
      </c>
      <c r="CA17" s="10">
        <v>0.1828908353</v>
      </c>
      <c r="CB17" s="9">
        <v>0.23037490999999999</v>
      </c>
      <c r="CD17" s="10">
        <f t="shared" si="33"/>
        <v>8.0420331877425628</v>
      </c>
      <c r="CE17" s="10">
        <f t="shared" si="34"/>
        <v>0.84743173747018186</v>
      </c>
      <c r="CF17" s="10">
        <f t="shared" si="35"/>
        <v>3.2699199707502675</v>
      </c>
      <c r="CG17" s="10">
        <f t="shared" si="36"/>
        <v>0</v>
      </c>
      <c r="CI17" s="18">
        <f t="shared" si="37"/>
        <v>3.2849650798161911</v>
      </c>
      <c r="CJ17" s="18">
        <f t="shared" si="38"/>
        <v>2.3345798493471581</v>
      </c>
      <c r="CK17" s="10">
        <f t="shared" si="39"/>
        <v>3.1428571428571428</v>
      </c>
      <c r="CL17" s="10">
        <f t="shared" si="40"/>
        <v>0.12706283075026509</v>
      </c>
      <c r="CN17" s="1">
        <f t="shared" si="41"/>
        <v>2.2441986047283535E-8</v>
      </c>
    </row>
    <row r="18" spans="2:92" x14ac:dyDescent="0.2">
      <c r="B18" s="24" t="s">
        <v>109</v>
      </c>
      <c r="C18" s="24"/>
      <c r="D18" s="24">
        <v>6</v>
      </c>
      <c r="E18" s="24"/>
      <c r="F18" s="24">
        <v>0.1158706123669586</v>
      </c>
      <c r="G18" s="24">
        <v>1.6199999999999999E-2</v>
      </c>
      <c r="H18" s="24">
        <v>7.0452767058742899E-2</v>
      </c>
      <c r="I18" s="24">
        <v>0</v>
      </c>
      <c r="J18" s="24">
        <v>0</v>
      </c>
      <c r="K18" s="24">
        <v>0</v>
      </c>
      <c r="L18" s="24">
        <v>8.9519280166729005E-3</v>
      </c>
      <c r="M18" s="24">
        <v>0</v>
      </c>
      <c r="N18" s="24">
        <v>6578.32</v>
      </c>
      <c r="O18" s="24">
        <v>6324.47</v>
      </c>
      <c r="P18" s="24">
        <v>0.11</v>
      </c>
      <c r="R18" s="18" t="str">
        <f t="array" ref="R18:AE18">_xlfn.XLOOKUP(D18, CP:CP, CQ:DD)</f>
        <v>Drymill CCS Fermentation Exhaust</v>
      </c>
      <c r="S18" s="18" t="str">
        <v>Biomass_Corn</v>
      </c>
      <c r="T18" s="18">
        <v>0</v>
      </c>
      <c r="U18" s="18">
        <v>8.5342824999999997E-2</v>
      </c>
      <c r="V18" s="18">
        <v>3.1043379949999999</v>
      </c>
      <c r="W18" s="18">
        <v>1.013397519</v>
      </c>
      <c r="X18" s="18">
        <v>1.7588666580000001</v>
      </c>
      <c r="Y18" s="18">
        <v>0.35768767200000001</v>
      </c>
      <c r="Z18" s="18">
        <v>0.68601739399999995</v>
      </c>
      <c r="AA18" s="18">
        <v>0.15290642300000001</v>
      </c>
      <c r="AB18" s="18">
        <v>3.2434695999999999E-2</v>
      </c>
      <c r="AC18" s="18">
        <v>45179.42</v>
      </c>
      <c r="AD18" s="18">
        <v>201481.25</v>
      </c>
      <c r="AE18" s="18">
        <v>-25.28</v>
      </c>
      <c r="AG18" s="15">
        <v>115.647671</v>
      </c>
      <c r="AH18" s="15">
        <v>-36.022399999999998</v>
      </c>
      <c r="AI18" s="15">
        <v>115.552525</v>
      </c>
      <c r="AJ18" s="15">
        <v>132.75418400000001</v>
      </c>
      <c r="AK18" s="15">
        <v>104.006925</v>
      </c>
      <c r="AL18" s="15">
        <v>160</v>
      </c>
      <c r="AM18" s="15">
        <v>25.527353999999999</v>
      </c>
      <c r="AN18" s="15">
        <v>25.372129999999999</v>
      </c>
      <c r="AO18" s="15">
        <v>13.420595</v>
      </c>
      <c r="AQ18" s="1" t="str">
        <f t="shared" si="0"/>
        <v>CEN_B-H2in</v>
      </c>
      <c r="AR18" s="1">
        <f t="shared" si="1"/>
        <v>0</v>
      </c>
      <c r="AS18" s="11">
        <f t="shared" si="2"/>
        <v>815.67408223896769</v>
      </c>
      <c r="AT18" s="11">
        <f t="shared" si="3"/>
        <v>815.67408223896769</v>
      </c>
      <c r="AU18" s="5">
        <f t="shared" si="4"/>
        <v>0</v>
      </c>
      <c r="AV18" s="5">
        <f t="shared" si="5"/>
        <v>41.72844251387361</v>
      </c>
      <c r="AW18" s="1">
        <f t="shared" si="6"/>
        <v>5.8697926577559594</v>
      </c>
      <c r="AX18" s="1">
        <f t="shared" si="7"/>
        <v>9.9610646871061874</v>
      </c>
      <c r="AY18" s="1">
        <f t="shared" si="8"/>
        <v>0</v>
      </c>
      <c r="AZ18" s="1">
        <f t="shared" si="9"/>
        <v>731.56501329210482</v>
      </c>
      <c r="BA18" s="1">
        <f t="shared" si="10"/>
        <v>0</v>
      </c>
      <c r="BB18" s="1">
        <f t="shared" si="11"/>
        <v>62.184844418683866</v>
      </c>
      <c r="BC18" s="1">
        <f t="shared" si="12"/>
        <v>11.843234411429817</v>
      </c>
      <c r="BD18" s="1">
        <f t="shared" si="13"/>
        <v>26.201549810398898</v>
      </c>
      <c r="BE18" s="1">
        <f t="shared" si="14"/>
        <v>11.386217261862534</v>
      </c>
      <c r="BF18" s="1">
        <f t="shared" si="15"/>
        <v>116.84791455349433</v>
      </c>
      <c r="BG18" s="1">
        <f t="shared" si="16"/>
        <v>1.5613297332705607</v>
      </c>
      <c r="BH18" s="1">
        <f t="shared" si="17"/>
        <v>-115.58727210015257</v>
      </c>
      <c r="BI18" s="1">
        <f t="shared" si="18"/>
        <v>0.8474317150281947</v>
      </c>
      <c r="BJ18" s="1">
        <f t="shared" si="19"/>
        <v>-185.89155317540664</v>
      </c>
      <c r="BK18" s="1">
        <f t="shared" si="20"/>
        <v>98.003504174546421</v>
      </c>
      <c r="BL18" s="1">
        <f t="shared" si="21"/>
        <v>-1.4871481343189639</v>
      </c>
      <c r="BM18" s="1">
        <f t="shared" si="22"/>
        <v>84.097169165123063</v>
      </c>
      <c r="BN18" s="1">
        <f t="shared" si="23"/>
        <v>-171.98521816598335</v>
      </c>
      <c r="BP18" s="1" t="str">
        <f t="shared" si="24"/>
        <v>Drymill CCS Fermentation Exhaust</v>
      </c>
      <c r="BQ18" s="1">
        <f t="shared" si="25"/>
        <v>0</v>
      </c>
      <c r="BR18" s="1">
        <f t="shared" si="26"/>
        <v>9.9610646871061874</v>
      </c>
      <c r="BS18" s="1">
        <f t="array" ref="BS18">_xlfn.IFS(S18="Biomass_Corn", 1/V18/H18*AL18, S18="Biomass_Agri", 1/V18/H18*AK18, S18="Biomass_Wood", 1/V18/H18*AJ18, S18="Biomass_Herb", 1/V18/H18*AI18)</f>
        <v>731.56501329210482</v>
      </c>
      <c r="BT18" s="1">
        <f t="shared" si="27"/>
        <v>62.184844418683866</v>
      </c>
      <c r="BU18" s="1">
        <f t="shared" si="28"/>
        <v>26.201549810398898</v>
      </c>
      <c r="BV18" s="1">
        <f t="shared" si="29"/>
        <v>116.84791455349433</v>
      </c>
      <c r="BW18" s="1">
        <f t="shared" si="30"/>
        <v>-115.58727210015257</v>
      </c>
      <c r="BY18" s="9">
        <f t="shared" si="31"/>
        <v>3.1428571428571428</v>
      </c>
      <c r="BZ18" s="18">
        <f t="shared" si="32"/>
        <v>1.7588666580000001</v>
      </c>
      <c r="CA18" s="10">
        <v>0.1828908353</v>
      </c>
      <c r="CB18" s="9">
        <v>0.23037490999999999</v>
      </c>
      <c r="CD18" s="10">
        <f t="shared" si="33"/>
        <v>8.0420331877425628</v>
      </c>
      <c r="CE18" s="10">
        <f t="shared" si="34"/>
        <v>0.84743173747018186</v>
      </c>
      <c r="CF18" s="10">
        <f t="shared" si="35"/>
        <v>3.2699199707502675</v>
      </c>
      <c r="CG18" s="10">
        <f t="shared" si="36"/>
        <v>0</v>
      </c>
      <c r="CI18" s="18">
        <f t="shared" si="37"/>
        <v>3.2849650798161911</v>
      </c>
      <c r="CJ18" s="18">
        <f t="shared" si="38"/>
        <v>2.3345798493471581</v>
      </c>
      <c r="CK18" s="10">
        <f t="shared" si="39"/>
        <v>3.1428571428571428</v>
      </c>
      <c r="CL18" s="10">
        <f t="shared" si="40"/>
        <v>0.12706283075026509</v>
      </c>
      <c r="CN18" s="1">
        <f t="shared" si="41"/>
        <v>2.2441986047283535E-8</v>
      </c>
    </row>
    <row r="19" spans="2:92" x14ac:dyDescent="0.2">
      <c r="B19" s="24" t="s">
        <v>110</v>
      </c>
      <c r="C19" s="24"/>
      <c r="D19" s="24">
        <v>6</v>
      </c>
      <c r="E19" s="24"/>
      <c r="F19" s="24">
        <v>0.1158706123669586</v>
      </c>
      <c r="G19" s="24">
        <v>1.6199999999999999E-2</v>
      </c>
      <c r="H19" s="24">
        <v>7.0452767058742899E-2</v>
      </c>
      <c r="I19" s="24">
        <v>0</v>
      </c>
      <c r="J19" s="24">
        <v>0</v>
      </c>
      <c r="K19" s="24">
        <v>0</v>
      </c>
      <c r="L19" s="24">
        <v>8.9519280166729005E-3</v>
      </c>
      <c r="M19" s="24">
        <v>0</v>
      </c>
      <c r="N19" s="24">
        <v>6578.32</v>
      </c>
      <c r="O19" s="24">
        <v>6324.47</v>
      </c>
      <c r="P19" s="24">
        <v>0.11</v>
      </c>
      <c r="R19" s="18" t="str">
        <f t="array" ref="R19:AE19">_xlfn.XLOOKUP(D19, CP:CP, CQ:DD)</f>
        <v>Drymill CCS Fermentation Exhaust</v>
      </c>
      <c r="S19" s="18" t="str">
        <v>Biomass_Corn</v>
      </c>
      <c r="T19" s="18">
        <v>0</v>
      </c>
      <c r="U19" s="18">
        <v>8.5342824999999997E-2</v>
      </c>
      <c r="V19" s="18">
        <v>3.1043379949999999</v>
      </c>
      <c r="W19" s="18">
        <v>1.013397519</v>
      </c>
      <c r="X19" s="18">
        <v>1.7588666580000001</v>
      </c>
      <c r="Y19" s="18">
        <v>0.35768767200000001</v>
      </c>
      <c r="Z19" s="18">
        <v>0.68601739399999995</v>
      </c>
      <c r="AA19" s="18">
        <v>0.15290642300000001</v>
      </c>
      <c r="AB19" s="18">
        <v>3.2434695999999999E-2</v>
      </c>
      <c r="AC19" s="18">
        <v>45179.42</v>
      </c>
      <c r="AD19" s="18">
        <v>201481.25</v>
      </c>
      <c r="AE19" s="18">
        <v>-25.28</v>
      </c>
      <c r="AG19" s="15">
        <v>115.647671</v>
      </c>
      <c r="AH19" s="15">
        <v>-52.124285999999998</v>
      </c>
      <c r="AI19" s="15">
        <v>103.016395</v>
      </c>
      <c r="AJ19" s="15">
        <v>118.344319</v>
      </c>
      <c r="AK19" s="15">
        <v>92.034135000000006</v>
      </c>
      <c r="AL19" s="15">
        <v>160</v>
      </c>
      <c r="AM19" s="15">
        <v>38.371324000000001</v>
      </c>
      <c r="AN19" s="15">
        <v>29.598485</v>
      </c>
      <c r="AO19" s="15">
        <v>13.420595</v>
      </c>
      <c r="AQ19" s="1" t="str">
        <f t="shared" si="0"/>
        <v>SE_B-H2in</v>
      </c>
      <c r="AR19" s="1">
        <f t="shared" si="1"/>
        <v>0</v>
      </c>
      <c r="AS19" s="11">
        <f t="shared" si="2"/>
        <v>868.18134631049384</v>
      </c>
      <c r="AT19" s="11">
        <f t="shared" si="3"/>
        <v>868.18134631049372</v>
      </c>
      <c r="AU19" s="5">
        <f t="shared" si="4"/>
        <v>0</v>
      </c>
      <c r="AV19" s="5">
        <f t="shared" si="5"/>
        <v>48.679345400652224</v>
      </c>
      <c r="AW19" s="1">
        <f t="shared" si="6"/>
        <v>8.8231516624705808</v>
      </c>
      <c r="AX19" s="1">
        <f t="shared" si="7"/>
        <v>14.972928275053896</v>
      </c>
      <c r="AY19" s="1">
        <f t="shared" si="8"/>
        <v>0</v>
      </c>
      <c r="AZ19" s="1">
        <f t="shared" si="9"/>
        <v>731.56501329210482</v>
      </c>
      <c r="BA19" s="1">
        <f t="shared" si="10"/>
        <v>0</v>
      </c>
      <c r="BB19" s="1">
        <f t="shared" si="11"/>
        <v>62.184844418683866</v>
      </c>
      <c r="BC19" s="1">
        <f t="shared" si="12"/>
        <v>11.843234411429817</v>
      </c>
      <c r="BD19" s="1">
        <f t="shared" si="13"/>
        <v>26.201549810398898</v>
      </c>
      <c r="BE19" s="1">
        <f t="shared" si="14"/>
        <v>11.386217261862534</v>
      </c>
      <c r="BF19" s="1">
        <f t="shared" si="15"/>
        <v>116.84791455349433</v>
      </c>
      <c r="BG19" s="1">
        <f t="shared" si="16"/>
        <v>1.5613297332705607</v>
      </c>
      <c r="BH19" s="1">
        <f t="shared" si="17"/>
        <v>-115.58727210015257</v>
      </c>
      <c r="BI19" s="1">
        <f t="shared" si="18"/>
        <v>0.8474317150281947</v>
      </c>
      <c r="BJ19" s="1">
        <f t="shared" si="19"/>
        <v>-148.30041458332153</v>
      </c>
      <c r="BK19" s="1">
        <f t="shared" si="20"/>
        <v>98.003504174546421</v>
      </c>
      <c r="BL19" s="1">
        <f t="shared" si="21"/>
        <v>-1.4871481343189639</v>
      </c>
      <c r="BM19" s="1">
        <f t="shared" si="22"/>
        <v>121.68830775720818</v>
      </c>
      <c r="BN19" s="1">
        <f t="shared" si="23"/>
        <v>-171.98521816598335</v>
      </c>
      <c r="BP19" s="1" t="str">
        <f t="shared" si="24"/>
        <v>Drymill CCS Fermentation Exhaust</v>
      </c>
      <c r="BQ19" s="1">
        <f t="shared" si="25"/>
        <v>0</v>
      </c>
      <c r="BR19" s="1">
        <f t="shared" si="26"/>
        <v>14.972928275053896</v>
      </c>
      <c r="BS19" s="1">
        <f t="array" ref="BS19">_xlfn.IFS(S19="Biomass_Corn", 1/V19/H19*AL19, S19="Biomass_Agri", 1/V19/H19*AK19, S19="Biomass_Wood", 1/V19/H19*AJ19, S19="Biomass_Herb", 1/V19/H19*AI19)</f>
        <v>731.56501329210482</v>
      </c>
      <c r="BT19" s="1">
        <f t="shared" si="27"/>
        <v>62.184844418683866</v>
      </c>
      <c r="BU19" s="1">
        <f t="shared" si="28"/>
        <v>26.201549810398898</v>
      </c>
      <c r="BV19" s="1">
        <f t="shared" si="29"/>
        <v>116.84791455349433</v>
      </c>
      <c r="BW19" s="1">
        <f t="shared" si="30"/>
        <v>-115.58727210015257</v>
      </c>
      <c r="BY19" s="9">
        <f t="shared" si="31"/>
        <v>3.1428571428571428</v>
      </c>
      <c r="BZ19" s="18">
        <f t="shared" si="32"/>
        <v>1.7588666580000001</v>
      </c>
      <c r="CA19" s="10">
        <v>0.1828908353</v>
      </c>
      <c r="CB19" s="9">
        <v>0.23037490999999999</v>
      </c>
      <c r="CD19" s="10">
        <f t="shared" si="33"/>
        <v>8.0420331877425628</v>
      </c>
      <c r="CE19" s="10">
        <f t="shared" si="34"/>
        <v>0.84743173747018186</v>
      </c>
      <c r="CF19" s="10">
        <f t="shared" si="35"/>
        <v>3.2699199707502675</v>
      </c>
      <c r="CG19" s="10">
        <f t="shared" si="36"/>
        <v>0</v>
      </c>
      <c r="CI19" s="18">
        <f t="shared" si="37"/>
        <v>3.2849650798161911</v>
      </c>
      <c r="CJ19" s="18">
        <f t="shared" si="38"/>
        <v>2.3345798493471581</v>
      </c>
      <c r="CK19" s="10">
        <f t="shared" si="39"/>
        <v>3.1428571428571428</v>
      </c>
      <c r="CL19" s="10">
        <f t="shared" si="40"/>
        <v>0.12706283075026509</v>
      </c>
      <c r="CN19" s="1">
        <f t="shared" si="41"/>
        <v>2.2441986047283535E-8</v>
      </c>
    </row>
    <row r="20" spans="2:92" x14ac:dyDescent="0.2">
      <c r="B20" s="24" t="s">
        <v>111</v>
      </c>
      <c r="C20" s="24"/>
      <c r="D20" s="24">
        <v>6</v>
      </c>
      <c r="E20" s="24"/>
      <c r="F20" s="24">
        <v>0.1158706123669586</v>
      </c>
      <c r="G20" s="24">
        <v>1.6199999999999999E-2</v>
      </c>
      <c r="H20" s="24">
        <v>7.0452767058742899E-2</v>
      </c>
      <c r="I20" s="24">
        <v>0</v>
      </c>
      <c r="J20" s="24">
        <v>0</v>
      </c>
      <c r="K20" s="24">
        <v>0</v>
      </c>
      <c r="L20" s="24">
        <v>8.9519280166729005E-3</v>
      </c>
      <c r="M20" s="24">
        <v>0</v>
      </c>
      <c r="N20" s="24">
        <v>6578.32</v>
      </c>
      <c r="O20" s="24">
        <v>6324.47</v>
      </c>
      <c r="P20" s="24">
        <v>0.11</v>
      </c>
      <c r="R20" s="18" t="str">
        <f t="array" ref="R20:AE20">_xlfn.XLOOKUP(D20, CP:CP, CQ:DD)</f>
        <v>Drymill CCS Fermentation Exhaust</v>
      </c>
      <c r="S20" s="18" t="str">
        <v>Biomass_Corn</v>
      </c>
      <c r="T20" s="18">
        <v>0</v>
      </c>
      <c r="U20" s="18">
        <v>8.5342824999999997E-2</v>
      </c>
      <c r="V20" s="18">
        <v>3.1043379949999999</v>
      </c>
      <c r="W20" s="18">
        <v>1.013397519</v>
      </c>
      <c r="X20" s="18">
        <v>1.7588666580000001</v>
      </c>
      <c r="Y20" s="18">
        <v>0.35768767200000001</v>
      </c>
      <c r="Z20" s="18">
        <v>0.68601739399999995</v>
      </c>
      <c r="AA20" s="18">
        <v>0.15290642300000001</v>
      </c>
      <c r="AB20" s="18">
        <v>3.2434695999999999E-2</v>
      </c>
      <c r="AC20" s="18">
        <v>45179.42</v>
      </c>
      <c r="AD20" s="18">
        <v>201481.25</v>
      </c>
      <c r="AE20" s="18">
        <v>-25.28</v>
      </c>
      <c r="AG20" s="15">
        <v>115.647671</v>
      </c>
      <c r="AH20" s="15">
        <v>-56.504998000000001</v>
      </c>
      <c r="AI20" s="15">
        <v>104.15609600000001</v>
      </c>
      <c r="AJ20" s="15">
        <v>112.194858</v>
      </c>
      <c r="AK20" s="15">
        <v>92.603804999999994</v>
      </c>
      <c r="AL20" s="15">
        <v>160</v>
      </c>
      <c r="AM20" s="15">
        <v>39.464758000000003</v>
      </c>
      <c r="AN20" s="15">
        <v>30.833227999999998</v>
      </c>
      <c r="AO20" s="15">
        <v>13.420595</v>
      </c>
      <c r="AQ20" s="1" t="str">
        <f t="shared" si="0"/>
        <v>MIDAT_B-H2in</v>
      </c>
      <c r="AR20" s="1">
        <f t="shared" si="1"/>
        <v>0</v>
      </c>
      <c r="AS20" s="11">
        <f t="shared" si="2"/>
        <v>881.1172926068956</v>
      </c>
      <c r="AT20" s="11">
        <f t="shared" si="3"/>
        <v>881.1172926068956</v>
      </c>
      <c r="AU20" s="5">
        <f t="shared" si="4"/>
        <v>0</v>
      </c>
      <c r="AV20" s="5">
        <f t="shared" si="5"/>
        <v>50.710073695632097</v>
      </c>
      <c r="AW20" s="1">
        <f t="shared" si="6"/>
        <v>9.0745772847634658</v>
      </c>
      <c r="AX20" s="1">
        <f t="shared" si="7"/>
        <v>15.399598693189724</v>
      </c>
      <c r="AY20" s="1">
        <f t="shared" si="8"/>
        <v>0</v>
      </c>
      <c r="AZ20" s="1">
        <f t="shared" si="9"/>
        <v>731.56501329210482</v>
      </c>
      <c r="BA20" s="1">
        <f t="shared" si="10"/>
        <v>0</v>
      </c>
      <c r="BB20" s="1">
        <f t="shared" si="11"/>
        <v>62.184844418683866</v>
      </c>
      <c r="BC20" s="1">
        <f t="shared" si="12"/>
        <v>11.843234411429817</v>
      </c>
      <c r="BD20" s="1">
        <f t="shared" si="13"/>
        <v>26.201549810398898</v>
      </c>
      <c r="BE20" s="1">
        <f t="shared" si="14"/>
        <v>11.386217261862534</v>
      </c>
      <c r="BF20" s="1">
        <f t="shared" si="15"/>
        <v>116.84791455349433</v>
      </c>
      <c r="BG20" s="1">
        <f t="shared" si="16"/>
        <v>1.5613297332705607</v>
      </c>
      <c r="BH20" s="1">
        <f t="shared" si="17"/>
        <v>-115.58727210015257</v>
      </c>
      <c r="BI20" s="1">
        <f t="shared" si="18"/>
        <v>0.8474317150281947</v>
      </c>
      <c r="BJ20" s="1">
        <f t="shared" si="19"/>
        <v>-138.07329262232824</v>
      </c>
      <c r="BK20" s="1">
        <f t="shared" si="20"/>
        <v>98.003504174546421</v>
      </c>
      <c r="BL20" s="1">
        <f t="shared" si="21"/>
        <v>-1.4871481343189639</v>
      </c>
      <c r="BM20" s="1">
        <f t="shared" si="22"/>
        <v>131.91542971820147</v>
      </c>
      <c r="BN20" s="1">
        <f t="shared" si="23"/>
        <v>-171.98521816598335</v>
      </c>
      <c r="BP20" s="1" t="str">
        <f t="shared" si="24"/>
        <v>Drymill CCS Fermentation Exhaust</v>
      </c>
      <c r="BQ20" s="1">
        <f t="shared" si="25"/>
        <v>0</v>
      </c>
      <c r="BR20" s="1">
        <f t="shared" si="26"/>
        <v>15.399598693189724</v>
      </c>
      <c r="BS20" s="1">
        <f t="array" ref="BS20">_xlfn.IFS(S20="Biomass_Corn", 1/V20/H20*AL20, S20="Biomass_Agri", 1/V20/H20*AK20, S20="Biomass_Wood", 1/V20/H20*AJ20, S20="Biomass_Herb", 1/V20/H20*AI20)</f>
        <v>731.56501329210482</v>
      </c>
      <c r="BT20" s="1">
        <f t="shared" si="27"/>
        <v>62.184844418683866</v>
      </c>
      <c r="BU20" s="1">
        <f t="shared" si="28"/>
        <v>26.201549810398898</v>
      </c>
      <c r="BV20" s="1">
        <f t="shared" si="29"/>
        <v>116.84791455349433</v>
      </c>
      <c r="BW20" s="1">
        <f t="shared" si="30"/>
        <v>-115.58727210015257</v>
      </c>
      <c r="BY20" s="9">
        <f t="shared" si="31"/>
        <v>3.1428571428571428</v>
      </c>
      <c r="BZ20" s="18">
        <f t="shared" si="32"/>
        <v>1.7588666580000001</v>
      </c>
      <c r="CA20" s="10">
        <v>0.1828908353</v>
      </c>
      <c r="CB20" s="9">
        <v>0.23037490999999999</v>
      </c>
      <c r="CD20" s="10">
        <f t="shared" si="33"/>
        <v>8.0420331877425628</v>
      </c>
      <c r="CE20" s="10">
        <f t="shared" si="34"/>
        <v>0.84743173747018186</v>
      </c>
      <c r="CF20" s="10">
        <f t="shared" si="35"/>
        <v>3.2699199707502675</v>
      </c>
      <c r="CG20" s="10">
        <f t="shared" si="36"/>
        <v>0</v>
      </c>
      <c r="CI20" s="18">
        <f t="shared" si="37"/>
        <v>3.2849650798161911</v>
      </c>
      <c r="CJ20" s="18">
        <f t="shared" si="38"/>
        <v>2.3345798493471581</v>
      </c>
      <c r="CK20" s="10">
        <f t="shared" si="39"/>
        <v>3.1428571428571428</v>
      </c>
      <c r="CL20" s="10">
        <f t="shared" si="40"/>
        <v>0.12706283075026509</v>
      </c>
      <c r="CN20" s="1">
        <f t="shared" si="41"/>
        <v>2.2441986047283535E-8</v>
      </c>
    </row>
    <row r="21" spans="2:92" x14ac:dyDescent="0.2">
      <c r="B21" s="24" t="s">
        <v>112</v>
      </c>
      <c r="C21" s="24"/>
      <c r="D21" s="24">
        <v>6</v>
      </c>
      <c r="E21" s="24"/>
      <c r="F21" s="24">
        <v>0.1158706123669586</v>
      </c>
      <c r="G21" s="24">
        <v>1.6199999999999999E-2</v>
      </c>
      <c r="H21" s="24">
        <v>7.0452767058742899E-2</v>
      </c>
      <c r="I21" s="24">
        <v>0</v>
      </c>
      <c r="J21" s="24">
        <v>0</v>
      </c>
      <c r="K21" s="24">
        <v>0</v>
      </c>
      <c r="L21" s="24">
        <v>8.9519280166729005E-3</v>
      </c>
      <c r="M21" s="24">
        <v>0</v>
      </c>
      <c r="N21" s="24">
        <v>6578.32</v>
      </c>
      <c r="O21" s="24">
        <v>6324.47</v>
      </c>
      <c r="P21" s="24">
        <v>0.11</v>
      </c>
      <c r="R21" s="18" t="str">
        <f t="array" ref="R21:AE21">_xlfn.XLOOKUP(D21, CP:CP, CQ:DD)</f>
        <v>Drymill CCS Fermentation Exhaust</v>
      </c>
      <c r="S21" s="18" t="str">
        <v>Biomass_Corn</v>
      </c>
      <c r="T21" s="18">
        <v>0</v>
      </c>
      <c r="U21" s="18">
        <v>8.5342824999999997E-2</v>
      </c>
      <c r="V21" s="18">
        <v>3.1043379949999999</v>
      </c>
      <c r="W21" s="18">
        <v>1.013397519</v>
      </c>
      <c r="X21" s="18">
        <v>1.7588666580000001</v>
      </c>
      <c r="Y21" s="18">
        <v>0.35768767200000001</v>
      </c>
      <c r="Z21" s="18">
        <v>0.68601739399999995</v>
      </c>
      <c r="AA21" s="18">
        <v>0.15290642300000001</v>
      </c>
      <c r="AB21" s="18">
        <v>3.2434695999999999E-2</v>
      </c>
      <c r="AC21" s="18">
        <v>45179.42</v>
      </c>
      <c r="AD21" s="18">
        <v>201481.25</v>
      </c>
      <c r="AE21" s="18">
        <v>-25.28</v>
      </c>
      <c r="AG21" s="15">
        <v>115.647671</v>
      </c>
      <c r="AH21" s="15">
        <v>-65.603281999999993</v>
      </c>
      <c r="AI21" s="15">
        <v>104.94355899999999</v>
      </c>
      <c r="AJ21" s="15">
        <v>110.83754500000001</v>
      </c>
      <c r="AK21" s="15">
        <v>94.867732000000004</v>
      </c>
      <c r="AL21" s="15">
        <v>160</v>
      </c>
      <c r="AM21" s="15">
        <v>47.491526</v>
      </c>
      <c r="AN21" s="15">
        <v>32.774438000000004</v>
      </c>
      <c r="AO21" s="15">
        <v>13.420595</v>
      </c>
      <c r="AQ21" s="1" t="str">
        <f t="shared" si="0"/>
        <v>NE_B-H2in</v>
      </c>
      <c r="AR21" s="1">
        <f t="shared" si="1"/>
        <v>0</v>
      </c>
      <c r="AS21" s="11">
        <f t="shared" si="2"/>
        <v>910.52840884311706</v>
      </c>
      <c r="AT21" s="11">
        <f t="shared" si="3"/>
        <v>910.52840884311706</v>
      </c>
      <c r="AU21" s="5">
        <f t="shared" si="4"/>
        <v>0</v>
      </c>
      <c r="AV21" s="5">
        <f t="shared" si="5"/>
        <v>53.902697645310617</v>
      </c>
      <c r="AW21" s="1">
        <f t="shared" si="6"/>
        <v>10.920262657086443</v>
      </c>
      <c r="AX21" s="1">
        <f t="shared" si="7"/>
        <v>18.531735117371955</v>
      </c>
      <c r="AY21" s="1">
        <f t="shared" si="8"/>
        <v>0</v>
      </c>
      <c r="AZ21" s="1">
        <f t="shared" si="9"/>
        <v>731.56501329210482</v>
      </c>
      <c r="BA21" s="1">
        <f t="shared" si="10"/>
        <v>0</v>
      </c>
      <c r="BB21" s="1">
        <f t="shared" si="11"/>
        <v>62.184844418683866</v>
      </c>
      <c r="BC21" s="1">
        <f t="shared" si="12"/>
        <v>11.843234411429817</v>
      </c>
      <c r="BD21" s="1">
        <f t="shared" si="13"/>
        <v>26.201549810398898</v>
      </c>
      <c r="BE21" s="1">
        <f t="shared" si="14"/>
        <v>11.386217261862534</v>
      </c>
      <c r="BF21" s="1">
        <f t="shared" si="15"/>
        <v>116.84791455349433</v>
      </c>
      <c r="BG21" s="1">
        <f t="shared" si="16"/>
        <v>1.5613297332705607</v>
      </c>
      <c r="BH21" s="1">
        <f t="shared" si="17"/>
        <v>-115.58727210015257</v>
      </c>
      <c r="BI21" s="1">
        <f t="shared" si="18"/>
        <v>0.8474317150281947</v>
      </c>
      <c r="BJ21" s="1">
        <f t="shared" si="19"/>
        <v>-116.8326221322906</v>
      </c>
      <c r="BK21" s="1">
        <f t="shared" si="20"/>
        <v>98.003504174546421</v>
      </c>
      <c r="BL21" s="1">
        <f t="shared" si="21"/>
        <v>-1.4871481343189639</v>
      </c>
      <c r="BM21" s="1">
        <f t="shared" si="22"/>
        <v>153.15610020823911</v>
      </c>
      <c r="BN21" s="1">
        <f t="shared" si="23"/>
        <v>-171.98521816598335</v>
      </c>
      <c r="BP21" s="1" t="str">
        <f t="shared" si="24"/>
        <v>Drymill CCS Fermentation Exhaust</v>
      </c>
      <c r="BQ21" s="1">
        <f t="shared" si="25"/>
        <v>0</v>
      </c>
      <c r="BR21" s="1">
        <f t="shared" si="26"/>
        <v>18.531735117371955</v>
      </c>
      <c r="BS21" s="1">
        <f t="array" ref="BS21">_xlfn.IFS(S21="Biomass_Corn", 1/V21/H21*AL21, S21="Biomass_Agri", 1/V21/H21*AK21, S21="Biomass_Wood", 1/V21/H21*AJ21, S21="Biomass_Herb", 1/V21/H21*AI21)</f>
        <v>731.56501329210482</v>
      </c>
      <c r="BT21" s="1">
        <f t="shared" si="27"/>
        <v>62.184844418683866</v>
      </c>
      <c r="BU21" s="1">
        <f t="shared" si="28"/>
        <v>26.201549810398898</v>
      </c>
      <c r="BV21" s="1">
        <f t="shared" si="29"/>
        <v>116.84791455349433</v>
      </c>
      <c r="BW21" s="1">
        <f t="shared" si="30"/>
        <v>-115.58727210015257</v>
      </c>
      <c r="BY21" s="9">
        <f t="shared" si="31"/>
        <v>3.1428571428571428</v>
      </c>
      <c r="BZ21" s="18">
        <f t="shared" si="32"/>
        <v>1.7588666580000001</v>
      </c>
      <c r="CA21" s="10">
        <v>0.1828908353</v>
      </c>
      <c r="CB21" s="9">
        <v>0.23037490999999999</v>
      </c>
      <c r="CD21" s="10">
        <f t="shared" si="33"/>
        <v>8.0420331877425628</v>
      </c>
      <c r="CE21" s="10">
        <f t="shared" si="34"/>
        <v>0.84743173747018186</v>
      </c>
      <c r="CF21" s="10">
        <f t="shared" si="35"/>
        <v>3.2699199707502675</v>
      </c>
      <c r="CG21" s="10">
        <f t="shared" si="36"/>
        <v>0</v>
      </c>
      <c r="CI21" s="18">
        <f t="shared" si="37"/>
        <v>3.2849650798161911</v>
      </c>
      <c r="CJ21" s="18">
        <f t="shared" si="38"/>
        <v>2.3345798493471581</v>
      </c>
      <c r="CK21" s="10">
        <f t="shared" si="39"/>
        <v>3.1428571428571428</v>
      </c>
      <c r="CL21" s="10">
        <f t="shared" si="40"/>
        <v>0.12706283075026509</v>
      </c>
      <c r="CN21" s="1">
        <f t="shared" si="41"/>
        <v>2.2441986047283535E-8</v>
      </c>
    </row>
    <row r="22" spans="2:92" x14ac:dyDescent="0.2">
      <c r="B22" s="24"/>
      <c r="C22" s="24"/>
      <c r="D22" s="24">
        <v>6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R22" s="18" t="str">
        <f t="array" ref="R22:AE22">_xlfn.XLOOKUP(D22, CP:CP, CQ:DD)</f>
        <v>Drymill CCS Fermentation Exhaust</v>
      </c>
      <c r="S22" s="18" t="str">
        <v>Biomass_Corn</v>
      </c>
      <c r="T22" s="18">
        <v>0</v>
      </c>
      <c r="U22" s="18">
        <v>8.5342824999999997E-2</v>
      </c>
      <c r="V22" s="18">
        <v>3.1043379949999999</v>
      </c>
      <c r="W22" s="18">
        <v>1.013397519</v>
      </c>
      <c r="X22" s="18">
        <v>1.7588666580000001</v>
      </c>
      <c r="Y22" s="18">
        <v>0.35768767200000001</v>
      </c>
      <c r="Z22" s="18">
        <v>0.68601739399999995</v>
      </c>
      <c r="AA22" s="18">
        <v>0.15290642300000001</v>
      </c>
      <c r="AB22" s="18">
        <v>3.2434695999999999E-2</v>
      </c>
      <c r="AC22" s="18">
        <v>45179.42</v>
      </c>
      <c r="AD22" s="18">
        <v>201481.25</v>
      </c>
      <c r="AE22" s="18">
        <v>-25.28</v>
      </c>
      <c r="AG22" s="15"/>
      <c r="AH22" s="15"/>
      <c r="AI22" s="15"/>
      <c r="AJ22" s="15"/>
      <c r="AK22" s="15"/>
      <c r="AL22" s="15"/>
      <c r="AM22" s="15"/>
      <c r="AN22" s="15"/>
      <c r="AO22" s="15"/>
      <c r="AQ22" s="1">
        <f t="shared" si="0"/>
        <v>0</v>
      </c>
      <c r="AR22" s="1">
        <f t="shared" si="1"/>
        <v>0</v>
      </c>
      <c r="AS22" s="11" t="e">
        <f t="shared" si="2"/>
        <v>#DIV/0!</v>
      </c>
      <c r="AT22" s="11" t="e">
        <f t="shared" si="3"/>
        <v>#DIV/0!</v>
      </c>
      <c r="AU22" s="5" t="e">
        <f t="shared" si="4"/>
        <v>#DIV/0!</v>
      </c>
      <c r="AV22" s="5" t="e">
        <f t="shared" si="5"/>
        <v>#DIV/0!</v>
      </c>
      <c r="AW22" s="1" t="e">
        <f t="shared" si="6"/>
        <v>#DIV/0!</v>
      </c>
      <c r="AX22" s="1" t="e">
        <f t="shared" si="7"/>
        <v>#DIV/0!</v>
      </c>
      <c r="AY22" s="1" t="e">
        <f t="shared" si="8"/>
        <v>#DIV/0!</v>
      </c>
      <c r="AZ22" s="1" t="e">
        <f t="shared" si="9"/>
        <v>#DIV/0!</v>
      </c>
      <c r="BA22" s="1" t="e">
        <f t="shared" si="10"/>
        <v>#DIV/0!</v>
      </c>
      <c r="BB22" s="1" t="e">
        <f t="shared" si="11"/>
        <v>#DIV/0!</v>
      </c>
      <c r="BC22" s="1" t="e">
        <f t="shared" si="12"/>
        <v>#DIV/0!</v>
      </c>
      <c r="BD22" s="1" t="e">
        <f t="shared" si="13"/>
        <v>#DIV/0!</v>
      </c>
      <c r="BE22" s="1" t="e">
        <f t="shared" si="14"/>
        <v>#DIV/0!</v>
      </c>
      <c r="BF22" s="1" t="e">
        <f t="shared" si="15"/>
        <v>#DIV/0!</v>
      </c>
      <c r="BG22" s="1" t="e">
        <f t="shared" si="16"/>
        <v>#DIV/0!</v>
      </c>
      <c r="BH22" s="1" t="e">
        <f t="shared" si="17"/>
        <v>#DIV/0!</v>
      </c>
      <c r="BI22" s="1" t="e">
        <f t="shared" si="18"/>
        <v>#DIV/0!</v>
      </c>
      <c r="BJ22" s="1" t="e">
        <f t="shared" si="19"/>
        <v>#DIV/0!</v>
      </c>
      <c r="BK22" s="1" t="e">
        <f t="shared" si="20"/>
        <v>#DIV/0!</v>
      </c>
      <c r="BL22" s="1" t="e">
        <f t="shared" si="21"/>
        <v>#DIV/0!</v>
      </c>
      <c r="BM22" s="1" t="e">
        <f t="shared" si="22"/>
        <v>#DIV/0!</v>
      </c>
      <c r="BN22" s="1" t="e">
        <f t="shared" si="23"/>
        <v>#DIV/0!</v>
      </c>
      <c r="BP22" s="1" t="str">
        <f t="shared" si="24"/>
        <v>Drymill CCS Fermentation Exhaust</v>
      </c>
      <c r="BQ22" s="1" t="e">
        <f t="shared" si="25"/>
        <v>#DIV/0!</v>
      </c>
      <c r="BR22" s="1" t="e">
        <f t="shared" si="26"/>
        <v>#DIV/0!</v>
      </c>
      <c r="BS22" s="1" t="e">
        <f t="array" ref="BS22">_xlfn.IFS(S22="Biomass_Corn", 1/V22/H22*AL22, S22="Biomass_Agri", 1/V22/H22*AK22, S22="Biomass_Wood", 1/V22/H22*AJ22, S22="Biomass_Herb", 1/V22/H22*AI22)</f>
        <v>#DIV/0!</v>
      </c>
      <c r="BT22" s="1" t="e">
        <f t="shared" si="27"/>
        <v>#DIV/0!</v>
      </c>
      <c r="BU22" s="1" t="e">
        <f t="shared" si="28"/>
        <v>#DIV/0!</v>
      </c>
      <c r="BV22" s="1" t="e">
        <f t="shared" si="29"/>
        <v>#DIV/0!</v>
      </c>
      <c r="BW22" s="1" t="e">
        <f t="shared" si="30"/>
        <v>#DIV/0!</v>
      </c>
      <c r="BY22" s="9">
        <f t="shared" si="31"/>
        <v>3.1428571428571428</v>
      </c>
      <c r="BZ22" s="18">
        <f t="shared" si="32"/>
        <v>1.7588666580000001</v>
      </c>
      <c r="CA22" s="10">
        <v>0.1828908353</v>
      </c>
      <c r="CB22" s="9">
        <v>0.23037490999999999</v>
      </c>
      <c r="CD22" s="10" t="e">
        <f t="shared" si="33"/>
        <v>#DIV/0!</v>
      </c>
      <c r="CE22" s="10" t="e">
        <f t="shared" si="34"/>
        <v>#DIV/0!</v>
      </c>
      <c r="CF22" s="10" t="e">
        <f t="shared" si="35"/>
        <v>#DIV/0!</v>
      </c>
      <c r="CG22" s="10">
        <f t="shared" si="36"/>
        <v>0</v>
      </c>
      <c r="CI22" s="18" t="e">
        <f t="shared" si="37"/>
        <v>#DIV/0!</v>
      </c>
      <c r="CJ22" s="18" t="e">
        <f t="shared" si="38"/>
        <v>#DIV/0!</v>
      </c>
      <c r="CK22" s="10">
        <f t="shared" si="39"/>
        <v>3.1428571428571428</v>
      </c>
      <c r="CL22" s="10" t="e">
        <f t="shared" si="40"/>
        <v>#DIV/0!</v>
      </c>
      <c r="CN22" s="1" t="e">
        <f t="shared" si="41"/>
        <v>#DIV/0!</v>
      </c>
    </row>
    <row r="23" spans="2:92" x14ac:dyDescent="0.2">
      <c r="B23" s="24"/>
      <c r="C23" s="24"/>
      <c r="D23" s="24">
        <v>6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R23" s="18" t="str">
        <f t="array" ref="R23:AE23">_xlfn.XLOOKUP(D23, CP:CP, CQ:DD)</f>
        <v>Drymill CCS Fermentation Exhaust</v>
      </c>
      <c r="S23" s="18" t="str">
        <v>Biomass_Corn</v>
      </c>
      <c r="T23" s="18">
        <v>0</v>
      </c>
      <c r="U23" s="18">
        <v>8.5342824999999997E-2</v>
      </c>
      <c r="V23" s="18">
        <v>3.1043379949999999</v>
      </c>
      <c r="W23" s="18">
        <v>1.013397519</v>
      </c>
      <c r="X23" s="18">
        <v>1.7588666580000001</v>
      </c>
      <c r="Y23" s="18">
        <v>0.35768767200000001</v>
      </c>
      <c r="Z23" s="18">
        <v>0.68601739399999995</v>
      </c>
      <c r="AA23" s="18">
        <v>0.15290642300000001</v>
      </c>
      <c r="AB23" s="18">
        <v>3.2434695999999999E-2</v>
      </c>
      <c r="AC23" s="18">
        <v>45179.42</v>
      </c>
      <c r="AD23" s="18">
        <v>201481.25</v>
      </c>
      <c r="AE23" s="18">
        <v>-25.28</v>
      </c>
      <c r="AG23" s="15"/>
      <c r="AH23" s="15"/>
      <c r="AI23" s="15"/>
      <c r="AJ23" s="15"/>
      <c r="AK23" s="15"/>
      <c r="AL23" s="15"/>
      <c r="AM23" s="15"/>
      <c r="AN23" s="15"/>
      <c r="AO23" s="15"/>
      <c r="AQ23" s="1">
        <f t="shared" si="0"/>
        <v>0</v>
      </c>
      <c r="AR23" s="1">
        <f t="shared" si="1"/>
        <v>0</v>
      </c>
      <c r="AS23" s="11" t="e">
        <f t="shared" si="2"/>
        <v>#DIV/0!</v>
      </c>
      <c r="AT23" s="11" t="e">
        <f t="shared" si="3"/>
        <v>#DIV/0!</v>
      </c>
      <c r="AU23" s="5" t="e">
        <f t="shared" si="4"/>
        <v>#DIV/0!</v>
      </c>
      <c r="AV23" s="5" t="e">
        <f t="shared" si="5"/>
        <v>#DIV/0!</v>
      </c>
      <c r="AW23" s="1" t="e">
        <f t="shared" si="6"/>
        <v>#DIV/0!</v>
      </c>
      <c r="AX23" s="1" t="e">
        <f t="shared" si="7"/>
        <v>#DIV/0!</v>
      </c>
      <c r="AY23" s="1" t="e">
        <f t="shared" si="8"/>
        <v>#DIV/0!</v>
      </c>
      <c r="AZ23" s="1" t="e">
        <f t="shared" si="9"/>
        <v>#DIV/0!</v>
      </c>
      <c r="BA23" s="1" t="e">
        <f t="shared" si="10"/>
        <v>#DIV/0!</v>
      </c>
      <c r="BB23" s="1" t="e">
        <f t="shared" si="11"/>
        <v>#DIV/0!</v>
      </c>
      <c r="BC23" s="1" t="e">
        <f t="shared" si="12"/>
        <v>#DIV/0!</v>
      </c>
      <c r="BD23" s="1" t="e">
        <f t="shared" si="13"/>
        <v>#DIV/0!</v>
      </c>
      <c r="BE23" s="1" t="e">
        <f t="shared" si="14"/>
        <v>#DIV/0!</v>
      </c>
      <c r="BF23" s="1" t="e">
        <f t="shared" si="15"/>
        <v>#DIV/0!</v>
      </c>
      <c r="BG23" s="1" t="e">
        <f t="shared" si="16"/>
        <v>#DIV/0!</v>
      </c>
      <c r="BH23" s="1" t="e">
        <f t="shared" si="17"/>
        <v>#DIV/0!</v>
      </c>
      <c r="BI23" s="1" t="e">
        <f t="shared" si="18"/>
        <v>#DIV/0!</v>
      </c>
      <c r="BJ23" s="1" t="e">
        <f t="shared" si="19"/>
        <v>#DIV/0!</v>
      </c>
      <c r="BK23" s="1" t="e">
        <f t="shared" si="20"/>
        <v>#DIV/0!</v>
      </c>
      <c r="BL23" s="1" t="e">
        <f t="shared" si="21"/>
        <v>#DIV/0!</v>
      </c>
      <c r="BM23" s="1" t="e">
        <f t="shared" si="22"/>
        <v>#DIV/0!</v>
      </c>
      <c r="BN23" s="1" t="e">
        <f t="shared" si="23"/>
        <v>#DIV/0!</v>
      </c>
      <c r="BP23" s="1" t="str">
        <f t="shared" si="24"/>
        <v>Drymill CCS Fermentation Exhaust</v>
      </c>
      <c r="BQ23" s="1" t="e">
        <f t="shared" si="25"/>
        <v>#DIV/0!</v>
      </c>
      <c r="BR23" s="1" t="e">
        <f t="shared" si="26"/>
        <v>#DIV/0!</v>
      </c>
      <c r="BS23" s="1" t="e">
        <f t="array" ref="BS23">_xlfn.IFS(S23="Biomass_Corn", 1/V23/H23*AL23, S23="Biomass_Agri", 1/V23/H23*AK23, S23="Biomass_Wood", 1/V23/H23*AJ23, S23="Biomass_Herb", 1/V23/H23*AI23)</f>
        <v>#DIV/0!</v>
      </c>
      <c r="BT23" s="1" t="e">
        <f t="shared" si="27"/>
        <v>#DIV/0!</v>
      </c>
      <c r="BU23" s="1" t="e">
        <f t="shared" si="28"/>
        <v>#DIV/0!</v>
      </c>
      <c r="BV23" s="1" t="e">
        <f t="shared" si="29"/>
        <v>#DIV/0!</v>
      </c>
      <c r="BW23" s="1" t="e">
        <f t="shared" si="30"/>
        <v>#DIV/0!</v>
      </c>
      <c r="BY23" s="9">
        <f t="shared" si="31"/>
        <v>3.1428571428571428</v>
      </c>
      <c r="BZ23" s="18">
        <f t="shared" si="32"/>
        <v>1.7588666580000001</v>
      </c>
      <c r="CA23" s="10">
        <v>0.1828908353</v>
      </c>
      <c r="CB23" s="9">
        <v>0.23037490999999999</v>
      </c>
      <c r="CD23" s="10" t="e">
        <f t="shared" si="33"/>
        <v>#DIV/0!</v>
      </c>
      <c r="CE23" s="10" t="e">
        <f t="shared" si="34"/>
        <v>#DIV/0!</v>
      </c>
      <c r="CF23" s="10" t="e">
        <f t="shared" si="35"/>
        <v>#DIV/0!</v>
      </c>
      <c r="CG23" s="10">
        <f t="shared" si="36"/>
        <v>0</v>
      </c>
      <c r="CI23" s="18" t="e">
        <f t="shared" si="37"/>
        <v>#DIV/0!</v>
      </c>
      <c r="CJ23" s="18" t="e">
        <f t="shared" si="38"/>
        <v>#DIV/0!</v>
      </c>
      <c r="CK23" s="10">
        <f t="shared" si="39"/>
        <v>3.1428571428571428</v>
      </c>
      <c r="CL23" s="10" t="e">
        <f t="shared" si="40"/>
        <v>#DIV/0!</v>
      </c>
      <c r="CN23" s="1" t="e">
        <f t="shared" si="41"/>
        <v>#DIV/0!</v>
      </c>
    </row>
    <row r="24" spans="2:92" x14ac:dyDescent="0.2">
      <c r="B24" s="24"/>
      <c r="C24" s="24"/>
      <c r="D24" s="24">
        <v>6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R24" s="18" t="str">
        <f t="array" ref="R24:AE24">_xlfn.XLOOKUP(D24, CP:CP, CQ:DD)</f>
        <v>Drymill CCS Fermentation Exhaust</v>
      </c>
      <c r="S24" s="18" t="str">
        <v>Biomass_Corn</v>
      </c>
      <c r="T24" s="18">
        <v>0</v>
      </c>
      <c r="U24" s="18">
        <v>8.5342824999999997E-2</v>
      </c>
      <c r="V24" s="18">
        <v>3.1043379949999999</v>
      </c>
      <c r="W24" s="18">
        <v>1.013397519</v>
      </c>
      <c r="X24" s="18">
        <v>1.7588666580000001</v>
      </c>
      <c r="Y24" s="18">
        <v>0.35768767200000001</v>
      </c>
      <c r="Z24" s="18">
        <v>0.68601739399999995</v>
      </c>
      <c r="AA24" s="18">
        <v>0.15290642300000001</v>
      </c>
      <c r="AB24" s="18">
        <v>3.2434695999999999E-2</v>
      </c>
      <c r="AC24" s="18">
        <v>45179.42</v>
      </c>
      <c r="AD24" s="18">
        <v>201481.25</v>
      </c>
      <c r="AE24" s="18">
        <v>-25.28</v>
      </c>
      <c r="AG24" s="15"/>
      <c r="AH24" s="15"/>
      <c r="AI24" s="15"/>
      <c r="AJ24" s="15"/>
      <c r="AK24" s="15"/>
      <c r="AL24" s="15"/>
      <c r="AM24" s="15"/>
      <c r="AN24" s="15"/>
      <c r="AO24" s="15"/>
      <c r="AQ24" s="1">
        <f t="shared" si="0"/>
        <v>0</v>
      </c>
      <c r="AR24" s="1">
        <f t="shared" si="1"/>
        <v>0</v>
      </c>
      <c r="AS24" s="11" t="e">
        <f t="shared" si="2"/>
        <v>#DIV/0!</v>
      </c>
      <c r="AT24" s="11" t="e">
        <f t="shared" si="3"/>
        <v>#DIV/0!</v>
      </c>
      <c r="AU24" s="5" t="e">
        <f t="shared" si="4"/>
        <v>#DIV/0!</v>
      </c>
      <c r="AV24" s="5" t="e">
        <f t="shared" si="5"/>
        <v>#DIV/0!</v>
      </c>
      <c r="AW24" s="1" t="e">
        <f t="shared" si="6"/>
        <v>#DIV/0!</v>
      </c>
      <c r="AX24" s="1" t="e">
        <f t="shared" si="7"/>
        <v>#DIV/0!</v>
      </c>
      <c r="AY24" s="1" t="e">
        <f t="shared" si="8"/>
        <v>#DIV/0!</v>
      </c>
      <c r="AZ24" s="1" t="e">
        <f t="shared" si="9"/>
        <v>#DIV/0!</v>
      </c>
      <c r="BA24" s="1" t="e">
        <f t="shared" si="10"/>
        <v>#DIV/0!</v>
      </c>
      <c r="BB24" s="1" t="e">
        <f t="shared" si="11"/>
        <v>#DIV/0!</v>
      </c>
      <c r="BC24" s="1" t="e">
        <f t="shared" si="12"/>
        <v>#DIV/0!</v>
      </c>
      <c r="BD24" s="1" t="e">
        <f t="shared" si="13"/>
        <v>#DIV/0!</v>
      </c>
      <c r="BE24" s="1" t="e">
        <f t="shared" si="14"/>
        <v>#DIV/0!</v>
      </c>
      <c r="BF24" s="1" t="e">
        <f t="shared" si="15"/>
        <v>#DIV/0!</v>
      </c>
      <c r="BG24" s="1" t="e">
        <f t="shared" si="16"/>
        <v>#DIV/0!</v>
      </c>
      <c r="BH24" s="1" t="e">
        <f t="shared" si="17"/>
        <v>#DIV/0!</v>
      </c>
      <c r="BI24" s="1" t="e">
        <f t="shared" si="18"/>
        <v>#DIV/0!</v>
      </c>
      <c r="BJ24" s="1" t="e">
        <f t="shared" si="19"/>
        <v>#DIV/0!</v>
      </c>
      <c r="BK24" s="1" t="e">
        <f t="shared" si="20"/>
        <v>#DIV/0!</v>
      </c>
      <c r="BL24" s="1" t="e">
        <f t="shared" si="21"/>
        <v>#DIV/0!</v>
      </c>
      <c r="BM24" s="1" t="e">
        <f t="shared" si="22"/>
        <v>#DIV/0!</v>
      </c>
      <c r="BN24" s="1" t="e">
        <f t="shared" si="23"/>
        <v>#DIV/0!</v>
      </c>
      <c r="BP24" s="1" t="str">
        <f t="shared" si="24"/>
        <v>Drymill CCS Fermentation Exhaust</v>
      </c>
      <c r="BQ24" s="1" t="e">
        <f t="shared" si="25"/>
        <v>#DIV/0!</v>
      </c>
      <c r="BR24" s="1" t="e">
        <f t="shared" si="26"/>
        <v>#DIV/0!</v>
      </c>
      <c r="BS24" s="1" t="e">
        <f t="array" ref="BS24">_xlfn.IFS(S24="Biomass_Corn", 1/V24/H24*AL24, S24="Biomass_Agri", 1/V24/H24*AK24, S24="Biomass_Wood", 1/V24/H24*AJ24, S24="Biomass_Herb", 1/V24/H24*AI24)</f>
        <v>#DIV/0!</v>
      </c>
      <c r="BT24" s="1" t="e">
        <f t="shared" si="27"/>
        <v>#DIV/0!</v>
      </c>
      <c r="BU24" s="1" t="e">
        <f t="shared" si="28"/>
        <v>#DIV/0!</v>
      </c>
      <c r="BV24" s="1" t="e">
        <f t="shared" si="29"/>
        <v>#DIV/0!</v>
      </c>
      <c r="BW24" s="1" t="e">
        <f t="shared" si="30"/>
        <v>#DIV/0!</v>
      </c>
      <c r="BY24" s="9">
        <f t="shared" si="31"/>
        <v>3.1428571428571428</v>
      </c>
      <c r="BZ24" s="18">
        <f t="shared" si="32"/>
        <v>1.7588666580000001</v>
      </c>
      <c r="CA24" s="10">
        <v>0.1828908353</v>
      </c>
      <c r="CB24" s="9">
        <v>0.23037490999999999</v>
      </c>
      <c r="CD24" s="10" t="e">
        <f t="shared" si="33"/>
        <v>#DIV/0!</v>
      </c>
      <c r="CE24" s="10" t="e">
        <f t="shared" si="34"/>
        <v>#DIV/0!</v>
      </c>
      <c r="CF24" s="10" t="e">
        <f t="shared" si="35"/>
        <v>#DIV/0!</v>
      </c>
      <c r="CG24" s="10">
        <f t="shared" si="36"/>
        <v>0</v>
      </c>
      <c r="CI24" s="18" t="e">
        <f t="shared" si="37"/>
        <v>#DIV/0!</v>
      </c>
      <c r="CJ24" s="18" t="e">
        <f t="shared" si="38"/>
        <v>#DIV/0!</v>
      </c>
      <c r="CK24" s="10">
        <f t="shared" si="39"/>
        <v>3.1428571428571428</v>
      </c>
      <c r="CL24" s="10" t="e">
        <f t="shared" si="40"/>
        <v>#DIV/0!</v>
      </c>
      <c r="CN24" s="1" t="e">
        <f t="shared" si="41"/>
        <v>#DIV/0!</v>
      </c>
    </row>
    <row r="25" spans="2:92" x14ac:dyDescent="0.2">
      <c r="B25" s="24"/>
      <c r="C25" s="24"/>
      <c r="D25" s="24">
        <v>6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R25" s="18" t="str">
        <f t="array" ref="R25:AE25">_xlfn.XLOOKUP(D25, CP:CP, CQ:DD)</f>
        <v>Drymill CCS Fermentation Exhaust</v>
      </c>
      <c r="S25" s="18" t="str">
        <v>Biomass_Corn</v>
      </c>
      <c r="T25" s="18">
        <v>0</v>
      </c>
      <c r="U25" s="18">
        <v>8.5342824999999997E-2</v>
      </c>
      <c r="V25" s="18">
        <v>3.1043379949999999</v>
      </c>
      <c r="W25" s="18">
        <v>1.013397519</v>
      </c>
      <c r="X25" s="18">
        <v>1.7588666580000001</v>
      </c>
      <c r="Y25" s="18">
        <v>0.35768767200000001</v>
      </c>
      <c r="Z25" s="18">
        <v>0.68601739399999995</v>
      </c>
      <c r="AA25" s="18">
        <v>0.15290642300000001</v>
      </c>
      <c r="AB25" s="18">
        <v>3.2434695999999999E-2</v>
      </c>
      <c r="AC25" s="18">
        <v>45179.42</v>
      </c>
      <c r="AD25" s="18">
        <v>201481.25</v>
      </c>
      <c r="AE25" s="18">
        <v>-25.28</v>
      </c>
      <c r="AG25" s="15"/>
      <c r="AH25" s="15"/>
      <c r="AI25" s="15"/>
      <c r="AJ25" s="15"/>
      <c r="AK25" s="15"/>
      <c r="AL25" s="15"/>
      <c r="AM25" s="15"/>
      <c r="AN25" s="15"/>
      <c r="AO25" s="15"/>
      <c r="AQ25" s="1">
        <f t="shared" si="0"/>
        <v>0</v>
      </c>
      <c r="AR25" s="1">
        <f t="shared" si="1"/>
        <v>0</v>
      </c>
      <c r="AS25" s="11" t="e">
        <f t="shared" si="2"/>
        <v>#DIV/0!</v>
      </c>
      <c r="AT25" s="11" t="e">
        <f t="shared" si="3"/>
        <v>#DIV/0!</v>
      </c>
      <c r="AU25" s="5" t="e">
        <f t="shared" si="4"/>
        <v>#DIV/0!</v>
      </c>
      <c r="AV25" s="5" t="e">
        <f t="shared" si="5"/>
        <v>#DIV/0!</v>
      </c>
      <c r="AW25" s="1" t="e">
        <f t="shared" si="6"/>
        <v>#DIV/0!</v>
      </c>
      <c r="AX25" s="1" t="e">
        <f t="shared" si="7"/>
        <v>#DIV/0!</v>
      </c>
      <c r="AY25" s="1" t="e">
        <f t="shared" si="8"/>
        <v>#DIV/0!</v>
      </c>
      <c r="AZ25" s="1" t="e">
        <f t="shared" si="9"/>
        <v>#DIV/0!</v>
      </c>
      <c r="BA25" s="1" t="e">
        <f t="shared" si="10"/>
        <v>#DIV/0!</v>
      </c>
      <c r="BB25" s="1" t="e">
        <f t="shared" si="11"/>
        <v>#DIV/0!</v>
      </c>
      <c r="BC25" s="1" t="e">
        <f t="shared" si="12"/>
        <v>#DIV/0!</v>
      </c>
      <c r="BD25" s="1" t="e">
        <f t="shared" si="13"/>
        <v>#DIV/0!</v>
      </c>
      <c r="BE25" s="1" t="e">
        <f t="shared" si="14"/>
        <v>#DIV/0!</v>
      </c>
      <c r="BF25" s="1" t="e">
        <f t="shared" si="15"/>
        <v>#DIV/0!</v>
      </c>
      <c r="BG25" s="1" t="e">
        <f t="shared" si="16"/>
        <v>#DIV/0!</v>
      </c>
      <c r="BH25" s="1" t="e">
        <f t="shared" si="17"/>
        <v>#DIV/0!</v>
      </c>
      <c r="BI25" s="1" t="e">
        <f t="shared" si="18"/>
        <v>#DIV/0!</v>
      </c>
      <c r="BJ25" s="1" t="e">
        <f t="shared" si="19"/>
        <v>#DIV/0!</v>
      </c>
      <c r="BK25" s="1" t="e">
        <f t="shared" si="20"/>
        <v>#DIV/0!</v>
      </c>
      <c r="BL25" s="1" t="e">
        <f t="shared" si="21"/>
        <v>#DIV/0!</v>
      </c>
      <c r="BM25" s="1" t="e">
        <f t="shared" si="22"/>
        <v>#DIV/0!</v>
      </c>
      <c r="BN25" s="1" t="e">
        <f t="shared" si="23"/>
        <v>#DIV/0!</v>
      </c>
      <c r="BP25" s="1" t="str">
        <f t="shared" si="24"/>
        <v>Drymill CCS Fermentation Exhaust</v>
      </c>
      <c r="BQ25" s="1" t="e">
        <f t="shared" si="25"/>
        <v>#DIV/0!</v>
      </c>
      <c r="BR25" s="1" t="e">
        <f t="shared" si="26"/>
        <v>#DIV/0!</v>
      </c>
      <c r="BS25" s="1" t="e">
        <f t="array" ref="BS25">_xlfn.IFS(S25="Biomass_Corn", 1/V25/H25*AL25, S25="Biomass_Agri", 1/V25/H25*AK25, S25="Biomass_Wood", 1/V25/H25*AJ25, S25="Biomass_Herb", 1/V25/H25*AI25)</f>
        <v>#DIV/0!</v>
      </c>
      <c r="BT25" s="1" t="e">
        <f t="shared" si="27"/>
        <v>#DIV/0!</v>
      </c>
      <c r="BU25" s="1" t="e">
        <f t="shared" si="28"/>
        <v>#DIV/0!</v>
      </c>
      <c r="BV25" s="1" t="e">
        <f t="shared" si="29"/>
        <v>#DIV/0!</v>
      </c>
      <c r="BW25" s="1" t="e">
        <f t="shared" si="30"/>
        <v>#DIV/0!</v>
      </c>
      <c r="BY25" s="9">
        <f t="shared" si="31"/>
        <v>3.1428571428571428</v>
      </c>
      <c r="BZ25" s="18">
        <f t="shared" si="32"/>
        <v>1.7588666580000001</v>
      </c>
      <c r="CA25" s="10">
        <v>0.1828908353</v>
      </c>
      <c r="CB25" s="9">
        <v>0.23037490999999999</v>
      </c>
      <c r="CD25" s="10" t="e">
        <f t="shared" si="33"/>
        <v>#DIV/0!</v>
      </c>
      <c r="CE25" s="10" t="e">
        <f t="shared" si="34"/>
        <v>#DIV/0!</v>
      </c>
      <c r="CF25" s="10" t="e">
        <f t="shared" si="35"/>
        <v>#DIV/0!</v>
      </c>
      <c r="CG25" s="10">
        <f t="shared" si="36"/>
        <v>0</v>
      </c>
      <c r="CI25" s="18" t="e">
        <f t="shared" si="37"/>
        <v>#DIV/0!</v>
      </c>
      <c r="CJ25" s="18" t="e">
        <f t="shared" si="38"/>
        <v>#DIV/0!</v>
      </c>
      <c r="CK25" s="10">
        <f t="shared" si="39"/>
        <v>3.1428571428571428</v>
      </c>
      <c r="CL25" s="10" t="e">
        <f t="shared" si="40"/>
        <v>#DIV/0!</v>
      </c>
      <c r="CN25" s="1" t="e">
        <f t="shared" si="41"/>
        <v>#DIV/0!</v>
      </c>
    </row>
    <row r="26" spans="2:92" x14ac:dyDescent="0.2">
      <c r="B26" s="24"/>
      <c r="C26" s="24"/>
      <c r="D26" s="24">
        <v>6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R26" s="18" t="str">
        <f t="array" ref="R26:AE26">_xlfn.XLOOKUP(D26, CP:CP, CQ:DD)</f>
        <v>Drymill CCS Fermentation Exhaust</v>
      </c>
      <c r="S26" s="18" t="str">
        <v>Biomass_Corn</v>
      </c>
      <c r="T26" s="18">
        <v>0</v>
      </c>
      <c r="U26" s="18">
        <v>8.5342824999999997E-2</v>
      </c>
      <c r="V26" s="18">
        <v>3.1043379949999999</v>
      </c>
      <c r="W26" s="18">
        <v>1.013397519</v>
      </c>
      <c r="X26" s="18">
        <v>1.7588666580000001</v>
      </c>
      <c r="Y26" s="18">
        <v>0.35768767200000001</v>
      </c>
      <c r="Z26" s="18">
        <v>0.68601739399999995</v>
      </c>
      <c r="AA26" s="18">
        <v>0.15290642300000001</v>
      </c>
      <c r="AB26" s="18">
        <v>3.2434695999999999E-2</v>
      </c>
      <c r="AC26" s="18">
        <v>45179.42</v>
      </c>
      <c r="AD26" s="18">
        <v>201481.25</v>
      </c>
      <c r="AE26" s="18">
        <v>-25.28</v>
      </c>
      <c r="AG26" s="15"/>
      <c r="AH26" s="15"/>
      <c r="AI26" s="15"/>
      <c r="AJ26" s="15"/>
      <c r="AK26" s="15"/>
      <c r="AL26" s="15"/>
      <c r="AM26" s="15"/>
      <c r="AN26" s="15"/>
      <c r="AO26" s="15"/>
      <c r="AQ26" s="1">
        <f t="shared" si="0"/>
        <v>0</v>
      </c>
      <c r="AR26" s="1">
        <f t="shared" si="1"/>
        <v>0</v>
      </c>
      <c r="AS26" s="11" t="e">
        <f t="shared" si="2"/>
        <v>#DIV/0!</v>
      </c>
      <c r="AT26" s="11" t="e">
        <f t="shared" si="3"/>
        <v>#DIV/0!</v>
      </c>
      <c r="AU26" s="5" t="e">
        <f t="shared" si="4"/>
        <v>#DIV/0!</v>
      </c>
      <c r="AV26" s="5" t="e">
        <f t="shared" si="5"/>
        <v>#DIV/0!</v>
      </c>
      <c r="AW26" s="1" t="e">
        <f t="shared" si="6"/>
        <v>#DIV/0!</v>
      </c>
      <c r="AX26" s="1" t="e">
        <f t="shared" si="7"/>
        <v>#DIV/0!</v>
      </c>
      <c r="AY26" s="1" t="e">
        <f t="shared" si="8"/>
        <v>#DIV/0!</v>
      </c>
      <c r="AZ26" s="1" t="e">
        <f t="shared" si="9"/>
        <v>#DIV/0!</v>
      </c>
      <c r="BA26" s="1" t="e">
        <f t="shared" si="10"/>
        <v>#DIV/0!</v>
      </c>
      <c r="BB26" s="1" t="e">
        <f t="shared" si="11"/>
        <v>#DIV/0!</v>
      </c>
      <c r="BC26" s="1" t="e">
        <f t="shared" si="12"/>
        <v>#DIV/0!</v>
      </c>
      <c r="BD26" s="1" t="e">
        <f t="shared" si="13"/>
        <v>#DIV/0!</v>
      </c>
      <c r="BE26" s="1" t="e">
        <f t="shared" si="14"/>
        <v>#DIV/0!</v>
      </c>
      <c r="BF26" s="1" t="e">
        <f t="shared" si="15"/>
        <v>#DIV/0!</v>
      </c>
      <c r="BG26" s="1" t="e">
        <f t="shared" si="16"/>
        <v>#DIV/0!</v>
      </c>
      <c r="BH26" s="1" t="e">
        <f t="shared" si="17"/>
        <v>#DIV/0!</v>
      </c>
      <c r="BI26" s="1" t="e">
        <f t="shared" si="18"/>
        <v>#DIV/0!</v>
      </c>
      <c r="BJ26" s="1" t="e">
        <f t="shared" si="19"/>
        <v>#DIV/0!</v>
      </c>
      <c r="BK26" s="1" t="e">
        <f t="shared" si="20"/>
        <v>#DIV/0!</v>
      </c>
      <c r="BL26" s="1" t="e">
        <f t="shared" si="21"/>
        <v>#DIV/0!</v>
      </c>
      <c r="BM26" s="1" t="e">
        <f t="shared" si="22"/>
        <v>#DIV/0!</v>
      </c>
      <c r="BN26" s="1" t="e">
        <f t="shared" si="23"/>
        <v>#DIV/0!</v>
      </c>
      <c r="BO26" s="17"/>
      <c r="BP26" s="1" t="str">
        <f t="shared" si="24"/>
        <v>Drymill CCS Fermentation Exhaust</v>
      </c>
      <c r="BQ26" s="1" t="e">
        <f t="shared" si="25"/>
        <v>#DIV/0!</v>
      </c>
      <c r="BR26" s="1" t="e">
        <f t="shared" si="26"/>
        <v>#DIV/0!</v>
      </c>
      <c r="BS26" s="1" t="e">
        <f t="array" ref="BS26">_xlfn.IFS(S26="Biomass_Corn", 1/V26/H26*AL26, S26="Biomass_Agri", 1/V26/H26*AK26, S26="Biomass_Wood", 1/V26/H26*AJ26, S26="Biomass_Herb", 1/V26/H26*AI26)</f>
        <v>#DIV/0!</v>
      </c>
      <c r="BT26" s="1" t="e">
        <f t="shared" si="27"/>
        <v>#DIV/0!</v>
      </c>
      <c r="BU26" s="1" t="e">
        <f t="shared" si="28"/>
        <v>#DIV/0!</v>
      </c>
      <c r="BV26" s="1" t="e">
        <f t="shared" si="29"/>
        <v>#DIV/0!</v>
      </c>
      <c r="BW26" s="1" t="e">
        <f t="shared" si="30"/>
        <v>#DIV/0!</v>
      </c>
      <c r="BY26" s="9">
        <f t="shared" si="31"/>
        <v>3.1428571428571428</v>
      </c>
      <c r="BZ26" s="18">
        <f t="shared" si="32"/>
        <v>1.7588666580000001</v>
      </c>
      <c r="CA26" s="10">
        <v>0.1828908353</v>
      </c>
      <c r="CB26" s="9">
        <v>0.23037490999999999</v>
      </c>
      <c r="CD26" s="10" t="e">
        <f t="shared" si="33"/>
        <v>#DIV/0!</v>
      </c>
      <c r="CE26" s="10" t="e">
        <f t="shared" si="34"/>
        <v>#DIV/0!</v>
      </c>
      <c r="CF26" s="10" t="e">
        <f t="shared" si="35"/>
        <v>#DIV/0!</v>
      </c>
      <c r="CG26" s="10">
        <f t="shared" si="36"/>
        <v>0</v>
      </c>
      <c r="CI26" s="18" t="e">
        <f t="shared" si="37"/>
        <v>#DIV/0!</v>
      </c>
      <c r="CJ26" s="18" t="e">
        <f t="shared" si="38"/>
        <v>#DIV/0!</v>
      </c>
      <c r="CK26" s="10">
        <f t="shared" si="39"/>
        <v>3.1428571428571428</v>
      </c>
      <c r="CL26" s="10" t="e">
        <f t="shared" si="40"/>
        <v>#DIV/0!</v>
      </c>
      <c r="CN26" s="1" t="e">
        <f t="shared" si="41"/>
        <v>#DIV/0!</v>
      </c>
    </row>
    <row r="27" spans="2:92" x14ac:dyDescent="0.2">
      <c r="B27" s="24"/>
      <c r="C27" s="24"/>
      <c r="D27" s="24">
        <v>6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R27" s="18" t="str">
        <f t="array" ref="R27:AE27">_xlfn.XLOOKUP(D27, CP:CP, CQ:DD)</f>
        <v>Drymill CCS Fermentation Exhaust</v>
      </c>
      <c r="S27" s="18" t="str">
        <v>Biomass_Corn</v>
      </c>
      <c r="T27" s="18">
        <v>0</v>
      </c>
      <c r="U27" s="18">
        <v>8.5342824999999997E-2</v>
      </c>
      <c r="V27" s="18">
        <v>3.1043379949999999</v>
      </c>
      <c r="W27" s="18">
        <v>1.013397519</v>
      </c>
      <c r="X27" s="18">
        <v>1.7588666580000001</v>
      </c>
      <c r="Y27" s="18">
        <v>0.35768767200000001</v>
      </c>
      <c r="Z27" s="18">
        <v>0.68601739399999995</v>
      </c>
      <c r="AA27" s="18">
        <v>0.15290642300000001</v>
      </c>
      <c r="AB27" s="18">
        <v>3.2434695999999999E-2</v>
      </c>
      <c r="AC27" s="18">
        <v>45179.42</v>
      </c>
      <c r="AD27" s="18">
        <v>201481.25</v>
      </c>
      <c r="AE27" s="18">
        <v>-25.28</v>
      </c>
      <c r="AG27" s="15"/>
      <c r="AH27" s="15"/>
      <c r="AI27" s="15"/>
      <c r="AJ27" s="15"/>
      <c r="AK27" s="15"/>
      <c r="AL27" s="15"/>
      <c r="AM27" s="15"/>
      <c r="AN27" s="15"/>
      <c r="AO27" s="15"/>
      <c r="AQ27" s="1">
        <f t="shared" si="0"/>
        <v>0</v>
      </c>
      <c r="AR27" s="1">
        <f t="shared" si="1"/>
        <v>0</v>
      </c>
      <c r="AS27" s="11" t="e">
        <f t="shared" si="2"/>
        <v>#DIV/0!</v>
      </c>
      <c r="AT27" s="11" t="e">
        <f t="shared" si="3"/>
        <v>#DIV/0!</v>
      </c>
      <c r="AU27" s="5" t="e">
        <f t="shared" si="4"/>
        <v>#DIV/0!</v>
      </c>
      <c r="AV27" s="5" t="e">
        <f t="shared" si="5"/>
        <v>#DIV/0!</v>
      </c>
      <c r="AW27" s="1" t="e">
        <f t="shared" si="6"/>
        <v>#DIV/0!</v>
      </c>
      <c r="AX27" s="1" t="e">
        <f t="shared" si="7"/>
        <v>#DIV/0!</v>
      </c>
      <c r="AY27" s="1" t="e">
        <f t="shared" si="8"/>
        <v>#DIV/0!</v>
      </c>
      <c r="AZ27" s="1" t="e">
        <f t="shared" si="9"/>
        <v>#DIV/0!</v>
      </c>
      <c r="BA27" s="1" t="e">
        <f t="shared" si="10"/>
        <v>#DIV/0!</v>
      </c>
      <c r="BB27" s="1" t="e">
        <f t="shared" si="11"/>
        <v>#DIV/0!</v>
      </c>
      <c r="BC27" s="1" t="e">
        <f t="shared" si="12"/>
        <v>#DIV/0!</v>
      </c>
      <c r="BD27" s="1" t="e">
        <f t="shared" si="13"/>
        <v>#DIV/0!</v>
      </c>
      <c r="BE27" s="1" t="e">
        <f t="shared" si="14"/>
        <v>#DIV/0!</v>
      </c>
      <c r="BF27" s="1" t="e">
        <f t="shared" si="15"/>
        <v>#DIV/0!</v>
      </c>
      <c r="BG27" s="1" t="e">
        <f t="shared" si="16"/>
        <v>#DIV/0!</v>
      </c>
      <c r="BH27" s="1" t="e">
        <f t="shared" si="17"/>
        <v>#DIV/0!</v>
      </c>
      <c r="BI27" s="1" t="e">
        <f t="shared" si="18"/>
        <v>#DIV/0!</v>
      </c>
      <c r="BJ27" s="1" t="e">
        <f t="shared" si="19"/>
        <v>#DIV/0!</v>
      </c>
      <c r="BK27" s="1" t="e">
        <f t="shared" si="20"/>
        <v>#DIV/0!</v>
      </c>
      <c r="BL27" s="1" t="e">
        <f t="shared" si="21"/>
        <v>#DIV/0!</v>
      </c>
      <c r="BM27" s="1" t="e">
        <f t="shared" si="22"/>
        <v>#DIV/0!</v>
      </c>
      <c r="BN27" s="1" t="e">
        <f t="shared" si="23"/>
        <v>#DIV/0!</v>
      </c>
      <c r="BP27" s="1" t="str">
        <f t="shared" si="24"/>
        <v>Drymill CCS Fermentation Exhaust</v>
      </c>
      <c r="BQ27" s="1" t="e">
        <f t="shared" si="25"/>
        <v>#DIV/0!</v>
      </c>
      <c r="BR27" s="1" t="e">
        <f t="shared" si="26"/>
        <v>#DIV/0!</v>
      </c>
      <c r="BS27" s="1" t="e">
        <f t="array" ref="BS27">_xlfn.IFS(S27="Biomass_Corn", 1/V27/H27*AL27, S27="Biomass_Agri", 1/V27/H27*AK27, S27="Biomass_Wood", 1/V27/H27*AJ27, S27="Biomass_Herb", 1/V27/H27*AI27)</f>
        <v>#DIV/0!</v>
      </c>
      <c r="BT27" s="1" t="e">
        <f t="shared" si="27"/>
        <v>#DIV/0!</v>
      </c>
      <c r="BU27" s="1" t="e">
        <f t="shared" si="28"/>
        <v>#DIV/0!</v>
      </c>
      <c r="BV27" s="1" t="e">
        <f t="shared" si="29"/>
        <v>#DIV/0!</v>
      </c>
      <c r="BW27" s="1" t="e">
        <f t="shared" si="30"/>
        <v>#DIV/0!</v>
      </c>
      <c r="BY27" s="9">
        <f t="shared" si="31"/>
        <v>3.1428571428571428</v>
      </c>
      <c r="BZ27" s="18">
        <f t="shared" si="32"/>
        <v>1.7588666580000001</v>
      </c>
      <c r="CA27" s="10">
        <v>0.1828908353</v>
      </c>
      <c r="CB27" s="9">
        <v>0.23037490999999999</v>
      </c>
      <c r="CD27" s="10" t="e">
        <f t="shared" si="33"/>
        <v>#DIV/0!</v>
      </c>
      <c r="CE27" s="10" t="e">
        <f t="shared" si="34"/>
        <v>#DIV/0!</v>
      </c>
      <c r="CF27" s="10" t="e">
        <f t="shared" si="35"/>
        <v>#DIV/0!</v>
      </c>
      <c r="CG27" s="10">
        <f t="shared" si="36"/>
        <v>0</v>
      </c>
      <c r="CI27" s="18" t="e">
        <f t="shared" si="37"/>
        <v>#DIV/0!</v>
      </c>
      <c r="CJ27" s="18" t="e">
        <f t="shared" si="38"/>
        <v>#DIV/0!</v>
      </c>
      <c r="CK27" s="10">
        <f t="shared" si="39"/>
        <v>3.1428571428571428</v>
      </c>
      <c r="CL27" s="10" t="e">
        <f t="shared" si="40"/>
        <v>#DIV/0!</v>
      </c>
      <c r="CN27" s="1" t="e">
        <f t="shared" si="41"/>
        <v>#DIV/0!</v>
      </c>
    </row>
    <row r="28" spans="2:92" x14ac:dyDescent="0.2">
      <c r="B28" s="24"/>
      <c r="C28" s="24"/>
      <c r="D28" s="24">
        <v>6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R28" s="18" t="str">
        <f t="array" ref="R28:AE28">_xlfn.XLOOKUP(D28, CP:CP, CQ:DD)</f>
        <v>Drymill CCS Fermentation Exhaust</v>
      </c>
      <c r="S28" s="18" t="str">
        <v>Biomass_Corn</v>
      </c>
      <c r="T28" s="18">
        <v>0</v>
      </c>
      <c r="U28" s="18">
        <v>8.5342824999999997E-2</v>
      </c>
      <c r="V28" s="18">
        <v>3.1043379949999999</v>
      </c>
      <c r="W28" s="18">
        <v>1.013397519</v>
      </c>
      <c r="X28" s="18">
        <v>1.7588666580000001</v>
      </c>
      <c r="Y28" s="18">
        <v>0.35768767200000001</v>
      </c>
      <c r="Z28" s="18">
        <v>0.68601739399999995</v>
      </c>
      <c r="AA28" s="18">
        <v>0.15290642300000001</v>
      </c>
      <c r="AB28" s="18">
        <v>3.2434695999999999E-2</v>
      </c>
      <c r="AC28" s="18">
        <v>45179.42</v>
      </c>
      <c r="AD28" s="18">
        <v>201481.25</v>
      </c>
      <c r="AE28" s="18">
        <v>-25.28</v>
      </c>
      <c r="AG28" s="15"/>
      <c r="AH28" s="15"/>
      <c r="AI28" s="15"/>
      <c r="AJ28" s="15"/>
      <c r="AK28" s="15"/>
      <c r="AL28" s="15"/>
      <c r="AM28" s="15"/>
      <c r="AN28" s="15"/>
      <c r="AO28" s="15"/>
      <c r="AQ28" s="1">
        <f t="shared" si="0"/>
        <v>0</v>
      </c>
      <c r="AR28" s="1">
        <f t="shared" si="1"/>
        <v>0</v>
      </c>
      <c r="AS28" s="11" t="e">
        <f t="shared" si="2"/>
        <v>#DIV/0!</v>
      </c>
      <c r="AT28" s="11" t="e">
        <f t="shared" si="3"/>
        <v>#DIV/0!</v>
      </c>
      <c r="AU28" s="5" t="e">
        <f t="shared" si="4"/>
        <v>#DIV/0!</v>
      </c>
      <c r="AV28" s="5" t="e">
        <f t="shared" si="5"/>
        <v>#DIV/0!</v>
      </c>
      <c r="AW28" s="1" t="e">
        <f t="shared" si="6"/>
        <v>#DIV/0!</v>
      </c>
      <c r="AX28" s="1" t="e">
        <f t="shared" si="7"/>
        <v>#DIV/0!</v>
      </c>
      <c r="AY28" s="1" t="e">
        <f t="shared" si="8"/>
        <v>#DIV/0!</v>
      </c>
      <c r="AZ28" s="1" t="e">
        <f t="shared" si="9"/>
        <v>#DIV/0!</v>
      </c>
      <c r="BA28" s="1" t="e">
        <f t="shared" si="10"/>
        <v>#DIV/0!</v>
      </c>
      <c r="BB28" s="1" t="e">
        <f t="shared" si="11"/>
        <v>#DIV/0!</v>
      </c>
      <c r="BC28" s="1" t="e">
        <f t="shared" si="12"/>
        <v>#DIV/0!</v>
      </c>
      <c r="BD28" s="1" t="e">
        <f t="shared" si="13"/>
        <v>#DIV/0!</v>
      </c>
      <c r="BE28" s="1" t="e">
        <f t="shared" si="14"/>
        <v>#DIV/0!</v>
      </c>
      <c r="BF28" s="1" t="e">
        <f t="shared" si="15"/>
        <v>#DIV/0!</v>
      </c>
      <c r="BG28" s="1" t="e">
        <f t="shared" si="16"/>
        <v>#DIV/0!</v>
      </c>
      <c r="BH28" s="1" t="e">
        <f t="shared" si="17"/>
        <v>#DIV/0!</v>
      </c>
      <c r="BI28" s="1" t="e">
        <f t="shared" si="18"/>
        <v>#DIV/0!</v>
      </c>
      <c r="BJ28" s="1" t="e">
        <f t="shared" si="19"/>
        <v>#DIV/0!</v>
      </c>
      <c r="BK28" s="1" t="e">
        <f t="shared" si="20"/>
        <v>#DIV/0!</v>
      </c>
      <c r="BL28" s="1" t="e">
        <f t="shared" si="21"/>
        <v>#DIV/0!</v>
      </c>
      <c r="BM28" s="1" t="e">
        <f t="shared" si="22"/>
        <v>#DIV/0!</v>
      </c>
      <c r="BN28" s="1" t="e">
        <f t="shared" si="23"/>
        <v>#DIV/0!</v>
      </c>
      <c r="BP28" s="1" t="str">
        <f t="shared" si="24"/>
        <v>Drymill CCS Fermentation Exhaust</v>
      </c>
      <c r="BQ28" s="1" t="e">
        <f t="shared" si="25"/>
        <v>#DIV/0!</v>
      </c>
      <c r="BR28" s="1" t="e">
        <f t="shared" si="26"/>
        <v>#DIV/0!</v>
      </c>
      <c r="BS28" s="1" t="e">
        <f t="array" ref="BS28">_xlfn.IFS(S28="Biomass_Corn", 1/V28/H28*AL28, S28="Biomass_Agri", 1/V28/H28*AK28, S28="Biomass_Wood", 1/V28/H28*AJ28, S28="Biomass_Herb", 1/V28/H28*AI28)</f>
        <v>#DIV/0!</v>
      </c>
      <c r="BT28" s="1" t="e">
        <f t="shared" si="27"/>
        <v>#DIV/0!</v>
      </c>
      <c r="BU28" s="1" t="e">
        <f t="shared" si="28"/>
        <v>#DIV/0!</v>
      </c>
      <c r="BV28" s="1" t="e">
        <f t="shared" si="29"/>
        <v>#DIV/0!</v>
      </c>
      <c r="BW28" s="1" t="e">
        <f t="shared" si="30"/>
        <v>#DIV/0!</v>
      </c>
      <c r="BY28" s="9">
        <f t="shared" si="31"/>
        <v>3.1428571428571428</v>
      </c>
      <c r="BZ28" s="18">
        <f t="shared" si="32"/>
        <v>1.7588666580000001</v>
      </c>
      <c r="CA28" s="10">
        <v>0.1828908353</v>
      </c>
      <c r="CB28" s="9">
        <v>0.23037490999999999</v>
      </c>
      <c r="CD28" s="10" t="e">
        <f t="shared" si="33"/>
        <v>#DIV/0!</v>
      </c>
      <c r="CE28" s="10" t="e">
        <f t="shared" si="34"/>
        <v>#DIV/0!</v>
      </c>
      <c r="CF28" s="10" t="e">
        <f t="shared" si="35"/>
        <v>#DIV/0!</v>
      </c>
      <c r="CG28" s="10">
        <f t="shared" si="36"/>
        <v>0</v>
      </c>
      <c r="CI28" s="18" t="e">
        <f t="shared" si="37"/>
        <v>#DIV/0!</v>
      </c>
      <c r="CJ28" s="18" t="e">
        <f t="shared" si="38"/>
        <v>#DIV/0!</v>
      </c>
      <c r="CK28" s="10">
        <f t="shared" si="39"/>
        <v>3.1428571428571428</v>
      </c>
      <c r="CL28" s="10" t="e">
        <f t="shared" si="40"/>
        <v>#DIV/0!</v>
      </c>
      <c r="CN28" s="1" t="e">
        <f t="shared" si="41"/>
        <v>#DIV/0!</v>
      </c>
    </row>
    <row r="29" spans="2:92" x14ac:dyDescent="0.2">
      <c r="B29" s="24"/>
      <c r="C29" s="24"/>
      <c r="D29" s="24">
        <v>6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R29" s="18" t="str">
        <f t="array" ref="R29:AE29">_xlfn.XLOOKUP(D29, CP:CP, CQ:DD)</f>
        <v>Drymill CCS Fermentation Exhaust</v>
      </c>
      <c r="S29" s="18" t="str">
        <v>Biomass_Corn</v>
      </c>
      <c r="T29" s="18">
        <v>0</v>
      </c>
      <c r="U29" s="18">
        <v>8.5342824999999997E-2</v>
      </c>
      <c r="V29" s="18">
        <v>3.1043379949999999</v>
      </c>
      <c r="W29" s="18">
        <v>1.013397519</v>
      </c>
      <c r="X29" s="18">
        <v>1.7588666580000001</v>
      </c>
      <c r="Y29" s="18">
        <v>0.35768767200000001</v>
      </c>
      <c r="Z29" s="18">
        <v>0.68601739399999995</v>
      </c>
      <c r="AA29" s="18">
        <v>0.15290642300000001</v>
      </c>
      <c r="AB29" s="18">
        <v>3.2434695999999999E-2</v>
      </c>
      <c r="AC29" s="18">
        <v>45179.42</v>
      </c>
      <c r="AD29" s="18">
        <v>201481.25</v>
      </c>
      <c r="AE29" s="18">
        <v>-25.28</v>
      </c>
      <c r="AG29" s="15"/>
      <c r="AH29" s="15"/>
      <c r="AI29" s="15"/>
      <c r="AJ29" s="15"/>
      <c r="AK29" s="15"/>
      <c r="AL29" s="15"/>
      <c r="AM29" s="15"/>
      <c r="AN29" s="15"/>
      <c r="AO29" s="15"/>
      <c r="AQ29" s="1">
        <f t="shared" si="0"/>
        <v>0</v>
      </c>
      <c r="AR29" s="1">
        <f t="shared" si="1"/>
        <v>0</v>
      </c>
      <c r="AS29" s="11" t="e">
        <f t="shared" si="2"/>
        <v>#DIV/0!</v>
      </c>
      <c r="AT29" s="11" t="e">
        <f t="shared" si="3"/>
        <v>#DIV/0!</v>
      </c>
      <c r="AU29" s="5" t="e">
        <f t="shared" si="4"/>
        <v>#DIV/0!</v>
      </c>
      <c r="AV29" s="5" t="e">
        <f t="shared" si="5"/>
        <v>#DIV/0!</v>
      </c>
      <c r="AW29" s="1" t="e">
        <f t="shared" si="6"/>
        <v>#DIV/0!</v>
      </c>
      <c r="AX29" s="1" t="e">
        <f t="shared" si="7"/>
        <v>#DIV/0!</v>
      </c>
      <c r="AY29" s="1" t="e">
        <f t="shared" si="8"/>
        <v>#DIV/0!</v>
      </c>
      <c r="AZ29" s="1" t="e">
        <f t="shared" si="9"/>
        <v>#DIV/0!</v>
      </c>
      <c r="BA29" s="1" t="e">
        <f t="shared" si="10"/>
        <v>#DIV/0!</v>
      </c>
      <c r="BB29" s="1" t="e">
        <f t="shared" si="11"/>
        <v>#DIV/0!</v>
      </c>
      <c r="BC29" s="1" t="e">
        <f t="shared" si="12"/>
        <v>#DIV/0!</v>
      </c>
      <c r="BD29" s="1" t="e">
        <f t="shared" si="13"/>
        <v>#DIV/0!</v>
      </c>
      <c r="BE29" s="1" t="e">
        <f t="shared" si="14"/>
        <v>#DIV/0!</v>
      </c>
      <c r="BF29" s="1" t="e">
        <f t="shared" si="15"/>
        <v>#DIV/0!</v>
      </c>
      <c r="BG29" s="1" t="e">
        <f t="shared" si="16"/>
        <v>#DIV/0!</v>
      </c>
      <c r="BH29" s="1" t="e">
        <f t="shared" si="17"/>
        <v>#DIV/0!</v>
      </c>
      <c r="BI29" s="1" t="e">
        <f t="shared" si="18"/>
        <v>#DIV/0!</v>
      </c>
      <c r="BJ29" s="1" t="e">
        <f t="shared" si="19"/>
        <v>#DIV/0!</v>
      </c>
      <c r="BK29" s="1" t="e">
        <f t="shared" si="20"/>
        <v>#DIV/0!</v>
      </c>
      <c r="BL29" s="1" t="e">
        <f t="shared" si="21"/>
        <v>#DIV/0!</v>
      </c>
      <c r="BM29" s="1" t="e">
        <f t="shared" si="22"/>
        <v>#DIV/0!</v>
      </c>
      <c r="BN29" s="1" t="e">
        <f t="shared" si="23"/>
        <v>#DIV/0!</v>
      </c>
      <c r="BP29" s="1" t="str">
        <f t="shared" si="24"/>
        <v>Drymill CCS Fermentation Exhaust</v>
      </c>
      <c r="BQ29" s="1" t="e">
        <f t="shared" si="25"/>
        <v>#DIV/0!</v>
      </c>
      <c r="BR29" s="1" t="e">
        <f t="shared" si="26"/>
        <v>#DIV/0!</v>
      </c>
      <c r="BS29" s="1" t="e">
        <f t="array" ref="BS29">_xlfn.IFS(S29="Biomass_Corn", 1/V29/H29*AL29, S29="Biomass_Agri", 1/V29/H29*AK29, S29="Biomass_Wood", 1/V29/H29*AJ29, S29="Biomass_Herb", 1/V29/H29*AI29)</f>
        <v>#DIV/0!</v>
      </c>
      <c r="BT29" s="1" t="e">
        <f t="shared" si="27"/>
        <v>#DIV/0!</v>
      </c>
      <c r="BU29" s="1" t="e">
        <f t="shared" si="28"/>
        <v>#DIV/0!</v>
      </c>
      <c r="BV29" s="1" t="e">
        <f t="shared" si="29"/>
        <v>#DIV/0!</v>
      </c>
      <c r="BW29" s="1" t="e">
        <f t="shared" si="30"/>
        <v>#DIV/0!</v>
      </c>
      <c r="BY29" s="9">
        <f t="shared" si="31"/>
        <v>3.1428571428571428</v>
      </c>
      <c r="BZ29" s="18">
        <f t="shared" si="32"/>
        <v>1.7588666580000001</v>
      </c>
      <c r="CA29" s="10">
        <v>0.1828908353</v>
      </c>
      <c r="CB29" s="9">
        <v>0.23037490999999999</v>
      </c>
      <c r="CD29" s="10" t="e">
        <f t="shared" si="33"/>
        <v>#DIV/0!</v>
      </c>
      <c r="CE29" s="10" t="e">
        <f t="shared" si="34"/>
        <v>#DIV/0!</v>
      </c>
      <c r="CF29" s="10" t="e">
        <f t="shared" si="35"/>
        <v>#DIV/0!</v>
      </c>
      <c r="CG29" s="10">
        <f t="shared" si="36"/>
        <v>0</v>
      </c>
      <c r="CI29" s="18" t="e">
        <f t="shared" si="37"/>
        <v>#DIV/0!</v>
      </c>
      <c r="CJ29" s="18" t="e">
        <f t="shared" si="38"/>
        <v>#DIV/0!</v>
      </c>
      <c r="CK29" s="10">
        <f t="shared" si="39"/>
        <v>3.1428571428571428</v>
      </c>
      <c r="CL29" s="10" t="e">
        <f t="shared" si="40"/>
        <v>#DIV/0!</v>
      </c>
      <c r="CN29" s="1" t="e">
        <f t="shared" si="41"/>
        <v>#DIV/0!</v>
      </c>
    </row>
    <row r="30" spans="2:92" x14ac:dyDescent="0.2">
      <c r="B30" s="24"/>
      <c r="C30" s="24"/>
      <c r="D30" s="24">
        <v>6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R30" s="18" t="str">
        <f t="array" ref="R30:AE30">_xlfn.XLOOKUP(D30, CP:CP, CQ:DD)</f>
        <v>Drymill CCS Fermentation Exhaust</v>
      </c>
      <c r="S30" s="18" t="str">
        <v>Biomass_Corn</v>
      </c>
      <c r="T30" s="18">
        <v>0</v>
      </c>
      <c r="U30" s="18">
        <v>8.5342824999999997E-2</v>
      </c>
      <c r="V30" s="18">
        <v>3.1043379949999999</v>
      </c>
      <c r="W30" s="18">
        <v>1.013397519</v>
      </c>
      <c r="X30" s="18">
        <v>1.7588666580000001</v>
      </c>
      <c r="Y30" s="18">
        <v>0.35768767200000001</v>
      </c>
      <c r="Z30" s="18">
        <v>0.68601739399999995</v>
      </c>
      <c r="AA30" s="18">
        <v>0.15290642300000001</v>
      </c>
      <c r="AB30" s="18">
        <v>3.2434695999999999E-2</v>
      </c>
      <c r="AC30" s="18">
        <v>45179.42</v>
      </c>
      <c r="AD30" s="18">
        <v>201481.25</v>
      </c>
      <c r="AE30" s="18">
        <v>-25.28</v>
      </c>
      <c r="AG30" s="15"/>
      <c r="AH30" s="15"/>
      <c r="AI30" s="15"/>
      <c r="AJ30" s="15"/>
      <c r="AK30" s="15"/>
      <c r="AL30" s="15"/>
      <c r="AM30" s="15"/>
      <c r="AN30" s="15"/>
      <c r="AO30" s="15"/>
      <c r="AQ30" s="1">
        <f t="shared" si="0"/>
        <v>0</v>
      </c>
      <c r="AR30" s="1">
        <f t="shared" si="1"/>
        <v>0</v>
      </c>
      <c r="AS30" s="11" t="e">
        <f t="shared" si="2"/>
        <v>#DIV/0!</v>
      </c>
      <c r="AT30" s="11" t="e">
        <f t="shared" si="3"/>
        <v>#DIV/0!</v>
      </c>
      <c r="AU30" s="5" t="e">
        <f t="shared" si="4"/>
        <v>#DIV/0!</v>
      </c>
      <c r="AV30" s="5" t="e">
        <f t="shared" si="5"/>
        <v>#DIV/0!</v>
      </c>
      <c r="AW30" s="1" t="e">
        <f t="shared" si="6"/>
        <v>#DIV/0!</v>
      </c>
      <c r="AX30" s="1" t="e">
        <f t="shared" si="7"/>
        <v>#DIV/0!</v>
      </c>
      <c r="AY30" s="1" t="e">
        <f t="shared" si="8"/>
        <v>#DIV/0!</v>
      </c>
      <c r="AZ30" s="1" t="e">
        <f t="shared" si="9"/>
        <v>#DIV/0!</v>
      </c>
      <c r="BA30" s="1" t="e">
        <f t="shared" si="10"/>
        <v>#DIV/0!</v>
      </c>
      <c r="BB30" s="1" t="e">
        <f t="shared" si="11"/>
        <v>#DIV/0!</v>
      </c>
      <c r="BC30" s="1" t="e">
        <f t="shared" si="12"/>
        <v>#DIV/0!</v>
      </c>
      <c r="BD30" s="1" t="e">
        <f t="shared" si="13"/>
        <v>#DIV/0!</v>
      </c>
      <c r="BE30" s="1" t="e">
        <f t="shared" si="14"/>
        <v>#DIV/0!</v>
      </c>
      <c r="BF30" s="1" t="e">
        <f t="shared" si="15"/>
        <v>#DIV/0!</v>
      </c>
      <c r="BG30" s="1" t="e">
        <f t="shared" si="16"/>
        <v>#DIV/0!</v>
      </c>
      <c r="BH30" s="1" t="e">
        <f t="shared" si="17"/>
        <v>#DIV/0!</v>
      </c>
      <c r="BI30" s="1" t="e">
        <f t="shared" si="18"/>
        <v>#DIV/0!</v>
      </c>
      <c r="BJ30" s="1" t="e">
        <f t="shared" si="19"/>
        <v>#DIV/0!</v>
      </c>
      <c r="BK30" s="1" t="e">
        <f t="shared" si="20"/>
        <v>#DIV/0!</v>
      </c>
      <c r="BL30" s="1" t="e">
        <f t="shared" si="21"/>
        <v>#DIV/0!</v>
      </c>
      <c r="BM30" s="1" t="e">
        <f t="shared" si="22"/>
        <v>#DIV/0!</v>
      </c>
      <c r="BN30" s="1" t="e">
        <f t="shared" si="23"/>
        <v>#DIV/0!</v>
      </c>
      <c r="BP30" s="1" t="str">
        <f t="shared" si="24"/>
        <v>Drymill CCS Fermentation Exhaust</v>
      </c>
      <c r="BQ30" s="1" t="e">
        <f t="shared" si="25"/>
        <v>#DIV/0!</v>
      </c>
      <c r="BR30" s="1" t="e">
        <f t="shared" si="26"/>
        <v>#DIV/0!</v>
      </c>
      <c r="BS30" s="1" t="e">
        <f t="array" ref="BS30">_xlfn.IFS(S30="Biomass_Corn", 1/V30/H30*AL30, S30="Biomass_Agri", 1/V30/H30*AK30, S30="Biomass_Wood", 1/V30/H30*AJ30, S30="Biomass_Herb", 1/V30/H30*AI30)</f>
        <v>#DIV/0!</v>
      </c>
      <c r="BT30" s="1" t="e">
        <f t="shared" si="27"/>
        <v>#DIV/0!</v>
      </c>
      <c r="BU30" s="1" t="e">
        <f t="shared" si="28"/>
        <v>#DIV/0!</v>
      </c>
      <c r="BV30" s="1" t="e">
        <f t="shared" si="29"/>
        <v>#DIV/0!</v>
      </c>
      <c r="BW30" s="1" t="e">
        <f t="shared" si="30"/>
        <v>#DIV/0!</v>
      </c>
      <c r="BY30" s="9">
        <f t="shared" si="31"/>
        <v>3.1428571428571428</v>
      </c>
      <c r="BZ30" s="18">
        <f t="shared" si="32"/>
        <v>1.7588666580000001</v>
      </c>
      <c r="CA30" s="10">
        <v>0.1828908353</v>
      </c>
      <c r="CB30" s="9">
        <v>0.23037490999999999</v>
      </c>
      <c r="CD30" s="10" t="e">
        <f t="shared" si="33"/>
        <v>#DIV/0!</v>
      </c>
      <c r="CE30" s="10" t="e">
        <f t="shared" si="34"/>
        <v>#DIV/0!</v>
      </c>
      <c r="CF30" s="10" t="e">
        <f t="shared" si="35"/>
        <v>#DIV/0!</v>
      </c>
      <c r="CG30" s="10">
        <f t="shared" si="36"/>
        <v>0</v>
      </c>
      <c r="CI30" s="18" t="e">
        <f t="shared" si="37"/>
        <v>#DIV/0!</v>
      </c>
      <c r="CJ30" s="18" t="e">
        <f t="shared" si="38"/>
        <v>#DIV/0!</v>
      </c>
      <c r="CK30" s="10">
        <f t="shared" si="39"/>
        <v>3.1428571428571428</v>
      </c>
      <c r="CL30" s="10" t="e">
        <f t="shared" si="40"/>
        <v>#DIV/0!</v>
      </c>
      <c r="CN30" s="1" t="e">
        <f t="shared" si="41"/>
        <v>#DIV/0!</v>
      </c>
    </row>
    <row r="31" spans="2:92" x14ac:dyDescent="0.2">
      <c r="B31" s="24"/>
      <c r="C31" s="24"/>
      <c r="D31" s="24">
        <v>6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R31" s="18" t="str">
        <f t="array" ref="R31:AE31">_xlfn.XLOOKUP(D31, CP:CP, CQ:DD)</f>
        <v>Drymill CCS Fermentation Exhaust</v>
      </c>
      <c r="S31" s="18" t="str">
        <v>Biomass_Corn</v>
      </c>
      <c r="T31" s="18">
        <v>0</v>
      </c>
      <c r="U31" s="18">
        <v>8.5342824999999997E-2</v>
      </c>
      <c r="V31" s="18">
        <v>3.1043379949999999</v>
      </c>
      <c r="W31" s="18">
        <v>1.013397519</v>
      </c>
      <c r="X31" s="18">
        <v>1.7588666580000001</v>
      </c>
      <c r="Y31" s="18">
        <v>0.35768767200000001</v>
      </c>
      <c r="Z31" s="18">
        <v>0.68601739399999995</v>
      </c>
      <c r="AA31" s="18">
        <v>0.15290642300000001</v>
      </c>
      <c r="AB31" s="18">
        <v>3.2434695999999999E-2</v>
      </c>
      <c r="AC31" s="18">
        <v>45179.42</v>
      </c>
      <c r="AD31" s="18">
        <v>201481.25</v>
      </c>
      <c r="AE31" s="18">
        <v>-25.28</v>
      </c>
      <c r="AG31" s="15"/>
      <c r="AH31" s="15"/>
      <c r="AI31" s="15"/>
      <c r="AJ31" s="15"/>
      <c r="AK31" s="15"/>
      <c r="AL31" s="15"/>
      <c r="AM31" s="15"/>
      <c r="AN31" s="15"/>
      <c r="AO31" s="15"/>
      <c r="AQ31" s="1">
        <f t="shared" si="0"/>
        <v>0</v>
      </c>
      <c r="AR31" s="1">
        <f t="shared" si="1"/>
        <v>0</v>
      </c>
      <c r="AS31" s="11" t="e">
        <f t="shared" si="2"/>
        <v>#DIV/0!</v>
      </c>
      <c r="AT31" s="11" t="e">
        <f t="shared" si="3"/>
        <v>#DIV/0!</v>
      </c>
      <c r="AU31" s="5" t="e">
        <f t="shared" si="4"/>
        <v>#DIV/0!</v>
      </c>
      <c r="AV31" s="5" t="e">
        <f t="shared" si="5"/>
        <v>#DIV/0!</v>
      </c>
      <c r="AW31" s="1" t="e">
        <f t="shared" si="6"/>
        <v>#DIV/0!</v>
      </c>
      <c r="AX31" s="1" t="e">
        <f t="shared" si="7"/>
        <v>#DIV/0!</v>
      </c>
      <c r="AY31" s="1" t="e">
        <f t="shared" si="8"/>
        <v>#DIV/0!</v>
      </c>
      <c r="AZ31" s="1" t="e">
        <f t="shared" si="9"/>
        <v>#DIV/0!</v>
      </c>
      <c r="BA31" s="1" t="e">
        <f t="shared" si="10"/>
        <v>#DIV/0!</v>
      </c>
      <c r="BB31" s="1" t="e">
        <f t="shared" si="11"/>
        <v>#DIV/0!</v>
      </c>
      <c r="BC31" s="1" t="e">
        <f t="shared" si="12"/>
        <v>#DIV/0!</v>
      </c>
      <c r="BD31" s="1" t="e">
        <f t="shared" si="13"/>
        <v>#DIV/0!</v>
      </c>
      <c r="BE31" s="1" t="e">
        <f t="shared" si="14"/>
        <v>#DIV/0!</v>
      </c>
      <c r="BF31" s="1" t="e">
        <f t="shared" si="15"/>
        <v>#DIV/0!</v>
      </c>
      <c r="BG31" s="1" t="e">
        <f t="shared" si="16"/>
        <v>#DIV/0!</v>
      </c>
      <c r="BH31" s="1" t="e">
        <f t="shared" si="17"/>
        <v>#DIV/0!</v>
      </c>
      <c r="BI31" s="1" t="e">
        <f t="shared" si="18"/>
        <v>#DIV/0!</v>
      </c>
      <c r="BJ31" s="1" t="e">
        <f t="shared" si="19"/>
        <v>#DIV/0!</v>
      </c>
      <c r="BK31" s="1" t="e">
        <f t="shared" si="20"/>
        <v>#DIV/0!</v>
      </c>
      <c r="BL31" s="1" t="e">
        <f t="shared" si="21"/>
        <v>#DIV/0!</v>
      </c>
      <c r="BM31" s="1" t="e">
        <f t="shared" si="22"/>
        <v>#DIV/0!</v>
      </c>
      <c r="BN31" s="1" t="e">
        <f t="shared" si="23"/>
        <v>#DIV/0!</v>
      </c>
      <c r="BP31" s="1" t="str">
        <f t="shared" si="24"/>
        <v>Drymill CCS Fermentation Exhaust</v>
      </c>
      <c r="BQ31" s="1" t="e">
        <f t="shared" si="25"/>
        <v>#DIV/0!</v>
      </c>
      <c r="BR31" s="1" t="e">
        <f t="shared" si="26"/>
        <v>#DIV/0!</v>
      </c>
      <c r="BS31" s="1" t="e">
        <f t="array" ref="BS31">_xlfn.IFS(S31="Biomass_Corn", 1/V31/H31*AL31, S31="Biomass_Agri", 1/V31/H31*AK31, S31="Biomass_Wood", 1/V31/H31*AJ31, S31="Biomass_Herb", 1/V31/H31*AI31)</f>
        <v>#DIV/0!</v>
      </c>
      <c r="BT31" s="1" t="e">
        <f t="shared" si="27"/>
        <v>#DIV/0!</v>
      </c>
      <c r="BU31" s="1" t="e">
        <f t="shared" si="28"/>
        <v>#DIV/0!</v>
      </c>
      <c r="BV31" s="1" t="e">
        <f t="shared" si="29"/>
        <v>#DIV/0!</v>
      </c>
      <c r="BW31" s="1" t="e">
        <f t="shared" si="30"/>
        <v>#DIV/0!</v>
      </c>
      <c r="BY31" s="9">
        <f t="shared" si="31"/>
        <v>3.1428571428571428</v>
      </c>
      <c r="BZ31" s="18">
        <f t="shared" si="32"/>
        <v>1.7588666580000001</v>
      </c>
      <c r="CA31" s="10">
        <v>0.1828908353</v>
      </c>
      <c r="CB31" s="9">
        <v>0.23037490999999999</v>
      </c>
      <c r="CD31" s="10" t="e">
        <f t="shared" si="33"/>
        <v>#DIV/0!</v>
      </c>
      <c r="CE31" s="10" t="e">
        <f t="shared" si="34"/>
        <v>#DIV/0!</v>
      </c>
      <c r="CF31" s="10" t="e">
        <f t="shared" si="35"/>
        <v>#DIV/0!</v>
      </c>
      <c r="CG31" s="10">
        <f t="shared" si="36"/>
        <v>0</v>
      </c>
      <c r="CI31" s="18" t="e">
        <f t="shared" si="37"/>
        <v>#DIV/0!</v>
      </c>
      <c r="CJ31" s="18" t="e">
        <f t="shared" si="38"/>
        <v>#DIV/0!</v>
      </c>
      <c r="CK31" s="10">
        <f t="shared" si="39"/>
        <v>3.1428571428571428</v>
      </c>
      <c r="CL31" s="10" t="e">
        <f t="shared" si="40"/>
        <v>#DIV/0!</v>
      </c>
      <c r="CN31" s="1" t="e">
        <f t="shared" si="41"/>
        <v>#DIV/0!</v>
      </c>
    </row>
    <row r="32" spans="2:92" x14ac:dyDescent="0.2">
      <c r="B32" s="24"/>
      <c r="C32" s="24"/>
      <c r="D32" s="24">
        <v>6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R32" s="18" t="str">
        <f t="array" ref="R32:AE32">_xlfn.XLOOKUP(D32, CP:CP, CQ:DD)</f>
        <v>Drymill CCS Fermentation Exhaust</v>
      </c>
      <c r="S32" s="18" t="str">
        <v>Biomass_Corn</v>
      </c>
      <c r="T32" s="18">
        <v>0</v>
      </c>
      <c r="U32" s="18">
        <v>8.5342824999999997E-2</v>
      </c>
      <c r="V32" s="18">
        <v>3.1043379949999999</v>
      </c>
      <c r="W32" s="18">
        <v>1.013397519</v>
      </c>
      <c r="X32" s="18">
        <v>1.7588666580000001</v>
      </c>
      <c r="Y32" s="18">
        <v>0.35768767200000001</v>
      </c>
      <c r="Z32" s="18">
        <v>0.68601739399999995</v>
      </c>
      <c r="AA32" s="18">
        <v>0.15290642300000001</v>
      </c>
      <c r="AB32" s="18">
        <v>3.2434695999999999E-2</v>
      </c>
      <c r="AC32" s="18">
        <v>45179.42</v>
      </c>
      <c r="AD32" s="18">
        <v>201481.25</v>
      </c>
      <c r="AE32" s="18">
        <v>-25.28</v>
      </c>
      <c r="AG32" s="15"/>
      <c r="AH32" s="15"/>
      <c r="AI32" s="15"/>
      <c r="AJ32" s="15"/>
      <c r="AK32" s="15"/>
      <c r="AL32" s="15"/>
      <c r="AM32" s="15"/>
      <c r="AN32" s="15"/>
      <c r="AO32" s="15"/>
      <c r="AQ32" s="1">
        <f t="shared" si="0"/>
        <v>0</v>
      </c>
      <c r="AR32" s="1">
        <f t="shared" si="1"/>
        <v>0</v>
      </c>
      <c r="AS32" s="11" t="e">
        <f t="shared" si="2"/>
        <v>#DIV/0!</v>
      </c>
      <c r="AT32" s="11" t="e">
        <f t="shared" si="3"/>
        <v>#DIV/0!</v>
      </c>
      <c r="AU32" s="5" t="e">
        <f t="shared" si="4"/>
        <v>#DIV/0!</v>
      </c>
      <c r="AV32" s="5" t="e">
        <f t="shared" si="5"/>
        <v>#DIV/0!</v>
      </c>
      <c r="AW32" s="1" t="e">
        <f t="shared" si="6"/>
        <v>#DIV/0!</v>
      </c>
      <c r="AX32" s="1" t="e">
        <f t="shared" si="7"/>
        <v>#DIV/0!</v>
      </c>
      <c r="AY32" s="1" t="e">
        <f t="shared" si="8"/>
        <v>#DIV/0!</v>
      </c>
      <c r="AZ32" s="1" t="e">
        <f t="shared" si="9"/>
        <v>#DIV/0!</v>
      </c>
      <c r="BA32" s="1" t="e">
        <f t="shared" si="10"/>
        <v>#DIV/0!</v>
      </c>
      <c r="BB32" s="1" t="e">
        <f t="shared" si="11"/>
        <v>#DIV/0!</v>
      </c>
      <c r="BC32" s="1" t="e">
        <f t="shared" si="12"/>
        <v>#DIV/0!</v>
      </c>
      <c r="BD32" s="1" t="e">
        <f t="shared" si="13"/>
        <v>#DIV/0!</v>
      </c>
      <c r="BE32" s="1" t="e">
        <f t="shared" si="14"/>
        <v>#DIV/0!</v>
      </c>
      <c r="BF32" s="1" t="e">
        <f t="shared" si="15"/>
        <v>#DIV/0!</v>
      </c>
      <c r="BG32" s="1" t="e">
        <f t="shared" si="16"/>
        <v>#DIV/0!</v>
      </c>
      <c r="BH32" s="1" t="e">
        <f t="shared" si="17"/>
        <v>#DIV/0!</v>
      </c>
      <c r="BI32" s="1" t="e">
        <f t="shared" si="18"/>
        <v>#DIV/0!</v>
      </c>
      <c r="BJ32" s="1" t="e">
        <f t="shared" si="19"/>
        <v>#DIV/0!</v>
      </c>
      <c r="BK32" s="1" t="e">
        <f t="shared" si="20"/>
        <v>#DIV/0!</v>
      </c>
      <c r="BL32" s="1" t="e">
        <f t="shared" si="21"/>
        <v>#DIV/0!</v>
      </c>
      <c r="BM32" s="1" t="e">
        <f t="shared" si="22"/>
        <v>#DIV/0!</v>
      </c>
      <c r="BN32" s="1" t="e">
        <f t="shared" si="23"/>
        <v>#DIV/0!</v>
      </c>
      <c r="BP32" s="1" t="str">
        <f t="shared" si="24"/>
        <v>Drymill CCS Fermentation Exhaust</v>
      </c>
      <c r="BQ32" s="1" t="e">
        <f t="shared" si="25"/>
        <v>#DIV/0!</v>
      </c>
      <c r="BR32" s="1" t="e">
        <f t="shared" si="26"/>
        <v>#DIV/0!</v>
      </c>
      <c r="BS32" s="1" t="e">
        <f t="array" ref="BS32">_xlfn.IFS(S32="Biomass_Corn", 1/V32/H32*AL32, S32="Biomass_Agri", 1/V32/H32*AK32, S32="Biomass_Wood", 1/V32/H32*AJ32, S32="Biomass_Herb", 1/V32/H32*AI32)</f>
        <v>#DIV/0!</v>
      </c>
      <c r="BT32" s="1" t="e">
        <f t="shared" si="27"/>
        <v>#DIV/0!</v>
      </c>
      <c r="BU32" s="1" t="e">
        <f t="shared" si="28"/>
        <v>#DIV/0!</v>
      </c>
      <c r="BV32" s="1" t="e">
        <f t="shared" si="29"/>
        <v>#DIV/0!</v>
      </c>
      <c r="BW32" s="1" t="e">
        <f t="shared" si="30"/>
        <v>#DIV/0!</v>
      </c>
      <c r="BY32" s="9">
        <f t="shared" si="31"/>
        <v>3.1428571428571428</v>
      </c>
      <c r="BZ32" s="18">
        <f t="shared" si="32"/>
        <v>1.7588666580000001</v>
      </c>
      <c r="CA32" s="10">
        <v>0.1828908353</v>
      </c>
      <c r="CB32" s="9">
        <v>0.23037490999999999</v>
      </c>
      <c r="CD32" s="10" t="e">
        <f t="shared" si="33"/>
        <v>#DIV/0!</v>
      </c>
      <c r="CE32" s="10" t="e">
        <f t="shared" si="34"/>
        <v>#DIV/0!</v>
      </c>
      <c r="CF32" s="10" t="e">
        <f t="shared" si="35"/>
        <v>#DIV/0!</v>
      </c>
      <c r="CG32" s="10">
        <f t="shared" si="36"/>
        <v>0</v>
      </c>
      <c r="CI32" s="18" t="e">
        <f t="shared" si="37"/>
        <v>#DIV/0!</v>
      </c>
      <c r="CJ32" s="18" t="e">
        <f t="shared" si="38"/>
        <v>#DIV/0!</v>
      </c>
      <c r="CK32" s="10">
        <f t="shared" si="39"/>
        <v>3.1428571428571428</v>
      </c>
      <c r="CL32" s="10" t="e">
        <f t="shared" si="40"/>
        <v>#DIV/0!</v>
      </c>
      <c r="CN32" s="1" t="e">
        <f t="shared" si="41"/>
        <v>#DIV/0!</v>
      </c>
    </row>
    <row r="33" spans="2:92" x14ac:dyDescent="0.2">
      <c r="B33" s="24"/>
      <c r="C33" s="24"/>
      <c r="D33" s="24">
        <v>6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R33" s="18" t="str">
        <f t="array" ref="R33:AE33">_xlfn.XLOOKUP(D33, CP:CP, CQ:DD)</f>
        <v>Drymill CCS Fermentation Exhaust</v>
      </c>
      <c r="S33" s="18" t="str">
        <v>Biomass_Corn</v>
      </c>
      <c r="T33" s="18">
        <v>0</v>
      </c>
      <c r="U33" s="18">
        <v>8.5342824999999997E-2</v>
      </c>
      <c r="V33" s="18">
        <v>3.1043379949999999</v>
      </c>
      <c r="W33" s="18">
        <v>1.013397519</v>
      </c>
      <c r="X33" s="18">
        <v>1.7588666580000001</v>
      </c>
      <c r="Y33" s="18">
        <v>0.35768767200000001</v>
      </c>
      <c r="Z33" s="18">
        <v>0.68601739399999995</v>
      </c>
      <c r="AA33" s="18">
        <v>0.15290642300000001</v>
      </c>
      <c r="AB33" s="18">
        <v>3.2434695999999999E-2</v>
      </c>
      <c r="AC33" s="18">
        <v>45179.42</v>
      </c>
      <c r="AD33" s="18">
        <v>201481.25</v>
      </c>
      <c r="AE33" s="18">
        <v>-25.28</v>
      </c>
      <c r="AG33" s="15"/>
      <c r="AH33" s="15"/>
      <c r="AI33" s="15"/>
      <c r="AJ33" s="15"/>
      <c r="AK33" s="15"/>
      <c r="AL33" s="15"/>
      <c r="AM33" s="15"/>
      <c r="AN33" s="15"/>
      <c r="AO33" s="15"/>
      <c r="AQ33" s="1">
        <f t="shared" si="0"/>
        <v>0</v>
      </c>
      <c r="AR33" s="1">
        <f t="shared" si="1"/>
        <v>0</v>
      </c>
      <c r="AS33" s="11" t="e">
        <f t="shared" si="2"/>
        <v>#DIV/0!</v>
      </c>
      <c r="AT33" s="11" t="e">
        <f t="shared" si="3"/>
        <v>#DIV/0!</v>
      </c>
      <c r="AU33" s="5" t="e">
        <f t="shared" si="4"/>
        <v>#DIV/0!</v>
      </c>
      <c r="AV33" s="5" t="e">
        <f t="shared" si="5"/>
        <v>#DIV/0!</v>
      </c>
      <c r="AW33" s="1" t="e">
        <f t="shared" si="6"/>
        <v>#DIV/0!</v>
      </c>
      <c r="AX33" s="1" t="e">
        <f t="shared" si="7"/>
        <v>#DIV/0!</v>
      </c>
      <c r="AY33" s="1" t="e">
        <f t="shared" si="8"/>
        <v>#DIV/0!</v>
      </c>
      <c r="AZ33" s="1" t="e">
        <f t="shared" si="9"/>
        <v>#DIV/0!</v>
      </c>
      <c r="BA33" s="1" t="e">
        <f t="shared" si="10"/>
        <v>#DIV/0!</v>
      </c>
      <c r="BB33" s="1" t="e">
        <f t="shared" si="11"/>
        <v>#DIV/0!</v>
      </c>
      <c r="BC33" s="1" t="e">
        <f t="shared" si="12"/>
        <v>#DIV/0!</v>
      </c>
      <c r="BD33" s="1" t="e">
        <f t="shared" si="13"/>
        <v>#DIV/0!</v>
      </c>
      <c r="BE33" s="1" t="e">
        <f t="shared" si="14"/>
        <v>#DIV/0!</v>
      </c>
      <c r="BF33" s="1" t="e">
        <f t="shared" si="15"/>
        <v>#DIV/0!</v>
      </c>
      <c r="BG33" s="1" t="e">
        <f t="shared" si="16"/>
        <v>#DIV/0!</v>
      </c>
      <c r="BH33" s="1" t="e">
        <f t="shared" si="17"/>
        <v>#DIV/0!</v>
      </c>
      <c r="BI33" s="1" t="e">
        <f t="shared" si="18"/>
        <v>#DIV/0!</v>
      </c>
      <c r="BJ33" s="1" t="e">
        <f t="shared" si="19"/>
        <v>#DIV/0!</v>
      </c>
      <c r="BK33" s="1" t="e">
        <f t="shared" si="20"/>
        <v>#DIV/0!</v>
      </c>
      <c r="BL33" s="1" t="e">
        <f t="shared" si="21"/>
        <v>#DIV/0!</v>
      </c>
      <c r="BM33" s="1" t="e">
        <f t="shared" si="22"/>
        <v>#DIV/0!</v>
      </c>
      <c r="BN33" s="1" t="e">
        <f t="shared" si="23"/>
        <v>#DIV/0!</v>
      </c>
      <c r="BP33" s="1" t="str">
        <f t="shared" si="24"/>
        <v>Drymill CCS Fermentation Exhaust</v>
      </c>
      <c r="BQ33" s="1" t="e">
        <f t="shared" si="25"/>
        <v>#DIV/0!</v>
      </c>
      <c r="BR33" s="1" t="e">
        <f t="shared" si="26"/>
        <v>#DIV/0!</v>
      </c>
      <c r="BS33" s="1" t="e">
        <f t="array" ref="BS33">_xlfn.IFS(S33="Biomass_Corn", 1/V33/H33*AL33, S33="Biomass_Agri", 1/V33/H33*AK33, S33="Biomass_Wood", 1/V33/H33*AJ33, S33="Biomass_Herb", 1/V33/H33*AI33)</f>
        <v>#DIV/0!</v>
      </c>
      <c r="BT33" s="1" t="e">
        <f t="shared" si="27"/>
        <v>#DIV/0!</v>
      </c>
      <c r="BU33" s="1" t="e">
        <f t="shared" si="28"/>
        <v>#DIV/0!</v>
      </c>
      <c r="BV33" s="1" t="e">
        <f t="shared" si="29"/>
        <v>#DIV/0!</v>
      </c>
      <c r="BW33" s="1" t="e">
        <f t="shared" si="30"/>
        <v>#DIV/0!</v>
      </c>
      <c r="BY33" s="9">
        <f t="shared" si="31"/>
        <v>3.1428571428571428</v>
      </c>
      <c r="BZ33" s="18">
        <f t="shared" si="32"/>
        <v>1.7588666580000001</v>
      </c>
      <c r="CA33" s="10">
        <v>0.1828908353</v>
      </c>
      <c r="CB33" s="9">
        <v>0.23037490999999999</v>
      </c>
      <c r="CD33" s="10" t="e">
        <f t="shared" si="33"/>
        <v>#DIV/0!</v>
      </c>
      <c r="CE33" s="10" t="e">
        <f t="shared" si="34"/>
        <v>#DIV/0!</v>
      </c>
      <c r="CF33" s="10" t="e">
        <f t="shared" si="35"/>
        <v>#DIV/0!</v>
      </c>
      <c r="CG33" s="10">
        <f t="shared" si="36"/>
        <v>0</v>
      </c>
      <c r="CI33" s="18" t="e">
        <f t="shared" si="37"/>
        <v>#DIV/0!</v>
      </c>
      <c r="CJ33" s="18" t="e">
        <f t="shared" si="38"/>
        <v>#DIV/0!</v>
      </c>
      <c r="CK33" s="10">
        <f t="shared" si="39"/>
        <v>3.1428571428571428</v>
      </c>
      <c r="CL33" s="10" t="e">
        <f t="shared" si="40"/>
        <v>#DIV/0!</v>
      </c>
      <c r="CN33" s="1" t="e">
        <f t="shared" si="41"/>
        <v>#DIV/0!</v>
      </c>
    </row>
    <row r="34" spans="2:92" x14ac:dyDescent="0.2">
      <c r="B34" s="24"/>
      <c r="C34" s="24"/>
      <c r="D34" s="24">
        <v>6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R34" s="18" t="str">
        <f t="array" ref="R34:AE34">_xlfn.XLOOKUP(D34, CP:CP, CQ:DD)</f>
        <v>Drymill CCS Fermentation Exhaust</v>
      </c>
      <c r="S34" s="18" t="str">
        <v>Biomass_Corn</v>
      </c>
      <c r="T34" s="18">
        <v>0</v>
      </c>
      <c r="U34" s="18">
        <v>8.5342824999999997E-2</v>
      </c>
      <c r="V34" s="18">
        <v>3.1043379949999999</v>
      </c>
      <c r="W34" s="18">
        <v>1.013397519</v>
      </c>
      <c r="X34" s="18">
        <v>1.7588666580000001</v>
      </c>
      <c r="Y34" s="18">
        <v>0.35768767200000001</v>
      </c>
      <c r="Z34" s="18">
        <v>0.68601739399999995</v>
      </c>
      <c r="AA34" s="18">
        <v>0.15290642300000001</v>
      </c>
      <c r="AB34" s="18">
        <v>3.2434695999999999E-2</v>
      </c>
      <c r="AC34" s="18">
        <v>45179.42</v>
      </c>
      <c r="AD34" s="18">
        <v>201481.25</v>
      </c>
      <c r="AE34" s="18">
        <v>-25.28</v>
      </c>
      <c r="AG34" s="15"/>
      <c r="AH34" s="15"/>
      <c r="AI34" s="15"/>
      <c r="AJ34" s="15"/>
      <c r="AK34" s="15"/>
      <c r="AL34" s="15"/>
      <c r="AM34" s="15"/>
      <c r="AN34" s="15"/>
      <c r="AO34" s="15"/>
      <c r="AQ34" s="1">
        <f t="shared" si="0"/>
        <v>0</v>
      </c>
      <c r="AR34" s="1">
        <f t="shared" si="1"/>
        <v>0</v>
      </c>
      <c r="AS34" s="11" t="e">
        <f t="shared" si="2"/>
        <v>#DIV/0!</v>
      </c>
      <c r="AT34" s="11" t="e">
        <f t="shared" si="3"/>
        <v>#DIV/0!</v>
      </c>
      <c r="AU34" s="5" t="e">
        <f t="shared" si="4"/>
        <v>#DIV/0!</v>
      </c>
      <c r="AV34" s="5" t="e">
        <f t="shared" si="5"/>
        <v>#DIV/0!</v>
      </c>
      <c r="AW34" s="1" t="e">
        <f t="shared" si="6"/>
        <v>#DIV/0!</v>
      </c>
      <c r="AX34" s="1" t="e">
        <f t="shared" si="7"/>
        <v>#DIV/0!</v>
      </c>
      <c r="AY34" s="1" t="e">
        <f t="shared" si="8"/>
        <v>#DIV/0!</v>
      </c>
      <c r="AZ34" s="1" t="e">
        <f t="shared" si="9"/>
        <v>#DIV/0!</v>
      </c>
      <c r="BA34" s="1" t="e">
        <f t="shared" si="10"/>
        <v>#DIV/0!</v>
      </c>
      <c r="BB34" s="1" t="e">
        <f t="shared" si="11"/>
        <v>#DIV/0!</v>
      </c>
      <c r="BC34" s="1" t="e">
        <f t="shared" si="12"/>
        <v>#DIV/0!</v>
      </c>
      <c r="BD34" s="1" t="e">
        <f t="shared" si="13"/>
        <v>#DIV/0!</v>
      </c>
      <c r="BE34" s="1" t="e">
        <f t="shared" si="14"/>
        <v>#DIV/0!</v>
      </c>
      <c r="BF34" s="1" t="e">
        <f t="shared" si="15"/>
        <v>#DIV/0!</v>
      </c>
      <c r="BG34" s="1" t="e">
        <f t="shared" si="16"/>
        <v>#DIV/0!</v>
      </c>
      <c r="BH34" s="1" t="e">
        <f t="shared" si="17"/>
        <v>#DIV/0!</v>
      </c>
      <c r="BI34" s="1" t="e">
        <f t="shared" si="18"/>
        <v>#DIV/0!</v>
      </c>
      <c r="BJ34" s="1" t="e">
        <f t="shared" si="19"/>
        <v>#DIV/0!</v>
      </c>
      <c r="BK34" s="1" t="e">
        <f t="shared" si="20"/>
        <v>#DIV/0!</v>
      </c>
      <c r="BL34" s="1" t="e">
        <f t="shared" si="21"/>
        <v>#DIV/0!</v>
      </c>
      <c r="BM34" s="1" t="e">
        <f t="shared" si="22"/>
        <v>#DIV/0!</v>
      </c>
      <c r="BN34" s="1" t="e">
        <f t="shared" si="23"/>
        <v>#DIV/0!</v>
      </c>
      <c r="BP34" s="1" t="str">
        <f t="shared" si="24"/>
        <v>Drymill CCS Fermentation Exhaust</v>
      </c>
      <c r="BQ34" s="1" t="e">
        <f t="shared" si="25"/>
        <v>#DIV/0!</v>
      </c>
      <c r="BR34" s="1" t="e">
        <f t="shared" si="26"/>
        <v>#DIV/0!</v>
      </c>
      <c r="BS34" s="1" t="e">
        <f t="array" ref="BS34">_xlfn.IFS(S34="Biomass_Corn", 1/V34/H34*AL34, S34="Biomass_Agri", 1/V34/H34*AK34, S34="Biomass_Wood", 1/V34/H34*AJ34, S34="Biomass_Herb", 1/V34/H34*AI34)</f>
        <v>#DIV/0!</v>
      </c>
      <c r="BT34" s="1" t="e">
        <f t="shared" si="27"/>
        <v>#DIV/0!</v>
      </c>
      <c r="BU34" s="1" t="e">
        <f t="shared" si="28"/>
        <v>#DIV/0!</v>
      </c>
      <c r="BV34" s="1" t="e">
        <f t="shared" si="29"/>
        <v>#DIV/0!</v>
      </c>
      <c r="BW34" s="1" t="e">
        <f t="shared" si="30"/>
        <v>#DIV/0!</v>
      </c>
      <c r="BY34" s="9">
        <f t="shared" si="31"/>
        <v>3.1428571428571428</v>
      </c>
      <c r="BZ34" s="18">
        <f t="shared" si="32"/>
        <v>1.7588666580000001</v>
      </c>
      <c r="CA34" s="10">
        <v>0.1828908353</v>
      </c>
      <c r="CB34" s="9">
        <v>0.23037490999999999</v>
      </c>
      <c r="CD34" s="10" t="e">
        <f t="shared" si="33"/>
        <v>#DIV/0!</v>
      </c>
      <c r="CE34" s="10" t="e">
        <f t="shared" si="34"/>
        <v>#DIV/0!</v>
      </c>
      <c r="CF34" s="10" t="e">
        <f t="shared" si="35"/>
        <v>#DIV/0!</v>
      </c>
      <c r="CG34" s="10">
        <f t="shared" si="36"/>
        <v>0</v>
      </c>
      <c r="CI34" s="18" t="e">
        <f t="shared" si="37"/>
        <v>#DIV/0!</v>
      </c>
      <c r="CJ34" s="18" t="e">
        <f t="shared" si="38"/>
        <v>#DIV/0!</v>
      </c>
      <c r="CK34" s="10">
        <f t="shared" si="39"/>
        <v>3.1428571428571428</v>
      </c>
      <c r="CL34" s="10" t="e">
        <f t="shared" si="40"/>
        <v>#DIV/0!</v>
      </c>
      <c r="CN34" s="1" t="e">
        <f t="shared" si="41"/>
        <v>#DIV/0!</v>
      </c>
    </row>
    <row r="35" spans="2:92" x14ac:dyDescent="0.2">
      <c r="B35" s="24"/>
      <c r="C35" s="24"/>
      <c r="D35" s="24">
        <v>6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R35" s="18" t="str">
        <f t="array" ref="R35:AE35">_xlfn.XLOOKUP(D35, CP:CP, CQ:DD)</f>
        <v>Drymill CCS Fermentation Exhaust</v>
      </c>
      <c r="S35" s="18" t="str">
        <v>Biomass_Corn</v>
      </c>
      <c r="T35" s="18">
        <v>0</v>
      </c>
      <c r="U35" s="18">
        <v>8.5342824999999997E-2</v>
      </c>
      <c r="V35" s="18">
        <v>3.1043379949999999</v>
      </c>
      <c r="W35" s="18">
        <v>1.013397519</v>
      </c>
      <c r="X35" s="18">
        <v>1.7588666580000001</v>
      </c>
      <c r="Y35" s="18">
        <v>0.35768767200000001</v>
      </c>
      <c r="Z35" s="18">
        <v>0.68601739399999995</v>
      </c>
      <c r="AA35" s="18">
        <v>0.15290642300000001</v>
      </c>
      <c r="AB35" s="18">
        <v>3.2434695999999999E-2</v>
      </c>
      <c r="AC35" s="18">
        <v>45179.42</v>
      </c>
      <c r="AD35" s="18">
        <v>201481.25</v>
      </c>
      <c r="AE35" s="18">
        <v>-25.28</v>
      </c>
      <c r="AG35" s="15"/>
      <c r="AH35" s="15"/>
      <c r="AI35" s="15"/>
      <c r="AJ35" s="15"/>
      <c r="AK35" s="15"/>
      <c r="AL35" s="15"/>
      <c r="AM35" s="15"/>
      <c r="AN35" s="15"/>
      <c r="AO35" s="15"/>
      <c r="AQ35" s="1">
        <f t="shared" si="0"/>
        <v>0</v>
      </c>
      <c r="AR35" s="1">
        <f t="shared" si="1"/>
        <v>0</v>
      </c>
      <c r="AS35" s="11" t="e">
        <f t="shared" si="2"/>
        <v>#DIV/0!</v>
      </c>
      <c r="AT35" s="11" t="e">
        <f t="shared" si="3"/>
        <v>#DIV/0!</v>
      </c>
      <c r="AU35" s="5" t="e">
        <f t="shared" si="4"/>
        <v>#DIV/0!</v>
      </c>
      <c r="AV35" s="5" t="e">
        <f t="shared" si="5"/>
        <v>#DIV/0!</v>
      </c>
      <c r="AW35" s="1" t="e">
        <f t="shared" si="6"/>
        <v>#DIV/0!</v>
      </c>
      <c r="AX35" s="1" t="e">
        <f t="shared" si="7"/>
        <v>#DIV/0!</v>
      </c>
      <c r="AY35" s="1" t="e">
        <f t="shared" si="8"/>
        <v>#DIV/0!</v>
      </c>
      <c r="AZ35" s="1" t="e">
        <f t="shared" si="9"/>
        <v>#DIV/0!</v>
      </c>
      <c r="BA35" s="1" t="e">
        <f t="shared" si="10"/>
        <v>#DIV/0!</v>
      </c>
      <c r="BB35" s="1" t="e">
        <f t="shared" si="11"/>
        <v>#DIV/0!</v>
      </c>
      <c r="BC35" s="1" t="e">
        <f t="shared" si="12"/>
        <v>#DIV/0!</v>
      </c>
      <c r="BD35" s="1" t="e">
        <f t="shared" si="13"/>
        <v>#DIV/0!</v>
      </c>
      <c r="BE35" s="1" t="e">
        <f t="shared" si="14"/>
        <v>#DIV/0!</v>
      </c>
      <c r="BF35" s="1" t="e">
        <f t="shared" si="15"/>
        <v>#DIV/0!</v>
      </c>
      <c r="BG35" s="1" t="e">
        <f t="shared" si="16"/>
        <v>#DIV/0!</v>
      </c>
      <c r="BH35" s="1" t="e">
        <f t="shared" si="17"/>
        <v>#DIV/0!</v>
      </c>
      <c r="BI35" s="1" t="e">
        <f t="shared" si="18"/>
        <v>#DIV/0!</v>
      </c>
      <c r="BJ35" s="1" t="e">
        <f t="shared" si="19"/>
        <v>#DIV/0!</v>
      </c>
      <c r="BK35" s="1" t="e">
        <f t="shared" si="20"/>
        <v>#DIV/0!</v>
      </c>
      <c r="BL35" s="1" t="e">
        <f t="shared" si="21"/>
        <v>#DIV/0!</v>
      </c>
      <c r="BM35" s="1" t="e">
        <f t="shared" si="22"/>
        <v>#DIV/0!</v>
      </c>
      <c r="BN35" s="1" t="e">
        <f t="shared" si="23"/>
        <v>#DIV/0!</v>
      </c>
      <c r="BP35" s="1" t="str">
        <f t="shared" si="24"/>
        <v>Drymill CCS Fermentation Exhaust</v>
      </c>
      <c r="BQ35" s="1" t="e">
        <f t="shared" si="25"/>
        <v>#DIV/0!</v>
      </c>
      <c r="BR35" s="1" t="e">
        <f t="shared" si="26"/>
        <v>#DIV/0!</v>
      </c>
      <c r="BS35" s="1" t="e">
        <f t="array" ref="BS35">_xlfn.IFS(S35="Biomass_Corn", 1/V35/H35*AL35, S35="Biomass_Agri", 1/V35/H35*AK35, S35="Biomass_Wood", 1/V35/H35*AJ35, S35="Biomass_Herb", 1/V35/H35*AI35)</f>
        <v>#DIV/0!</v>
      </c>
      <c r="BT35" s="1" t="e">
        <f t="shared" si="27"/>
        <v>#DIV/0!</v>
      </c>
      <c r="BU35" s="1" t="e">
        <f t="shared" si="28"/>
        <v>#DIV/0!</v>
      </c>
      <c r="BV35" s="1" t="e">
        <f t="shared" si="29"/>
        <v>#DIV/0!</v>
      </c>
      <c r="BW35" s="1" t="e">
        <f t="shared" si="30"/>
        <v>#DIV/0!</v>
      </c>
      <c r="BY35" s="9">
        <f t="shared" si="31"/>
        <v>3.1428571428571428</v>
      </c>
      <c r="BZ35" s="18">
        <f t="shared" si="32"/>
        <v>1.7588666580000001</v>
      </c>
      <c r="CA35" s="10">
        <v>0.1828908353</v>
      </c>
      <c r="CB35" s="9">
        <v>0.23037490999999999</v>
      </c>
      <c r="CD35" s="10" t="e">
        <f t="shared" si="33"/>
        <v>#DIV/0!</v>
      </c>
      <c r="CE35" s="10" t="e">
        <f t="shared" si="34"/>
        <v>#DIV/0!</v>
      </c>
      <c r="CF35" s="10" t="e">
        <f t="shared" si="35"/>
        <v>#DIV/0!</v>
      </c>
      <c r="CG35" s="10">
        <f t="shared" si="36"/>
        <v>0</v>
      </c>
      <c r="CI35" s="18" t="e">
        <f t="shared" si="37"/>
        <v>#DIV/0!</v>
      </c>
      <c r="CJ35" s="18" t="e">
        <f t="shared" si="38"/>
        <v>#DIV/0!</v>
      </c>
      <c r="CK35" s="10">
        <f t="shared" si="39"/>
        <v>3.1428571428571428</v>
      </c>
      <c r="CL35" s="10" t="e">
        <f t="shared" si="40"/>
        <v>#DIV/0!</v>
      </c>
      <c r="CN35" s="1" t="e">
        <f t="shared" si="41"/>
        <v>#DIV/0!</v>
      </c>
    </row>
    <row r="36" spans="2:92" x14ac:dyDescent="0.2">
      <c r="B36" s="24"/>
      <c r="C36" s="24"/>
      <c r="D36" s="24">
        <v>6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R36" s="18" t="str">
        <f t="array" ref="R36:AE36">_xlfn.XLOOKUP(D36, CP:CP, CQ:DD)</f>
        <v>Drymill CCS Fermentation Exhaust</v>
      </c>
      <c r="S36" s="18" t="str">
        <v>Biomass_Corn</v>
      </c>
      <c r="T36" s="18">
        <v>0</v>
      </c>
      <c r="U36" s="18">
        <v>8.5342824999999997E-2</v>
      </c>
      <c r="V36" s="18">
        <v>3.1043379949999999</v>
      </c>
      <c r="W36" s="18">
        <v>1.013397519</v>
      </c>
      <c r="X36" s="18">
        <v>1.7588666580000001</v>
      </c>
      <c r="Y36" s="18">
        <v>0.35768767200000001</v>
      </c>
      <c r="Z36" s="18">
        <v>0.68601739399999995</v>
      </c>
      <c r="AA36" s="18">
        <v>0.15290642300000001</v>
      </c>
      <c r="AB36" s="18">
        <v>3.2434695999999999E-2</v>
      </c>
      <c r="AC36" s="18">
        <v>45179.42</v>
      </c>
      <c r="AD36" s="18">
        <v>201481.25</v>
      </c>
      <c r="AE36" s="18">
        <v>-25.28</v>
      </c>
      <c r="AG36" s="15"/>
      <c r="AH36" s="15"/>
      <c r="AI36" s="15"/>
      <c r="AJ36" s="15"/>
      <c r="AK36" s="15"/>
      <c r="AL36" s="15"/>
      <c r="AM36" s="15"/>
      <c r="AN36" s="15"/>
      <c r="AO36" s="15"/>
      <c r="AQ36" s="1">
        <f t="shared" ref="AQ36:AQ66" si="42">B36</f>
        <v>0</v>
      </c>
      <c r="AR36" s="1">
        <f t="shared" ref="AR36:AR66" si="43">C36</f>
        <v>0</v>
      </c>
      <c r="AS36" s="11" t="e">
        <f t="shared" ref="AS36:AS66" si="44">SUM(AV36:BH36)+BJ36+BK36</f>
        <v>#DIV/0!</v>
      </c>
      <c r="AT36" s="11" t="e">
        <f t="shared" ref="AT36:AT66" si="45">SUM(AV36:BH36)+BM36+BN36</f>
        <v>#DIV/0!</v>
      </c>
      <c r="AU36" s="5" t="e">
        <f t="shared" ref="AU36:AU67" si="46">AS36-AT36</f>
        <v>#DIV/0!</v>
      </c>
      <c r="AV36" s="5" t="e">
        <f t="shared" ref="AV36:AV66" si="47">F36/H36*AN36</f>
        <v>#DIV/0!</v>
      </c>
      <c r="AW36" s="1" t="e">
        <f t="shared" ref="AW36:AW66" si="48">G36/H36*AM36</f>
        <v>#DIV/0!</v>
      </c>
      <c r="AX36" s="1" t="e">
        <f t="shared" ref="AX36:AX66" si="49">BR36</f>
        <v>#DIV/0!</v>
      </c>
      <c r="AY36" s="1" t="e">
        <f t="shared" ref="AY36:AY66" si="50">BQ36</f>
        <v>#DIV/0!</v>
      </c>
      <c r="AZ36" s="1" t="e">
        <f t="shared" ref="AZ36:AZ66" si="51">BS36</f>
        <v>#DIV/0!</v>
      </c>
      <c r="BA36" s="1" t="e">
        <f t="shared" ref="BA36:BA66" si="52">I36/H36*AO36</f>
        <v>#DIV/0!</v>
      </c>
      <c r="BB36" s="1" t="e">
        <f t="shared" ref="BB36:BB66" si="53">BT36</f>
        <v>#DIV/0!</v>
      </c>
      <c r="BC36" s="1" t="e">
        <f t="shared" ref="BC36:BC66" si="54">N36/H36/(0.9*8760)</f>
        <v>#DIV/0!</v>
      </c>
      <c r="BD36" s="1" t="e">
        <f t="shared" ref="BD36:BD66" si="55">BU36</f>
        <v>#DIV/0!</v>
      </c>
      <c r="BE36" s="1" t="e">
        <f t="shared" ref="BE36:BE66" si="56">O36/H36/(0.9*8760)</f>
        <v>#DIV/0!</v>
      </c>
      <c r="BF36" s="1" t="e">
        <f t="shared" ref="BF36:BF66" si="57">BV36</f>
        <v>#DIV/0!</v>
      </c>
      <c r="BG36" s="1" t="e">
        <f t="shared" ref="BG36:BG66" si="58">P36/H36</f>
        <v>#DIV/0!</v>
      </c>
      <c r="BH36" s="1" t="e">
        <f t="shared" ref="BH36:BH66" si="59">BW36</f>
        <v>#DIV/0!</v>
      </c>
      <c r="BI36" s="1" t="e">
        <f t="shared" ref="BI36:BI66" si="60">CI36+CJ36+CL36-CD36+CK36</f>
        <v>#DIV/0!</v>
      </c>
      <c r="BJ36" s="1" t="e">
        <f t="shared" ref="BJ36:BJ66" si="61">(AG36+AH36)*-1*CJ36</f>
        <v>#DIV/0!</v>
      </c>
      <c r="BK36" s="1" t="e">
        <f t="shared" ref="BK36:BK66" si="62">BI36*AG36</f>
        <v>#DIV/0!</v>
      </c>
      <c r="BL36" s="1" t="e">
        <f t="shared" ref="BL36:BL66" si="63">CI36+CL36-CD36+CK36</f>
        <v>#DIV/0!</v>
      </c>
      <c r="BM36" s="1" t="e">
        <f t="shared" ref="BM36:BM66" si="64">CJ36*AH36*-1</f>
        <v>#DIV/0!</v>
      </c>
      <c r="BN36" s="1" t="e">
        <f t="shared" ref="BN36:BN66" si="65">BL36*AG36</f>
        <v>#DIV/0!</v>
      </c>
      <c r="BP36" s="1" t="str">
        <f t="shared" ref="BP36:BP66" si="66">R36</f>
        <v>Drymill CCS Fermentation Exhaust</v>
      </c>
      <c r="BQ36" s="1" t="e">
        <f t="shared" ref="BQ36:BQ66" si="67">T36/V36/H36*AM36*-1</f>
        <v>#DIV/0!</v>
      </c>
      <c r="BR36" s="1" t="e">
        <f t="shared" ref="BR36:BR66" si="68">U36/V36/H36*AM36</f>
        <v>#DIV/0!</v>
      </c>
      <c r="BS36" s="1" t="e">
        <f t="array" ref="BS36">_xlfn.IFS(S36="Biomass_Corn", 1/V36/H36*AL36, S36="Biomass_Agri", 1/V36/H36*AK36, S36="Biomass_Wood", 1/V36/H36*AJ36, S36="Biomass_Herb", 1/V36/H36*AI36)</f>
        <v>#DIV/0!</v>
      </c>
      <c r="BT36" s="1" t="e">
        <f t="shared" ref="BT36:BT66" si="69">W36/V36/H36*AO36</f>
        <v>#DIV/0!</v>
      </c>
      <c r="BU36" s="1" t="e">
        <f t="shared" ref="BU36:BU66" si="70">AC36/V36/H36/(0.9*8760)</f>
        <v>#DIV/0!</v>
      </c>
      <c r="BV36" s="1" t="e">
        <f t="shared" ref="BV36:BV66" si="71">AD36/V36/H36/(0.9*8760)</f>
        <v>#DIV/0!</v>
      </c>
      <c r="BW36" s="1" t="e">
        <f t="shared" ref="BW36:BW66" si="72">AE36/V36/H36</f>
        <v>#DIV/0!</v>
      </c>
      <c r="BY36" s="9">
        <f t="shared" ref="BY36:BY66" si="73">22/7</f>
        <v>3.1428571428571428</v>
      </c>
      <c r="BZ36" s="18">
        <f t="shared" ref="BZ36:BZ66" si="74">X36</f>
        <v>1.7588666580000001</v>
      </c>
      <c r="CA36" s="10">
        <v>0.1828908353</v>
      </c>
      <c r="CB36" s="9">
        <v>0.23037490999999999</v>
      </c>
      <c r="CD36" s="10" t="e">
        <f t="shared" ref="CD36:CD66" si="75">BZ36/V36/H36</f>
        <v>#DIV/0!</v>
      </c>
      <c r="CE36" s="10" t="e">
        <f t="shared" ref="CE36:CE66" si="76">IF(W36=0, 0, CA36*W36/V36/H36)</f>
        <v>#DIV/0!</v>
      </c>
      <c r="CF36" s="10" t="e">
        <f t="shared" ref="CF36:CF66" si="77">CB36/H36</f>
        <v>#DIV/0!</v>
      </c>
      <c r="CG36" s="10">
        <f t="shared" ref="CG36:CG66" si="78">IF(I36=0, 0, CA36*I36/H36)</f>
        <v>0</v>
      </c>
      <c r="CI36" s="18" t="e">
        <f t="shared" ref="CI36:CI66" si="79">(Z36+AB36)/V36/H36</f>
        <v>#DIV/0!</v>
      </c>
      <c r="CJ36" s="18" t="e">
        <f t="shared" ref="CJ36:CJ66" si="80">(Y36+AA36)/V36/H36</f>
        <v>#DIV/0!</v>
      </c>
      <c r="CK36" s="10">
        <f t="shared" ref="CK36:CK66" si="81">BY36</f>
        <v>3.1428571428571428</v>
      </c>
      <c r="CL36" s="10" t="e">
        <f t="shared" ref="CL36:CL66" si="82">(L36+M36)/H36</f>
        <v>#DIV/0!</v>
      </c>
      <c r="CN36" s="1" t="e">
        <f t="shared" ref="CN36:CN66" si="83">CD36+CE36+CG36-SUM(CI36:CL36)</f>
        <v>#DIV/0!</v>
      </c>
    </row>
    <row r="37" spans="2:92" x14ac:dyDescent="0.2">
      <c r="B37" s="24"/>
      <c r="C37" s="24"/>
      <c r="D37" s="24">
        <v>6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R37" s="18" t="str">
        <f t="array" ref="R37:AE37">_xlfn.XLOOKUP(D37, CP:CP, CQ:DD)</f>
        <v>Drymill CCS Fermentation Exhaust</v>
      </c>
      <c r="S37" s="18" t="str">
        <v>Biomass_Corn</v>
      </c>
      <c r="T37" s="18">
        <v>0</v>
      </c>
      <c r="U37" s="18">
        <v>8.5342824999999997E-2</v>
      </c>
      <c r="V37" s="18">
        <v>3.1043379949999999</v>
      </c>
      <c r="W37" s="18">
        <v>1.013397519</v>
      </c>
      <c r="X37" s="18">
        <v>1.7588666580000001</v>
      </c>
      <c r="Y37" s="18">
        <v>0.35768767200000001</v>
      </c>
      <c r="Z37" s="18">
        <v>0.68601739399999995</v>
      </c>
      <c r="AA37" s="18">
        <v>0.15290642300000001</v>
      </c>
      <c r="AB37" s="18">
        <v>3.2434695999999999E-2</v>
      </c>
      <c r="AC37" s="18">
        <v>45179.42</v>
      </c>
      <c r="AD37" s="18">
        <v>201481.25</v>
      </c>
      <c r="AE37" s="18">
        <v>-25.28</v>
      </c>
      <c r="AG37" s="15"/>
      <c r="AH37" s="15"/>
      <c r="AI37" s="15"/>
      <c r="AJ37" s="15"/>
      <c r="AK37" s="15"/>
      <c r="AL37" s="15"/>
      <c r="AM37" s="15"/>
      <c r="AN37" s="15"/>
      <c r="AO37" s="15"/>
      <c r="AQ37" s="1">
        <f t="shared" si="42"/>
        <v>0</v>
      </c>
      <c r="AR37" s="1">
        <f t="shared" si="43"/>
        <v>0</v>
      </c>
      <c r="AS37" s="11" t="e">
        <f t="shared" si="44"/>
        <v>#DIV/0!</v>
      </c>
      <c r="AT37" s="11" t="e">
        <f t="shared" si="45"/>
        <v>#DIV/0!</v>
      </c>
      <c r="AU37" s="5" t="e">
        <f t="shared" si="46"/>
        <v>#DIV/0!</v>
      </c>
      <c r="AV37" s="5" t="e">
        <f t="shared" si="47"/>
        <v>#DIV/0!</v>
      </c>
      <c r="AW37" s="1" t="e">
        <f t="shared" si="48"/>
        <v>#DIV/0!</v>
      </c>
      <c r="AX37" s="1" t="e">
        <f t="shared" si="49"/>
        <v>#DIV/0!</v>
      </c>
      <c r="AY37" s="1" t="e">
        <f t="shared" si="50"/>
        <v>#DIV/0!</v>
      </c>
      <c r="AZ37" s="1" t="e">
        <f t="shared" si="51"/>
        <v>#DIV/0!</v>
      </c>
      <c r="BA37" s="1" t="e">
        <f t="shared" si="52"/>
        <v>#DIV/0!</v>
      </c>
      <c r="BB37" s="1" t="e">
        <f t="shared" si="53"/>
        <v>#DIV/0!</v>
      </c>
      <c r="BC37" s="1" t="e">
        <f t="shared" si="54"/>
        <v>#DIV/0!</v>
      </c>
      <c r="BD37" s="1" t="e">
        <f t="shared" si="55"/>
        <v>#DIV/0!</v>
      </c>
      <c r="BE37" s="1" t="e">
        <f t="shared" si="56"/>
        <v>#DIV/0!</v>
      </c>
      <c r="BF37" s="1" t="e">
        <f t="shared" si="57"/>
        <v>#DIV/0!</v>
      </c>
      <c r="BG37" s="1" t="e">
        <f t="shared" si="58"/>
        <v>#DIV/0!</v>
      </c>
      <c r="BH37" s="1" t="e">
        <f t="shared" si="59"/>
        <v>#DIV/0!</v>
      </c>
      <c r="BI37" s="1" t="e">
        <f t="shared" si="60"/>
        <v>#DIV/0!</v>
      </c>
      <c r="BJ37" s="1" t="e">
        <f t="shared" si="61"/>
        <v>#DIV/0!</v>
      </c>
      <c r="BK37" s="1" t="e">
        <f t="shared" si="62"/>
        <v>#DIV/0!</v>
      </c>
      <c r="BL37" s="1" t="e">
        <f t="shared" si="63"/>
        <v>#DIV/0!</v>
      </c>
      <c r="BM37" s="1" t="e">
        <f t="shared" si="64"/>
        <v>#DIV/0!</v>
      </c>
      <c r="BN37" s="1" t="e">
        <f t="shared" si="65"/>
        <v>#DIV/0!</v>
      </c>
      <c r="BP37" s="1" t="str">
        <f t="shared" si="66"/>
        <v>Drymill CCS Fermentation Exhaust</v>
      </c>
      <c r="BQ37" s="1" t="e">
        <f t="shared" si="67"/>
        <v>#DIV/0!</v>
      </c>
      <c r="BR37" s="1" t="e">
        <f t="shared" si="68"/>
        <v>#DIV/0!</v>
      </c>
      <c r="BS37" s="1" t="e">
        <f t="array" ref="BS37">_xlfn.IFS(S37="Biomass_Corn", 1/V37/H37*AL37, S37="Biomass_Agri", 1/V37/H37*AK37, S37="Biomass_Wood", 1/V37/H37*AJ37, S37="Biomass_Herb", 1/V37/H37*AI37)</f>
        <v>#DIV/0!</v>
      </c>
      <c r="BT37" s="1" t="e">
        <f t="shared" si="69"/>
        <v>#DIV/0!</v>
      </c>
      <c r="BU37" s="1" t="e">
        <f t="shared" si="70"/>
        <v>#DIV/0!</v>
      </c>
      <c r="BV37" s="1" t="e">
        <f t="shared" si="71"/>
        <v>#DIV/0!</v>
      </c>
      <c r="BW37" s="1" t="e">
        <f t="shared" si="72"/>
        <v>#DIV/0!</v>
      </c>
      <c r="BY37" s="9">
        <f t="shared" si="73"/>
        <v>3.1428571428571428</v>
      </c>
      <c r="BZ37" s="18">
        <f t="shared" si="74"/>
        <v>1.7588666580000001</v>
      </c>
      <c r="CA37" s="10">
        <v>0.1828908353</v>
      </c>
      <c r="CB37" s="9">
        <v>0.23037490999999999</v>
      </c>
      <c r="CD37" s="10" t="e">
        <f t="shared" si="75"/>
        <v>#DIV/0!</v>
      </c>
      <c r="CE37" s="10" t="e">
        <f t="shared" si="76"/>
        <v>#DIV/0!</v>
      </c>
      <c r="CF37" s="10" t="e">
        <f t="shared" si="77"/>
        <v>#DIV/0!</v>
      </c>
      <c r="CG37" s="10">
        <f t="shared" si="78"/>
        <v>0</v>
      </c>
      <c r="CI37" s="18" t="e">
        <f t="shared" si="79"/>
        <v>#DIV/0!</v>
      </c>
      <c r="CJ37" s="18" t="e">
        <f t="shared" si="80"/>
        <v>#DIV/0!</v>
      </c>
      <c r="CK37" s="10">
        <f t="shared" si="81"/>
        <v>3.1428571428571428</v>
      </c>
      <c r="CL37" s="10" t="e">
        <f t="shared" si="82"/>
        <v>#DIV/0!</v>
      </c>
      <c r="CN37" s="1" t="e">
        <f t="shared" si="83"/>
        <v>#DIV/0!</v>
      </c>
    </row>
    <row r="38" spans="2:92" x14ac:dyDescent="0.2">
      <c r="B38" s="24"/>
      <c r="C38" s="24"/>
      <c r="D38" s="24">
        <v>6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R38" s="18" t="str">
        <f t="array" ref="R38:AE38">_xlfn.XLOOKUP(D38, CP:CP, CQ:DD)</f>
        <v>Drymill CCS Fermentation Exhaust</v>
      </c>
      <c r="S38" s="18" t="str">
        <v>Biomass_Corn</v>
      </c>
      <c r="T38" s="18">
        <v>0</v>
      </c>
      <c r="U38" s="18">
        <v>8.5342824999999997E-2</v>
      </c>
      <c r="V38" s="18">
        <v>3.1043379949999999</v>
      </c>
      <c r="W38" s="18">
        <v>1.013397519</v>
      </c>
      <c r="X38" s="18">
        <v>1.7588666580000001</v>
      </c>
      <c r="Y38" s="18">
        <v>0.35768767200000001</v>
      </c>
      <c r="Z38" s="18">
        <v>0.68601739399999995</v>
      </c>
      <c r="AA38" s="18">
        <v>0.15290642300000001</v>
      </c>
      <c r="AB38" s="18">
        <v>3.2434695999999999E-2</v>
      </c>
      <c r="AC38" s="18">
        <v>45179.42</v>
      </c>
      <c r="AD38" s="18">
        <v>201481.25</v>
      </c>
      <c r="AE38" s="18">
        <v>-25.28</v>
      </c>
      <c r="AG38" s="15"/>
      <c r="AH38" s="15"/>
      <c r="AI38" s="15"/>
      <c r="AJ38" s="15"/>
      <c r="AK38" s="15"/>
      <c r="AL38" s="15"/>
      <c r="AM38" s="15"/>
      <c r="AN38" s="15"/>
      <c r="AO38" s="15"/>
      <c r="AQ38" s="1">
        <f t="shared" si="42"/>
        <v>0</v>
      </c>
      <c r="AR38" s="1">
        <f t="shared" si="43"/>
        <v>0</v>
      </c>
      <c r="AS38" s="11" t="e">
        <f t="shared" si="44"/>
        <v>#DIV/0!</v>
      </c>
      <c r="AT38" s="11" t="e">
        <f t="shared" si="45"/>
        <v>#DIV/0!</v>
      </c>
      <c r="AU38" s="5" t="e">
        <f t="shared" si="46"/>
        <v>#DIV/0!</v>
      </c>
      <c r="AV38" s="5" t="e">
        <f t="shared" si="47"/>
        <v>#DIV/0!</v>
      </c>
      <c r="AW38" s="1" t="e">
        <f t="shared" si="48"/>
        <v>#DIV/0!</v>
      </c>
      <c r="AX38" s="1" t="e">
        <f t="shared" si="49"/>
        <v>#DIV/0!</v>
      </c>
      <c r="AY38" s="1" t="e">
        <f t="shared" si="50"/>
        <v>#DIV/0!</v>
      </c>
      <c r="AZ38" s="1" t="e">
        <f t="shared" si="51"/>
        <v>#DIV/0!</v>
      </c>
      <c r="BA38" s="1" t="e">
        <f t="shared" si="52"/>
        <v>#DIV/0!</v>
      </c>
      <c r="BB38" s="1" t="e">
        <f t="shared" si="53"/>
        <v>#DIV/0!</v>
      </c>
      <c r="BC38" s="1" t="e">
        <f t="shared" si="54"/>
        <v>#DIV/0!</v>
      </c>
      <c r="BD38" s="1" t="e">
        <f t="shared" si="55"/>
        <v>#DIV/0!</v>
      </c>
      <c r="BE38" s="1" t="e">
        <f t="shared" si="56"/>
        <v>#DIV/0!</v>
      </c>
      <c r="BF38" s="1" t="e">
        <f t="shared" si="57"/>
        <v>#DIV/0!</v>
      </c>
      <c r="BG38" s="1" t="e">
        <f t="shared" si="58"/>
        <v>#DIV/0!</v>
      </c>
      <c r="BH38" s="1" t="e">
        <f t="shared" si="59"/>
        <v>#DIV/0!</v>
      </c>
      <c r="BI38" s="1" t="e">
        <f t="shared" si="60"/>
        <v>#DIV/0!</v>
      </c>
      <c r="BJ38" s="1" t="e">
        <f t="shared" si="61"/>
        <v>#DIV/0!</v>
      </c>
      <c r="BK38" s="1" t="e">
        <f t="shared" si="62"/>
        <v>#DIV/0!</v>
      </c>
      <c r="BL38" s="1" t="e">
        <f t="shared" si="63"/>
        <v>#DIV/0!</v>
      </c>
      <c r="BM38" s="1" t="e">
        <f t="shared" si="64"/>
        <v>#DIV/0!</v>
      </c>
      <c r="BN38" s="1" t="e">
        <f t="shared" si="65"/>
        <v>#DIV/0!</v>
      </c>
      <c r="BP38" s="1" t="str">
        <f t="shared" si="66"/>
        <v>Drymill CCS Fermentation Exhaust</v>
      </c>
      <c r="BQ38" s="1" t="e">
        <f t="shared" si="67"/>
        <v>#DIV/0!</v>
      </c>
      <c r="BR38" s="1" t="e">
        <f t="shared" si="68"/>
        <v>#DIV/0!</v>
      </c>
      <c r="BS38" s="1" t="e">
        <f t="array" ref="BS38">_xlfn.IFS(S38="Biomass_Corn", 1/V38/H38*AL38, S38="Biomass_Agri", 1/V38/H38*AK38, S38="Biomass_Wood", 1/V38/H38*AJ38, S38="Biomass_Herb", 1/V38/H38*AI38)</f>
        <v>#DIV/0!</v>
      </c>
      <c r="BT38" s="1" t="e">
        <f t="shared" si="69"/>
        <v>#DIV/0!</v>
      </c>
      <c r="BU38" s="1" t="e">
        <f t="shared" si="70"/>
        <v>#DIV/0!</v>
      </c>
      <c r="BV38" s="1" t="e">
        <f t="shared" si="71"/>
        <v>#DIV/0!</v>
      </c>
      <c r="BW38" s="1" t="e">
        <f t="shared" si="72"/>
        <v>#DIV/0!</v>
      </c>
      <c r="BY38" s="9">
        <f t="shared" si="73"/>
        <v>3.1428571428571428</v>
      </c>
      <c r="BZ38" s="18">
        <f t="shared" si="74"/>
        <v>1.7588666580000001</v>
      </c>
      <c r="CA38" s="10">
        <v>0.1828908353</v>
      </c>
      <c r="CB38" s="9">
        <v>0.23037490999999999</v>
      </c>
      <c r="CD38" s="10" t="e">
        <f t="shared" si="75"/>
        <v>#DIV/0!</v>
      </c>
      <c r="CE38" s="10" t="e">
        <f t="shared" si="76"/>
        <v>#DIV/0!</v>
      </c>
      <c r="CF38" s="10" t="e">
        <f t="shared" si="77"/>
        <v>#DIV/0!</v>
      </c>
      <c r="CG38" s="10">
        <f t="shared" si="78"/>
        <v>0</v>
      </c>
      <c r="CI38" s="18" t="e">
        <f t="shared" si="79"/>
        <v>#DIV/0!</v>
      </c>
      <c r="CJ38" s="18" t="e">
        <f t="shared" si="80"/>
        <v>#DIV/0!</v>
      </c>
      <c r="CK38" s="10">
        <f t="shared" si="81"/>
        <v>3.1428571428571428</v>
      </c>
      <c r="CL38" s="10" t="e">
        <f t="shared" si="82"/>
        <v>#DIV/0!</v>
      </c>
      <c r="CN38" s="1" t="e">
        <f t="shared" si="83"/>
        <v>#DIV/0!</v>
      </c>
    </row>
    <row r="39" spans="2:92" x14ac:dyDescent="0.2">
      <c r="B39" s="24"/>
      <c r="C39" s="24"/>
      <c r="D39" s="24">
        <v>6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R39" s="18" t="str">
        <f t="array" ref="R39:AE39">_xlfn.XLOOKUP(D39, CP:CP, CQ:DD)</f>
        <v>Drymill CCS Fermentation Exhaust</v>
      </c>
      <c r="S39" s="18" t="str">
        <v>Biomass_Corn</v>
      </c>
      <c r="T39" s="18">
        <v>0</v>
      </c>
      <c r="U39" s="18">
        <v>8.5342824999999997E-2</v>
      </c>
      <c r="V39" s="18">
        <v>3.1043379949999999</v>
      </c>
      <c r="W39" s="18">
        <v>1.013397519</v>
      </c>
      <c r="X39" s="18">
        <v>1.7588666580000001</v>
      </c>
      <c r="Y39" s="18">
        <v>0.35768767200000001</v>
      </c>
      <c r="Z39" s="18">
        <v>0.68601739399999995</v>
      </c>
      <c r="AA39" s="18">
        <v>0.15290642300000001</v>
      </c>
      <c r="AB39" s="18">
        <v>3.2434695999999999E-2</v>
      </c>
      <c r="AC39" s="18">
        <v>45179.42</v>
      </c>
      <c r="AD39" s="18">
        <v>201481.25</v>
      </c>
      <c r="AE39" s="18">
        <v>-25.28</v>
      </c>
      <c r="AG39" s="15"/>
      <c r="AH39" s="15"/>
      <c r="AI39" s="15"/>
      <c r="AJ39" s="15"/>
      <c r="AK39" s="15"/>
      <c r="AL39" s="15"/>
      <c r="AM39" s="15"/>
      <c r="AN39" s="15"/>
      <c r="AO39" s="15"/>
      <c r="AQ39" s="1">
        <f t="shared" si="42"/>
        <v>0</v>
      </c>
      <c r="AR39" s="1">
        <f t="shared" si="43"/>
        <v>0</v>
      </c>
      <c r="AS39" s="11" t="e">
        <f t="shared" si="44"/>
        <v>#DIV/0!</v>
      </c>
      <c r="AT39" s="11" t="e">
        <f t="shared" si="45"/>
        <v>#DIV/0!</v>
      </c>
      <c r="AU39" s="5" t="e">
        <f t="shared" si="46"/>
        <v>#DIV/0!</v>
      </c>
      <c r="AV39" s="5" t="e">
        <f t="shared" si="47"/>
        <v>#DIV/0!</v>
      </c>
      <c r="AW39" s="1" t="e">
        <f t="shared" si="48"/>
        <v>#DIV/0!</v>
      </c>
      <c r="AX39" s="1" t="e">
        <f t="shared" si="49"/>
        <v>#DIV/0!</v>
      </c>
      <c r="AY39" s="1" t="e">
        <f t="shared" si="50"/>
        <v>#DIV/0!</v>
      </c>
      <c r="AZ39" s="1" t="e">
        <f t="shared" si="51"/>
        <v>#DIV/0!</v>
      </c>
      <c r="BA39" s="1" t="e">
        <f t="shared" si="52"/>
        <v>#DIV/0!</v>
      </c>
      <c r="BB39" s="1" t="e">
        <f t="shared" si="53"/>
        <v>#DIV/0!</v>
      </c>
      <c r="BC39" s="1" t="e">
        <f t="shared" si="54"/>
        <v>#DIV/0!</v>
      </c>
      <c r="BD39" s="1" t="e">
        <f t="shared" si="55"/>
        <v>#DIV/0!</v>
      </c>
      <c r="BE39" s="1" t="e">
        <f t="shared" si="56"/>
        <v>#DIV/0!</v>
      </c>
      <c r="BF39" s="1" t="e">
        <f t="shared" si="57"/>
        <v>#DIV/0!</v>
      </c>
      <c r="BG39" s="1" t="e">
        <f t="shared" si="58"/>
        <v>#DIV/0!</v>
      </c>
      <c r="BH39" s="1" t="e">
        <f t="shared" si="59"/>
        <v>#DIV/0!</v>
      </c>
      <c r="BI39" s="1" t="e">
        <f t="shared" si="60"/>
        <v>#DIV/0!</v>
      </c>
      <c r="BJ39" s="1" t="e">
        <f t="shared" si="61"/>
        <v>#DIV/0!</v>
      </c>
      <c r="BK39" s="1" t="e">
        <f t="shared" si="62"/>
        <v>#DIV/0!</v>
      </c>
      <c r="BL39" s="1" t="e">
        <f t="shared" si="63"/>
        <v>#DIV/0!</v>
      </c>
      <c r="BM39" s="1" t="e">
        <f t="shared" si="64"/>
        <v>#DIV/0!</v>
      </c>
      <c r="BN39" s="1" t="e">
        <f t="shared" si="65"/>
        <v>#DIV/0!</v>
      </c>
      <c r="BP39" s="1" t="str">
        <f t="shared" si="66"/>
        <v>Drymill CCS Fermentation Exhaust</v>
      </c>
      <c r="BQ39" s="1" t="e">
        <f t="shared" si="67"/>
        <v>#DIV/0!</v>
      </c>
      <c r="BR39" s="1" t="e">
        <f t="shared" si="68"/>
        <v>#DIV/0!</v>
      </c>
      <c r="BS39" s="1" t="e">
        <f t="array" ref="BS39">_xlfn.IFS(S39="Biomass_Corn", 1/V39/H39*AL39, S39="Biomass_Agri", 1/V39/H39*AK39, S39="Biomass_Wood", 1/V39/H39*AJ39, S39="Biomass_Herb", 1/V39/H39*AI39)</f>
        <v>#DIV/0!</v>
      </c>
      <c r="BT39" s="1" t="e">
        <f t="shared" si="69"/>
        <v>#DIV/0!</v>
      </c>
      <c r="BU39" s="1" t="e">
        <f t="shared" si="70"/>
        <v>#DIV/0!</v>
      </c>
      <c r="BV39" s="1" t="e">
        <f t="shared" si="71"/>
        <v>#DIV/0!</v>
      </c>
      <c r="BW39" s="1" t="e">
        <f t="shared" si="72"/>
        <v>#DIV/0!</v>
      </c>
      <c r="BY39" s="9">
        <f t="shared" si="73"/>
        <v>3.1428571428571428</v>
      </c>
      <c r="BZ39" s="18">
        <f t="shared" si="74"/>
        <v>1.7588666580000001</v>
      </c>
      <c r="CA39" s="10">
        <v>0.1828908353</v>
      </c>
      <c r="CB39" s="9">
        <v>0.23037490999999999</v>
      </c>
      <c r="CD39" s="10" t="e">
        <f t="shared" si="75"/>
        <v>#DIV/0!</v>
      </c>
      <c r="CE39" s="10" t="e">
        <f t="shared" si="76"/>
        <v>#DIV/0!</v>
      </c>
      <c r="CF39" s="10" t="e">
        <f t="shared" si="77"/>
        <v>#DIV/0!</v>
      </c>
      <c r="CG39" s="10">
        <f t="shared" si="78"/>
        <v>0</v>
      </c>
      <c r="CI39" s="18" t="e">
        <f t="shared" si="79"/>
        <v>#DIV/0!</v>
      </c>
      <c r="CJ39" s="18" t="e">
        <f t="shared" si="80"/>
        <v>#DIV/0!</v>
      </c>
      <c r="CK39" s="10">
        <f t="shared" si="81"/>
        <v>3.1428571428571428</v>
      </c>
      <c r="CL39" s="10" t="e">
        <f t="shared" si="82"/>
        <v>#DIV/0!</v>
      </c>
      <c r="CN39" s="1" t="e">
        <f t="shared" si="83"/>
        <v>#DIV/0!</v>
      </c>
    </row>
    <row r="40" spans="2:92" x14ac:dyDescent="0.2">
      <c r="B40" s="24"/>
      <c r="C40" s="24"/>
      <c r="D40" s="24">
        <v>6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R40" s="18" t="str">
        <f t="array" ref="R40:AE40">_xlfn.XLOOKUP(D40, CP:CP, CQ:DD)</f>
        <v>Drymill CCS Fermentation Exhaust</v>
      </c>
      <c r="S40" s="18" t="str">
        <v>Biomass_Corn</v>
      </c>
      <c r="T40" s="18">
        <v>0</v>
      </c>
      <c r="U40" s="18">
        <v>8.5342824999999997E-2</v>
      </c>
      <c r="V40" s="18">
        <v>3.1043379949999999</v>
      </c>
      <c r="W40" s="18">
        <v>1.013397519</v>
      </c>
      <c r="X40" s="18">
        <v>1.7588666580000001</v>
      </c>
      <c r="Y40" s="18">
        <v>0.35768767200000001</v>
      </c>
      <c r="Z40" s="18">
        <v>0.68601739399999995</v>
      </c>
      <c r="AA40" s="18">
        <v>0.15290642300000001</v>
      </c>
      <c r="AB40" s="18">
        <v>3.2434695999999999E-2</v>
      </c>
      <c r="AC40" s="18">
        <v>45179.42</v>
      </c>
      <c r="AD40" s="18">
        <v>201481.25</v>
      </c>
      <c r="AE40" s="18">
        <v>-25.28</v>
      </c>
      <c r="AG40" s="15"/>
      <c r="AH40" s="15"/>
      <c r="AI40" s="15"/>
      <c r="AJ40" s="15"/>
      <c r="AK40" s="15"/>
      <c r="AL40" s="15"/>
      <c r="AM40" s="15"/>
      <c r="AN40" s="15"/>
      <c r="AO40" s="15"/>
      <c r="AQ40" s="1">
        <f t="shared" si="42"/>
        <v>0</v>
      </c>
      <c r="AR40" s="1">
        <f t="shared" si="43"/>
        <v>0</v>
      </c>
      <c r="AS40" s="11" t="e">
        <f t="shared" si="44"/>
        <v>#DIV/0!</v>
      </c>
      <c r="AT40" s="11" t="e">
        <f t="shared" si="45"/>
        <v>#DIV/0!</v>
      </c>
      <c r="AU40" s="5" t="e">
        <f t="shared" si="46"/>
        <v>#DIV/0!</v>
      </c>
      <c r="AV40" s="5" t="e">
        <f t="shared" si="47"/>
        <v>#DIV/0!</v>
      </c>
      <c r="AW40" s="1" t="e">
        <f t="shared" si="48"/>
        <v>#DIV/0!</v>
      </c>
      <c r="AX40" s="1" t="e">
        <f t="shared" si="49"/>
        <v>#DIV/0!</v>
      </c>
      <c r="AY40" s="1" t="e">
        <f t="shared" si="50"/>
        <v>#DIV/0!</v>
      </c>
      <c r="AZ40" s="1" t="e">
        <f t="shared" si="51"/>
        <v>#DIV/0!</v>
      </c>
      <c r="BA40" s="1" t="e">
        <f t="shared" si="52"/>
        <v>#DIV/0!</v>
      </c>
      <c r="BB40" s="1" t="e">
        <f t="shared" si="53"/>
        <v>#DIV/0!</v>
      </c>
      <c r="BC40" s="1" t="e">
        <f t="shared" si="54"/>
        <v>#DIV/0!</v>
      </c>
      <c r="BD40" s="1" t="e">
        <f t="shared" si="55"/>
        <v>#DIV/0!</v>
      </c>
      <c r="BE40" s="1" t="e">
        <f t="shared" si="56"/>
        <v>#DIV/0!</v>
      </c>
      <c r="BF40" s="1" t="e">
        <f t="shared" si="57"/>
        <v>#DIV/0!</v>
      </c>
      <c r="BG40" s="1" t="e">
        <f t="shared" si="58"/>
        <v>#DIV/0!</v>
      </c>
      <c r="BH40" s="1" t="e">
        <f t="shared" si="59"/>
        <v>#DIV/0!</v>
      </c>
      <c r="BI40" s="1" t="e">
        <f t="shared" si="60"/>
        <v>#DIV/0!</v>
      </c>
      <c r="BJ40" s="1" t="e">
        <f t="shared" si="61"/>
        <v>#DIV/0!</v>
      </c>
      <c r="BK40" s="1" t="e">
        <f t="shared" si="62"/>
        <v>#DIV/0!</v>
      </c>
      <c r="BL40" s="1" t="e">
        <f t="shared" si="63"/>
        <v>#DIV/0!</v>
      </c>
      <c r="BM40" s="1" t="e">
        <f t="shared" si="64"/>
        <v>#DIV/0!</v>
      </c>
      <c r="BN40" s="1" t="e">
        <f t="shared" si="65"/>
        <v>#DIV/0!</v>
      </c>
      <c r="BP40" s="1" t="str">
        <f t="shared" si="66"/>
        <v>Drymill CCS Fermentation Exhaust</v>
      </c>
      <c r="BQ40" s="1" t="e">
        <f t="shared" si="67"/>
        <v>#DIV/0!</v>
      </c>
      <c r="BR40" s="1" t="e">
        <f t="shared" si="68"/>
        <v>#DIV/0!</v>
      </c>
      <c r="BS40" s="1" t="e">
        <f t="array" ref="BS40">_xlfn.IFS(S40="Biomass_Corn", 1/V40/H40*AL40, S40="Biomass_Agri", 1/V40/H40*AK40, S40="Biomass_Wood", 1/V40/H40*AJ40, S40="Biomass_Herb", 1/V40/H40*AI40)</f>
        <v>#DIV/0!</v>
      </c>
      <c r="BT40" s="1" t="e">
        <f t="shared" si="69"/>
        <v>#DIV/0!</v>
      </c>
      <c r="BU40" s="1" t="e">
        <f t="shared" si="70"/>
        <v>#DIV/0!</v>
      </c>
      <c r="BV40" s="1" t="e">
        <f t="shared" si="71"/>
        <v>#DIV/0!</v>
      </c>
      <c r="BW40" s="1" t="e">
        <f t="shared" si="72"/>
        <v>#DIV/0!</v>
      </c>
      <c r="BY40" s="9">
        <f t="shared" si="73"/>
        <v>3.1428571428571428</v>
      </c>
      <c r="BZ40" s="18">
        <f t="shared" si="74"/>
        <v>1.7588666580000001</v>
      </c>
      <c r="CA40" s="10">
        <v>0.1828908353</v>
      </c>
      <c r="CB40" s="9">
        <v>0.23037490999999999</v>
      </c>
      <c r="CD40" s="10" t="e">
        <f t="shared" si="75"/>
        <v>#DIV/0!</v>
      </c>
      <c r="CE40" s="10" t="e">
        <f t="shared" si="76"/>
        <v>#DIV/0!</v>
      </c>
      <c r="CF40" s="10" t="e">
        <f t="shared" si="77"/>
        <v>#DIV/0!</v>
      </c>
      <c r="CG40" s="10">
        <f t="shared" si="78"/>
        <v>0</v>
      </c>
      <c r="CI40" s="18" t="e">
        <f t="shared" si="79"/>
        <v>#DIV/0!</v>
      </c>
      <c r="CJ40" s="18" t="e">
        <f t="shared" si="80"/>
        <v>#DIV/0!</v>
      </c>
      <c r="CK40" s="10">
        <f t="shared" si="81"/>
        <v>3.1428571428571428</v>
      </c>
      <c r="CL40" s="10" t="e">
        <f t="shared" si="82"/>
        <v>#DIV/0!</v>
      </c>
      <c r="CN40" s="1" t="e">
        <f t="shared" si="83"/>
        <v>#DIV/0!</v>
      </c>
    </row>
    <row r="41" spans="2:92" x14ac:dyDescent="0.2">
      <c r="B41" s="24"/>
      <c r="C41" s="24"/>
      <c r="D41" s="24">
        <v>6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R41" s="18" t="str">
        <f t="array" ref="R41:AE41">_xlfn.XLOOKUP(D41, CP:CP, CQ:DD)</f>
        <v>Drymill CCS Fermentation Exhaust</v>
      </c>
      <c r="S41" s="18" t="str">
        <v>Biomass_Corn</v>
      </c>
      <c r="T41" s="18">
        <v>0</v>
      </c>
      <c r="U41" s="18">
        <v>8.5342824999999997E-2</v>
      </c>
      <c r="V41" s="18">
        <v>3.1043379949999999</v>
      </c>
      <c r="W41" s="18">
        <v>1.013397519</v>
      </c>
      <c r="X41" s="18">
        <v>1.7588666580000001</v>
      </c>
      <c r="Y41" s="18">
        <v>0.35768767200000001</v>
      </c>
      <c r="Z41" s="18">
        <v>0.68601739399999995</v>
      </c>
      <c r="AA41" s="18">
        <v>0.15290642300000001</v>
      </c>
      <c r="AB41" s="18">
        <v>3.2434695999999999E-2</v>
      </c>
      <c r="AC41" s="18">
        <v>45179.42</v>
      </c>
      <c r="AD41" s="18">
        <v>201481.25</v>
      </c>
      <c r="AE41" s="18">
        <v>-25.28</v>
      </c>
      <c r="AG41" s="15"/>
      <c r="AH41" s="15"/>
      <c r="AI41" s="15"/>
      <c r="AJ41" s="15"/>
      <c r="AK41" s="15"/>
      <c r="AL41" s="15"/>
      <c r="AM41" s="15"/>
      <c r="AN41" s="15"/>
      <c r="AO41" s="15"/>
      <c r="AQ41" s="1">
        <f t="shared" si="42"/>
        <v>0</v>
      </c>
      <c r="AR41" s="1">
        <f t="shared" si="43"/>
        <v>0</v>
      </c>
      <c r="AS41" s="11" t="e">
        <f t="shared" si="44"/>
        <v>#DIV/0!</v>
      </c>
      <c r="AT41" s="11" t="e">
        <f t="shared" si="45"/>
        <v>#DIV/0!</v>
      </c>
      <c r="AU41" s="5" t="e">
        <f t="shared" si="46"/>
        <v>#DIV/0!</v>
      </c>
      <c r="AV41" s="5" t="e">
        <f t="shared" si="47"/>
        <v>#DIV/0!</v>
      </c>
      <c r="AW41" s="1" t="e">
        <f t="shared" si="48"/>
        <v>#DIV/0!</v>
      </c>
      <c r="AX41" s="1" t="e">
        <f t="shared" si="49"/>
        <v>#DIV/0!</v>
      </c>
      <c r="AY41" s="1" t="e">
        <f t="shared" si="50"/>
        <v>#DIV/0!</v>
      </c>
      <c r="AZ41" s="1" t="e">
        <f t="shared" si="51"/>
        <v>#DIV/0!</v>
      </c>
      <c r="BA41" s="1" t="e">
        <f t="shared" si="52"/>
        <v>#DIV/0!</v>
      </c>
      <c r="BB41" s="1" t="e">
        <f t="shared" si="53"/>
        <v>#DIV/0!</v>
      </c>
      <c r="BC41" s="1" t="e">
        <f t="shared" si="54"/>
        <v>#DIV/0!</v>
      </c>
      <c r="BD41" s="1" t="e">
        <f t="shared" si="55"/>
        <v>#DIV/0!</v>
      </c>
      <c r="BE41" s="1" t="e">
        <f t="shared" si="56"/>
        <v>#DIV/0!</v>
      </c>
      <c r="BF41" s="1" t="e">
        <f t="shared" si="57"/>
        <v>#DIV/0!</v>
      </c>
      <c r="BG41" s="1" t="e">
        <f t="shared" si="58"/>
        <v>#DIV/0!</v>
      </c>
      <c r="BH41" s="1" t="e">
        <f t="shared" si="59"/>
        <v>#DIV/0!</v>
      </c>
      <c r="BI41" s="1" t="e">
        <f t="shared" si="60"/>
        <v>#DIV/0!</v>
      </c>
      <c r="BJ41" s="1" t="e">
        <f t="shared" si="61"/>
        <v>#DIV/0!</v>
      </c>
      <c r="BK41" s="1" t="e">
        <f t="shared" si="62"/>
        <v>#DIV/0!</v>
      </c>
      <c r="BL41" s="1" t="e">
        <f t="shared" si="63"/>
        <v>#DIV/0!</v>
      </c>
      <c r="BM41" s="1" t="e">
        <f t="shared" si="64"/>
        <v>#DIV/0!</v>
      </c>
      <c r="BN41" s="1" t="e">
        <f t="shared" si="65"/>
        <v>#DIV/0!</v>
      </c>
      <c r="BP41" s="1" t="str">
        <f t="shared" si="66"/>
        <v>Drymill CCS Fermentation Exhaust</v>
      </c>
      <c r="BQ41" s="1" t="e">
        <f t="shared" si="67"/>
        <v>#DIV/0!</v>
      </c>
      <c r="BR41" s="1" t="e">
        <f t="shared" si="68"/>
        <v>#DIV/0!</v>
      </c>
      <c r="BS41" s="1" t="e">
        <f t="array" ref="BS41">_xlfn.IFS(S41="Biomass_Corn", 1/V41/H41*AL41, S41="Biomass_Agri", 1/V41/H41*AK41, S41="Biomass_Wood", 1/V41/H41*AJ41, S41="Biomass_Herb", 1/V41/H41*AI41)</f>
        <v>#DIV/0!</v>
      </c>
      <c r="BT41" s="1" t="e">
        <f t="shared" si="69"/>
        <v>#DIV/0!</v>
      </c>
      <c r="BU41" s="1" t="e">
        <f t="shared" si="70"/>
        <v>#DIV/0!</v>
      </c>
      <c r="BV41" s="1" t="e">
        <f t="shared" si="71"/>
        <v>#DIV/0!</v>
      </c>
      <c r="BW41" s="1" t="e">
        <f t="shared" si="72"/>
        <v>#DIV/0!</v>
      </c>
      <c r="BY41" s="9">
        <f t="shared" si="73"/>
        <v>3.1428571428571428</v>
      </c>
      <c r="BZ41" s="18">
        <f t="shared" si="74"/>
        <v>1.7588666580000001</v>
      </c>
      <c r="CA41" s="10">
        <v>0.1828908353</v>
      </c>
      <c r="CB41" s="9">
        <v>0.23037490999999999</v>
      </c>
      <c r="CD41" s="10" t="e">
        <f t="shared" si="75"/>
        <v>#DIV/0!</v>
      </c>
      <c r="CE41" s="10" t="e">
        <f t="shared" si="76"/>
        <v>#DIV/0!</v>
      </c>
      <c r="CF41" s="10" t="e">
        <f t="shared" si="77"/>
        <v>#DIV/0!</v>
      </c>
      <c r="CG41" s="10">
        <f t="shared" si="78"/>
        <v>0</v>
      </c>
      <c r="CI41" s="18" t="e">
        <f t="shared" si="79"/>
        <v>#DIV/0!</v>
      </c>
      <c r="CJ41" s="18" t="e">
        <f t="shared" si="80"/>
        <v>#DIV/0!</v>
      </c>
      <c r="CK41" s="10">
        <f t="shared" si="81"/>
        <v>3.1428571428571428</v>
      </c>
      <c r="CL41" s="10" t="e">
        <f t="shared" si="82"/>
        <v>#DIV/0!</v>
      </c>
      <c r="CN41" s="1" t="e">
        <f t="shared" si="83"/>
        <v>#DIV/0!</v>
      </c>
    </row>
    <row r="42" spans="2:92" x14ac:dyDescent="0.2">
      <c r="B42" s="24"/>
      <c r="C42" s="24"/>
      <c r="D42" s="24">
        <v>6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R42" s="18" t="str">
        <f t="array" ref="R42:AE42">_xlfn.XLOOKUP(D42, CP:CP, CQ:DD)</f>
        <v>Drymill CCS Fermentation Exhaust</v>
      </c>
      <c r="S42" s="18" t="str">
        <v>Biomass_Corn</v>
      </c>
      <c r="T42" s="18">
        <v>0</v>
      </c>
      <c r="U42" s="18">
        <v>8.5342824999999997E-2</v>
      </c>
      <c r="V42" s="18">
        <v>3.1043379949999999</v>
      </c>
      <c r="W42" s="18">
        <v>1.013397519</v>
      </c>
      <c r="X42" s="18">
        <v>1.7588666580000001</v>
      </c>
      <c r="Y42" s="18">
        <v>0.35768767200000001</v>
      </c>
      <c r="Z42" s="18">
        <v>0.68601739399999995</v>
      </c>
      <c r="AA42" s="18">
        <v>0.15290642300000001</v>
      </c>
      <c r="AB42" s="18">
        <v>3.2434695999999999E-2</v>
      </c>
      <c r="AC42" s="18">
        <v>45179.42</v>
      </c>
      <c r="AD42" s="18">
        <v>201481.25</v>
      </c>
      <c r="AE42" s="18">
        <v>-25.28</v>
      </c>
      <c r="AG42" s="15"/>
      <c r="AH42" s="15"/>
      <c r="AI42" s="15"/>
      <c r="AJ42" s="15"/>
      <c r="AK42" s="15"/>
      <c r="AL42" s="15"/>
      <c r="AM42" s="15"/>
      <c r="AN42" s="15"/>
      <c r="AO42" s="15"/>
      <c r="AQ42" s="1">
        <f t="shared" si="42"/>
        <v>0</v>
      </c>
      <c r="AR42" s="1">
        <f t="shared" si="43"/>
        <v>0</v>
      </c>
      <c r="AS42" s="11" t="e">
        <f t="shared" si="44"/>
        <v>#DIV/0!</v>
      </c>
      <c r="AT42" s="11" t="e">
        <f t="shared" si="45"/>
        <v>#DIV/0!</v>
      </c>
      <c r="AU42" s="5" t="e">
        <f t="shared" si="46"/>
        <v>#DIV/0!</v>
      </c>
      <c r="AV42" s="5" t="e">
        <f t="shared" si="47"/>
        <v>#DIV/0!</v>
      </c>
      <c r="AW42" s="1" t="e">
        <f t="shared" si="48"/>
        <v>#DIV/0!</v>
      </c>
      <c r="AX42" s="1" t="e">
        <f t="shared" si="49"/>
        <v>#DIV/0!</v>
      </c>
      <c r="AY42" s="1" t="e">
        <f t="shared" si="50"/>
        <v>#DIV/0!</v>
      </c>
      <c r="AZ42" s="1" t="e">
        <f t="shared" si="51"/>
        <v>#DIV/0!</v>
      </c>
      <c r="BA42" s="1" t="e">
        <f t="shared" si="52"/>
        <v>#DIV/0!</v>
      </c>
      <c r="BB42" s="1" t="e">
        <f t="shared" si="53"/>
        <v>#DIV/0!</v>
      </c>
      <c r="BC42" s="1" t="e">
        <f t="shared" si="54"/>
        <v>#DIV/0!</v>
      </c>
      <c r="BD42" s="1" t="e">
        <f t="shared" si="55"/>
        <v>#DIV/0!</v>
      </c>
      <c r="BE42" s="1" t="e">
        <f t="shared" si="56"/>
        <v>#DIV/0!</v>
      </c>
      <c r="BF42" s="1" t="e">
        <f t="shared" si="57"/>
        <v>#DIV/0!</v>
      </c>
      <c r="BG42" s="1" t="e">
        <f t="shared" si="58"/>
        <v>#DIV/0!</v>
      </c>
      <c r="BH42" s="1" t="e">
        <f t="shared" si="59"/>
        <v>#DIV/0!</v>
      </c>
      <c r="BI42" s="1" t="e">
        <f t="shared" si="60"/>
        <v>#DIV/0!</v>
      </c>
      <c r="BJ42" s="1" t="e">
        <f t="shared" si="61"/>
        <v>#DIV/0!</v>
      </c>
      <c r="BK42" s="1" t="e">
        <f t="shared" si="62"/>
        <v>#DIV/0!</v>
      </c>
      <c r="BL42" s="1" t="e">
        <f t="shared" si="63"/>
        <v>#DIV/0!</v>
      </c>
      <c r="BM42" s="1" t="e">
        <f t="shared" si="64"/>
        <v>#DIV/0!</v>
      </c>
      <c r="BN42" s="1" t="e">
        <f t="shared" si="65"/>
        <v>#DIV/0!</v>
      </c>
      <c r="BP42" s="1" t="str">
        <f t="shared" si="66"/>
        <v>Drymill CCS Fermentation Exhaust</v>
      </c>
      <c r="BQ42" s="1" t="e">
        <f t="shared" si="67"/>
        <v>#DIV/0!</v>
      </c>
      <c r="BR42" s="1" t="e">
        <f t="shared" si="68"/>
        <v>#DIV/0!</v>
      </c>
      <c r="BS42" s="1" t="e">
        <f t="array" ref="BS42">_xlfn.IFS(S42="Biomass_Corn", 1/V42/H42*AL42, S42="Biomass_Agri", 1/V42/H42*AK42, S42="Biomass_Wood", 1/V42/H42*AJ42, S42="Biomass_Herb", 1/V42/H42*AI42)</f>
        <v>#DIV/0!</v>
      </c>
      <c r="BT42" s="1" t="e">
        <f t="shared" si="69"/>
        <v>#DIV/0!</v>
      </c>
      <c r="BU42" s="1" t="e">
        <f t="shared" si="70"/>
        <v>#DIV/0!</v>
      </c>
      <c r="BV42" s="1" t="e">
        <f t="shared" si="71"/>
        <v>#DIV/0!</v>
      </c>
      <c r="BW42" s="1" t="e">
        <f t="shared" si="72"/>
        <v>#DIV/0!</v>
      </c>
      <c r="BY42" s="9">
        <f t="shared" si="73"/>
        <v>3.1428571428571428</v>
      </c>
      <c r="BZ42" s="18">
        <f t="shared" si="74"/>
        <v>1.7588666580000001</v>
      </c>
      <c r="CA42" s="10">
        <v>0.1828908353</v>
      </c>
      <c r="CB42" s="9">
        <v>0.23037490999999999</v>
      </c>
      <c r="CD42" s="10" t="e">
        <f t="shared" si="75"/>
        <v>#DIV/0!</v>
      </c>
      <c r="CE42" s="10" t="e">
        <f t="shared" si="76"/>
        <v>#DIV/0!</v>
      </c>
      <c r="CF42" s="10" t="e">
        <f t="shared" si="77"/>
        <v>#DIV/0!</v>
      </c>
      <c r="CG42" s="10">
        <f t="shared" si="78"/>
        <v>0</v>
      </c>
      <c r="CI42" s="18" t="e">
        <f t="shared" si="79"/>
        <v>#DIV/0!</v>
      </c>
      <c r="CJ42" s="18" t="e">
        <f t="shared" si="80"/>
        <v>#DIV/0!</v>
      </c>
      <c r="CK42" s="10">
        <f t="shared" si="81"/>
        <v>3.1428571428571428</v>
      </c>
      <c r="CL42" s="10" t="e">
        <f t="shared" si="82"/>
        <v>#DIV/0!</v>
      </c>
      <c r="CN42" s="1" t="e">
        <f t="shared" si="83"/>
        <v>#DIV/0!</v>
      </c>
    </row>
    <row r="43" spans="2:92" x14ac:dyDescent="0.2">
      <c r="B43" s="24"/>
      <c r="C43" s="24"/>
      <c r="D43" s="24">
        <v>6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R43" s="18" t="str">
        <f t="array" ref="R43:AE43">_xlfn.XLOOKUP(D43, CP:CP, CQ:DD)</f>
        <v>Drymill CCS Fermentation Exhaust</v>
      </c>
      <c r="S43" s="18" t="str">
        <v>Biomass_Corn</v>
      </c>
      <c r="T43" s="18">
        <v>0</v>
      </c>
      <c r="U43" s="18">
        <v>8.5342824999999997E-2</v>
      </c>
      <c r="V43" s="18">
        <v>3.1043379949999999</v>
      </c>
      <c r="W43" s="18">
        <v>1.013397519</v>
      </c>
      <c r="X43" s="18">
        <v>1.7588666580000001</v>
      </c>
      <c r="Y43" s="18">
        <v>0.35768767200000001</v>
      </c>
      <c r="Z43" s="18">
        <v>0.68601739399999995</v>
      </c>
      <c r="AA43" s="18">
        <v>0.15290642300000001</v>
      </c>
      <c r="AB43" s="18">
        <v>3.2434695999999999E-2</v>
      </c>
      <c r="AC43" s="18">
        <v>45179.42</v>
      </c>
      <c r="AD43" s="18">
        <v>201481.25</v>
      </c>
      <c r="AE43" s="18">
        <v>-25.28</v>
      </c>
      <c r="AG43" s="15"/>
      <c r="AH43" s="15"/>
      <c r="AI43" s="15"/>
      <c r="AJ43" s="15"/>
      <c r="AK43" s="15"/>
      <c r="AL43" s="15"/>
      <c r="AM43" s="15"/>
      <c r="AN43" s="15"/>
      <c r="AO43" s="15"/>
      <c r="AQ43" s="1">
        <f t="shared" si="42"/>
        <v>0</v>
      </c>
      <c r="AR43" s="1">
        <f t="shared" si="43"/>
        <v>0</v>
      </c>
      <c r="AS43" s="11" t="e">
        <f t="shared" si="44"/>
        <v>#DIV/0!</v>
      </c>
      <c r="AT43" s="11" t="e">
        <f t="shared" si="45"/>
        <v>#DIV/0!</v>
      </c>
      <c r="AU43" s="5" t="e">
        <f t="shared" si="46"/>
        <v>#DIV/0!</v>
      </c>
      <c r="AV43" s="5" t="e">
        <f t="shared" si="47"/>
        <v>#DIV/0!</v>
      </c>
      <c r="AW43" s="1" t="e">
        <f t="shared" si="48"/>
        <v>#DIV/0!</v>
      </c>
      <c r="AX43" s="1" t="e">
        <f t="shared" si="49"/>
        <v>#DIV/0!</v>
      </c>
      <c r="AY43" s="1" t="e">
        <f t="shared" si="50"/>
        <v>#DIV/0!</v>
      </c>
      <c r="AZ43" s="1" t="e">
        <f t="shared" si="51"/>
        <v>#DIV/0!</v>
      </c>
      <c r="BA43" s="1" t="e">
        <f t="shared" si="52"/>
        <v>#DIV/0!</v>
      </c>
      <c r="BB43" s="1" t="e">
        <f t="shared" si="53"/>
        <v>#DIV/0!</v>
      </c>
      <c r="BC43" s="1" t="e">
        <f t="shared" si="54"/>
        <v>#DIV/0!</v>
      </c>
      <c r="BD43" s="1" t="e">
        <f t="shared" si="55"/>
        <v>#DIV/0!</v>
      </c>
      <c r="BE43" s="1" t="e">
        <f t="shared" si="56"/>
        <v>#DIV/0!</v>
      </c>
      <c r="BF43" s="1" t="e">
        <f t="shared" si="57"/>
        <v>#DIV/0!</v>
      </c>
      <c r="BG43" s="1" t="e">
        <f t="shared" si="58"/>
        <v>#DIV/0!</v>
      </c>
      <c r="BH43" s="1" t="e">
        <f t="shared" si="59"/>
        <v>#DIV/0!</v>
      </c>
      <c r="BI43" s="1" t="e">
        <f t="shared" si="60"/>
        <v>#DIV/0!</v>
      </c>
      <c r="BJ43" s="1" t="e">
        <f t="shared" si="61"/>
        <v>#DIV/0!</v>
      </c>
      <c r="BK43" s="1" t="e">
        <f t="shared" si="62"/>
        <v>#DIV/0!</v>
      </c>
      <c r="BL43" s="1" t="e">
        <f t="shared" si="63"/>
        <v>#DIV/0!</v>
      </c>
      <c r="BM43" s="1" t="e">
        <f t="shared" si="64"/>
        <v>#DIV/0!</v>
      </c>
      <c r="BN43" s="1" t="e">
        <f t="shared" si="65"/>
        <v>#DIV/0!</v>
      </c>
      <c r="BP43" s="1" t="str">
        <f t="shared" si="66"/>
        <v>Drymill CCS Fermentation Exhaust</v>
      </c>
      <c r="BQ43" s="1" t="e">
        <f t="shared" si="67"/>
        <v>#DIV/0!</v>
      </c>
      <c r="BR43" s="1" t="e">
        <f t="shared" si="68"/>
        <v>#DIV/0!</v>
      </c>
      <c r="BS43" s="1" t="e">
        <f t="array" ref="BS43">_xlfn.IFS(S43="Biomass_Corn", 1/V43/H43*AL43, S43="Biomass_Agri", 1/V43/H43*AK43, S43="Biomass_Wood", 1/V43/H43*AJ43, S43="Biomass_Herb", 1/V43/H43*AI43)</f>
        <v>#DIV/0!</v>
      </c>
      <c r="BT43" s="1" t="e">
        <f t="shared" si="69"/>
        <v>#DIV/0!</v>
      </c>
      <c r="BU43" s="1" t="e">
        <f t="shared" si="70"/>
        <v>#DIV/0!</v>
      </c>
      <c r="BV43" s="1" t="e">
        <f t="shared" si="71"/>
        <v>#DIV/0!</v>
      </c>
      <c r="BW43" s="1" t="e">
        <f t="shared" si="72"/>
        <v>#DIV/0!</v>
      </c>
      <c r="BY43" s="9">
        <f t="shared" si="73"/>
        <v>3.1428571428571428</v>
      </c>
      <c r="BZ43" s="18">
        <f t="shared" si="74"/>
        <v>1.7588666580000001</v>
      </c>
      <c r="CA43" s="10">
        <v>0.1828908353</v>
      </c>
      <c r="CB43" s="9">
        <v>0.23037490999999999</v>
      </c>
      <c r="CD43" s="10" t="e">
        <f t="shared" si="75"/>
        <v>#DIV/0!</v>
      </c>
      <c r="CE43" s="10" t="e">
        <f t="shared" si="76"/>
        <v>#DIV/0!</v>
      </c>
      <c r="CF43" s="10" t="e">
        <f t="shared" si="77"/>
        <v>#DIV/0!</v>
      </c>
      <c r="CG43" s="10">
        <f t="shared" si="78"/>
        <v>0</v>
      </c>
      <c r="CI43" s="18" t="e">
        <f t="shared" si="79"/>
        <v>#DIV/0!</v>
      </c>
      <c r="CJ43" s="18" t="e">
        <f t="shared" si="80"/>
        <v>#DIV/0!</v>
      </c>
      <c r="CK43" s="10">
        <f t="shared" si="81"/>
        <v>3.1428571428571428</v>
      </c>
      <c r="CL43" s="10" t="e">
        <f t="shared" si="82"/>
        <v>#DIV/0!</v>
      </c>
      <c r="CN43" s="1" t="e">
        <f t="shared" si="83"/>
        <v>#DIV/0!</v>
      </c>
    </row>
    <row r="44" spans="2:92" x14ac:dyDescent="0.2">
      <c r="B44" s="24"/>
      <c r="C44" s="24"/>
      <c r="D44" s="24">
        <v>6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R44" s="18" t="str">
        <f t="array" ref="R44:AE44">_xlfn.XLOOKUP(D44, CP:CP, CQ:DD)</f>
        <v>Drymill CCS Fermentation Exhaust</v>
      </c>
      <c r="S44" s="18" t="str">
        <v>Biomass_Corn</v>
      </c>
      <c r="T44" s="18">
        <v>0</v>
      </c>
      <c r="U44" s="18">
        <v>8.5342824999999997E-2</v>
      </c>
      <c r="V44" s="18">
        <v>3.1043379949999999</v>
      </c>
      <c r="W44" s="18">
        <v>1.013397519</v>
      </c>
      <c r="X44" s="18">
        <v>1.7588666580000001</v>
      </c>
      <c r="Y44" s="18">
        <v>0.35768767200000001</v>
      </c>
      <c r="Z44" s="18">
        <v>0.68601739399999995</v>
      </c>
      <c r="AA44" s="18">
        <v>0.15290642300000001</v>
      </c>
      <c r="AB44" s="18">
        <v>3.2434695999999999E-2</v>
      </c>
      <c r="AC44" s="18">
        <v>45179.42</v>
      </c>
      <c r="AD44" s="18">
        <v>201481.25</v>
      </c>
      <c r="AE44" s="18">
        <v>-25.28</v>
      </c>
      <c r="AG44" s="15"/>
      <c r="AH44" s="15"/>
      <c r="AI44" s="15"/>
      <c r="AJ44" s="15"/>
      <c r="AK44" s="15"/>
      <c r="AL44" s="15"/>
      <c r="AM44" s="15"/>
      <c r="AN44" s="15"/>
      <c r="AO44" s="15"/>
      <c r="AQ44" s="1">
        <f t="shared" si="42"/>
        <v>0</v>
      </c>
      <c r="AR44" s="1">
        <f t="shared" si="43"/>
        <v>0</v>
      </c>
      <c r="AS44" s="11" t="e">
        <f t="shared" si="44"/>
        <v>#DIV/0!</v>
      </c>
      <c r="AT44" s="11" t="e">
        <f t="shared" si="45"/>
        <v>#DIV/0!</v>
      </c>
      <c r="AU44" s="5" t="e">
        <f t="shared" si="46"/>
        <v>#DIV/0!</v>
      </c>
      <c r="AV44" s="5" t="e">
        <f t="shared" si="47"/>
        <v>#DIV/0!</v>
      </c>
      <c r="AW44" s="1" t="e">
        <f t="shared" si="48"/>
        <v>#DIV/0!</v>
      </c>
      <c r="AX44" s="1" t="e">
        <f t="shared" si="49"/>
        <v>#DIV/0!</v>
      </c>
      <c r="AY44" s="1" t="e">
        <f t="shared" si="50"/>
        <v>#DIV/0!</v>
      </c>
      <c r="AZ44" s="1" t="e">
        <f t="shared" si="51"/>
        <v>#DIV/0!</v>
      </c>
      <c r="BA44" s="1" t="e">
        <f t="shared" si="52"/>
        <v>#DIV/0!</v>
      </c>
      <c r="BB44" s="1" t="e">
        <f t="shared" si="53"/>
        <v>#DIV/0!</v>
      </c>
      <c r="BC44" s="1" t="e">
        <f t="shared" si="54"/>
        <v>#DIV/0!</v>
      </c>
      <c r="BD44" s="1" t="e">
        <f t="shared" si="55"/>
        <v>#DIV/0!</v>
      </c>
      <c r="BE44" s="1" t="e">
        <f t="shared" si="56"/>
        <v>#DIV/0!</v>
      </c>
      <c r="BF44" s="1" t="e">
        <f t="shared" si="57"/>
        <v>#DIV/0!</v>
      </c>
      <c r="BG44" s="1" t="e">
        <f t="shared" si="58"/>
        <v>#DIV/0!</v>
      </c>
      <c r="BH44" s="1" t="e">
        <f t="shared" si="59"/>
        <v>#DIV/0!</v>
      </c>
      <c r="BI44" s="1" t="e">
        <f t="shared" si="60"/>
        <v>#DIV/0!</v>
      </c>
      <c r="BJ44" s="1" t="e">
        <f t="shared" si="61"/>
        <v>#DIV/0!</v>
      </c>
      <c r="BK44" s="1" t="e">
        <f t="shared" si="62"/>
        <v>#DIV/0!</v>
      </c>
      <c r="BL44" s="1" t="e">
        <f t="shared" si="63"/>
        <v>#DIV/0!</v>
      </c>
      <c r="BM44" s="1" t="e">
        <f t="shared" si="64"/>
        <v>#DIV/0!</v>
      </c>
      <c r="BN44" s="1" t="e">
        <f t="shared" si="65"/>
        <v>#DIV/0!</v>
      </c>
      <c r="BP44" s="1" t="str">
        <f t="shared" si="66"/>
        <v>Drymill CCS Fermentation Exhaust</v>
      </c>
      <c r="BQ44" s="1" t="e">
        <f t="shared" si="67"/>
        <v>#DIV/0!</v>
      </c>
      <c r="BR44" s="1" t="e">
        <f t="shared" si="68"/>
        <v>#DIV/0!</v>
      </c>
      <c r="BS44" s="1" t="e">
        <f t="array" ref="BS44">_xlfn.IFS(S44="Biomass_Corn", 1/V44/H44*AL44, S44="Biomass_Agri", 1/V44/H44*AK44, S44="Biomass_Wood", 1/V44/H44*AJ44, S44="Biomass_Herb", 1/V44/H44*AI44)</f>
        <v>#DIV/0!</v>
      </c>
      <c r="BT44" s="1" t="e">
        <f t="shared" si="69"/>
        <v>#DIV/0!</v>
      </c>
      <c r="BU44" s="1" t="e">
        <f t="shared" si="70"/>
        <v>#DIV/0!</v>
      </c>
      <c r="BV44" s="1" t="e">
        <f t="shared" si="71"/>
        <v>#DIV/0!</v>
      </c>
      <c r="BW44" s="1" t="e">
        <f t="shared" si="72"/>
        <v>#DIV/0!</v>
      </c>
      <c r="BY44" s="9">
        <f t="shared" si="73"/>
        <v>3.1428571428571428</v>
      </c>
      <c r="BZ44" s="18">
        <f t="shared" si="74"/>
        <v>1.7588666580000001</v>
      </c>
      <c r="CA44" s="10">
        <v>0.1828908353</v>
      </c>
      <c r="CB44" s="9">
        <v>0.23037490999999999</v>
      </c>
      <c r="CD44" s="10" t="e">
        <f t="shared" si="75"/>
        <v>#DIV/0!</v>
      </c>
      <c r="CE44" s="10" t="e">
        <f t="shared" si="76"/>
        <v>#DIV/0!</v>
      </c>
      <c r="CF44" s="10" t="e">
        <f t="shared" si="77"/>
        <v>#DIV/0!</v>
      </c>
      <c r="CG44" s="10">
        <f t="shared" si="78"/>
        <v>0</v>
      </c>
      <c r="CI44" s="18" t="e">
        <f t="shared" si="79"/>
        <v>#DIV/0!</v>
      </c>
      <c r="CJ44" s="18" t="e">
        <f t="shared" si="80"/>
        <v>#DIV/0!</v>
      </c>
      <c r="CK44" s="10">
        <f t="shared" si="81"/>
        <v>3.1428571428571428</v>
      </c>
      <c r="CL44" s="10" t="e">
        <f t="shared" si="82"/>
        <v>#DIV/0!</v>
      </c>
      <c r="CN44" s="1" t="e">
        <f t="shared" si="83"/>
        <v>#DIV/0!</v>
      </c>
    </row>
    <row r="45" spans="2:92" x14ac:dyDescent="0.2">
      <c r="B45" s="24"/>
      <c r="C45" s="24"/>
      <c r="D45" s="24">
        <v>6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R45" s="18" t="str">
        <f t="array" ref="R45:AE45">_xlfn.XLOOKUP(D45, CP:CP, CQ:DD)</f>
        <v>Drymill CCS Fermentation Exhaust</v>
      </c>
      <c r="S45" s="18" t="str">
        <v>Biomass_Corn</v>
      </c>
      <c r="T45" s="18">
        <v>0</v>
      </c>
      <c r="U45" s="18">
        <v>8.5342824999999997E-2</v>
      </c>
      <c r="V45" s="18">
        <v>3.1043379949999999</v>
      </c>
      <c r="W45" s="18">
        <v>1.013397519</v>
      </c>
      <c r="X45" s="18">
        <v>1.7588666580000001</v>
      </c>
      <c r="Y45" s="18">
        <v>0.35768767200000001</v>
      </c>
      <c r="Z45" s="18">
        <v>0.68601739399999995</v>
      </c>
      <c r="AA45" s="18">
        <v>0.15290642300000001</v>
      </c>
      <c r="AB45" s="18">
        <v>3.2434695999999999E-2</v>
      </c>
      <c r="AC45" s="18">
        <v>45179.42</v>
      </c>
      <c r="AD45" s="18">
        <v>201481.25</v>
      </c>
      <c r="AE45" s="18">
        <v>-25.28</v>
      </c>
      <c r="AG45" s="15"/>
      <c r="AH45" s="15"/>
      <c r="AI45" s="15"/>
      <c r="AJ45" s="15"/>
      <c r="AK45" s="15"/>
      <c r="AL45" s="15"/>
      <c r="AM45" s="15"/>
      <c r="AN45" s="15"/>
      <c r="AO45" s="15"/>
      <c r="AQ45" s="1">
        <f t="shared" si="42"/>
        <v>0</v>
      </c>
      <c r="AR45" s="1">
        <f t="shared" si="43"/>
        <v>0</v>
      </c>
      <c r="AS45" s="11" t="e">
        <f t="shared" si="44"/>
        <v>#DIV/0!</v>
      </c>
      <c r="AT45" s="11" t="e">
        <f t="shared" si="45"/>
        <v>#DIV/0!</v>
      </c>
      <c r="AU45" s="5" t="e">
        <f t="shared" si="46"/>
        <v>#DIV/0!</v>
      </c>
      <c r="AV45" s="5" t="e">
        <f t="shared" si="47"/>
        <v>#DIV/0!</v>
      </c>
      <c r="AW45" s="1" t="e">
        <f t="shared" si="48"/>
        <v>#DIV/0!</v>
      </c>
      <c r="AX45" s="1" t="e">
        <f t="shared" si="49"/>
        <v>#DIV/0!</v>
      </c>
      <c r="AY45" s="1" t="e">
        <f t="shared" si="50"/>
        <v>#DIV/0!</v>
      </c>
      <c r="AZ45" s="1" t="e">
        <f t="shared" si="51"/>
        <v>#DIV/0!</v>
      </c>
      <c r="BA45" s="1" t="e">
        <f t="shared" si="52"/>
        <v>#DIV/0!</v>
      </c>
      <c r="BB45" s="1" t="e">
        <f t="shared" si="53"/>
        <v>#DIV/0!</v>
      </c>
      <c r="BC45" s="1" t="e">
        <f t="shared" si="54"/>
        <v>#DIV/0!</v>
      </c>
      <c r="BD45" s="1" t="e">
        <f t="shared" si="55"/>
        <v>#DIV/0!</v>
      </c>
      <c r="BE45" s="1" t="e">
        <f t="shared" si="56"/>
        <v>#DIV/0!</v>
      </c>
      <c r="BF45" s="1" t="e">
        <f t="shared" si="57"/>
        <v>#DIV/0!</v>
      </c>
      <c r="BG45" s="1" t="e">
        <f t="shared" si="58"/>
        <v>#DIV/0!</v>
      </c>
      <c r="BH45" s="1" t="e">
        <f t="shared" si="59"/>
        <v>#DIV/0!</v>
      </c>
      <c r="BI45" s="1" t="e">
        <f t="shared" si="60"/>
        <v>#DIV/0!</v>
      </c>
      <c r="BJ45" s="1" t="e">
        <f t="shared" si="61"/>
        <v>#DIV/0!</v>
      </c>
      <c r="BK45" s="1" t="e">
        <f t="shared" si="62"/>
        <v>#DIV/0!</v>
      </c>
      <c r="BL45" s="1" t="e">
        <f t="shared" si="63"/>
        <v>#DIV/0!</v>
      </c>
      <c r="BM45" s="1" t="e">
        <f t="shared" si="64"/>
        <v>#DIV/0!</v>
      </c>
      <c r="BN45" s="1" t="e">
        <f t="shared" si="65"/>
        <v>#DIV/0!</v>
      </c>
      <c r="BP45" s="1" t="str">
        <f t="shared" si="66"/>
        <v>Drymill CCS Fermentation Exhaust</v>
      </c>
      <c r="BQ45" s="1" t="e">
        <f t="shared" si="67"/>
        <v>#DIV/0!</v>
      </c>
      <c r="BR45" s="1" t="e">
        <f t="shared" si="68"/>
        <v>#DIV/0!</v>
      </c>
      <c r="BS45" s="1" t="e">
        <f t="array" ref="BS45">_xlfn.IFS(S45="Biomass_Corn", 1/V45/H45*AL45, S45="Biomass_Agri", 1/V45/H45*AK45, S45="Biomass_Wood", 1/V45/H45*AJ45, S45="Biomass_Herb", 1/V45/H45*AI45)</f>
        <v>#DIV/0!</v>
      </c>
      <c r="BT45" s="1" t="e">
        <f t="shared" si="69"/>
        <v>#DIV/0!</v>
      </c>
      <c r="BU45" s="1" t="e">
        <f t="shared" si="70"/>
        <v>#DIV/0!</v>
      </c>
      <c r="BV45" s="1" t="e">
        <f t="shared" si="71"/>
        <v>#DIV/0!</v>
      </c>
      <c r="BW45" s="1" t="e">
        <f t="shared" si="72"/>
        <v>#DIV/0!</v>
      </c>
      <c r="BY45" s="9">
        <f t="shared" si="73"/>
        <v>3.1428571428571428</v>
      </c>
      <c r="BZ45" s="18">
        <f t="shared" si="74"/>
        <v>1.7588666580000001</v>
      </c>
      <c r="CA45" s="10">
        <v>0.1828908353</v>
      </c>
      <c r="CB45" s="9">
        <v>0.23037490999999999</v>
      </c>
      <c r="CD45" s="10" t="e">
        <f t="shared" si="75"/>
        <v>#DIV/0!</v>
      </c>
      <c r="CE45" s="10" t="e">
        <f t="shared" si="76"/>
        <v>#DIV/0!</v>
      </c>
      <c r="CF45" s="10" t="e">
        <f t="shared" si="77"/>
        <v>#DIV/0!</v>
      </c>
      <c r="CG45" s="10">
        <f t="shared" si="78"/>
        <v>0</v>
      </c>
      <c r="CI45" s="18" t="e">
        <f t="shared" si="79"/>
        <v>#DIV/0!</v>
      </c>
      <c r="CJ45" s="18" t="e">
        <f t="shared" si="80"/>
        <v>#DIV/0!</v>
      </c>
      <c r="CK45" s="10">
        <f t="shared" si="81"/>
        <v>3.1428571428571428</v>
      </c>
      <c r="CL45" s="10" t="e">
        <f t="shared" si="82"/>
        <v>#DIV/0!</v>
      </c>
      <c r="CN45" s="1" t="e">
        <f t="shared" si="83"/>
        <v>#DIV/0!</v>
      </c>
    </row>
    <row r="46" spans="2:92" x14ac:dyDescent="0.2">
      <c r="B46" s="24"/>
      <c r="C46" s="24"/>
      <c r="D46" s="24">
        <v>6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R46" s="18" t="str">
        <f t="array" ref="R46:AE46">_xlfn.XLOOKUP(D46, CP:CP, CQ:DD)</f>
        <v>Drymill CCS Fermentation Exhaust</v>
      </c>
      <c r="S46" s="18" t="str">
        <v>Biomass_Corn</v>
      </c>
      <c r="T46" s="18">
        <v>0</v>
      </c>
      <c r="U46" s="18">
        <v>8.5342824999999997E-2</v>
      </c>
      <c r="V46" s="18">
        <v>3.1043379949999999</v>
      </c>
      <c r="W46" s="18">
        <v>1.013397519</v>
      </c>
      <c r="X46" s="18">
        <v>1.7588666580000001</v>
      </c>
      <c r="Y46" s="18">
        <v>0.35768767200000001</v>
      </c>
      <c r="Z46" s="18">
        <v>0.68601739399999995</v>
      </c>
      <c r="AA46" s="18">
        <v>0.15290642300000001</v>
      </c>
      <c r="AB46" s="18">
        <v>3.2434695999999999E-2</v>
      </c>
      <c r="AC46" s="18">
        <v>45179.42</v>
      </c>
      <c r="AD46" s="18">
        <v>201481.25</v>
      </c>
      <c r="AE46" s="18">
        <v>-25.28</v>
      </c>
      <c r="AG46" s="15"/>
      <c r="AH46" s="15"/>
      <c r="AI46" s="15"/>
      <c r="AJ46" s="15"/>
      <c r="AK46" s="15"/>
      <c r="AL46" s="15"/>
      <c r="AM46" s="15"/>
      <c r="AN46" s="15"/>
      <c r="AO46" s="15"/>
      <c r="AQ46" s="1">
        <f t="shared" si="42"/>
        <v>0</v>
      </c>
      <c r="AR46" s="1">
        <f t="shared" si="43"/>
        <v>0</v>
      </c>
      <c r="AS46" s="11" t="e">
        <f t="shared" si="44"/>
        <v>#DIV/0!</v>
      </c>
      <c r="AT46" s="11" t="e">
        <f t="shared" si="45"/>
        <v>#DIV/0!</v>
      </c>
      <c r="AU46" s="5" t="e">
        <f t="shared" si="46"/>
        <v>#DIV/0!</v>
      </c>
      <c r="AV46" s="5" t="e">
        <f t="shared" si="47"/>
        <v>#DIV/0!</v>
      </c>
      <c r="AW46" s="1" t="e">
        <f t="shared" si="48"/>
        <v>#DIV/0!</v>
      </c>
      <c r="AX46" s="1" t="e">
        <f t="shared" si="49"/>
        <v>#DIV/0!</v>
      </c>
      <c r="AY46" s="1" t="e">
        <f t="shared" si="50"/>
        <v>#DIV/0!</v>
      </c>
      <c r="AZ46" s="1" t="e">
        <f t="shared" si="51"/>
        <v>#DIV/0!</v>
      </c>
      <c r="BA46" s="1" t="e">
        <f t="shared" si="52"/>
        <v>#DIV/0!</v>
      </c>
      <c r="BB46" s="1" t="e">
        <f t="shared" si="53"/>
        <v>#DIV/0!</v>
      </c>
      <c r="BC46" s="1" t="e">
        <f t="shared" si="54"/>
        <v>#DIV/0!</v>
      </c>
      <c r="BD46" s="1" t="e">
        <f t="shared" si="55"/>
        <v>#DIV/0!</v>
      </c>
      <c r="BE46" s="1" t="e">
        <f t="shared" si="56"/>
        <v>#DIV/0!</v>
      </c>
      <c r="BF46" s="1" t="e">
        <f t="shared" si="57"/>
        <v>#DIV/0!</v>
      </c>
      <c r="BG46" s="1" t="e">
        <f t="shared" si="58"/>
        <v>#DIV/0!</v>
      </c>
      <c r="BH46" s="1" t="e">
        <f t="shared" si="59"/>
        <v>#DIV/0!</v>
      </c>
      <c r="BI46" s="1" t="e">
        <f t="shared" si="60"/>
        <v>#DIV/0!</v>
      </c>
      <c r="BJ46" s="1" t="e">
        <f t="shared" si="61"/>
        <v>#DIV/0!</v>
      </c>
      <c r="BK46" s="1" t="e">
        <f t="shared" si="62"/>
        <v>#DIV/0!</v>
      </c>
      <c r="BL46" s="1" t="e">
        <f t="shared" si="63"/>
        <v>#DIV/0!</v>
      </c>
      <c r="BM46" s="1" t="e">
        <f t="shared" si="64"/>
        <v>#DIV/0!</v>
      </c>
      <c r="BN46" s="1" t="e">
        <f t="shared" si="65"/>
        <v>#DIV/0!</v>
      </c>
      <c r="BP46" s="1" t="str">
        <f t="shared" si="66"/>
        <v>Drymill CCS Fermentation Exhaust</v>
      </c>
      <c r="BQ46" s="1" t="e">
        <f t="shared" si="67"/>
        <v>#DIV/0!</v>
      </c>
      <c r="BR46" s="1" t="e">
        <f t="shared" si="68"/>
        <v>#DIV/0!</v>
      </c>
      <c r="BS46" s="1" t="e">
        <f t="array" ref="BS46">_xlfn.IFS(S46="Biomass_Corn", 1/V46/H46*AL46, S46="Biomass_Agri", 1/V46/H46*AK46, S46="Biomass_Wood", 1/V46/H46*AJ46, S46="Biomass_Herb", 1/V46/H46*AI46)</f>
        <v>#DIV/0!</v>
      </c>
      <c r="BT46" s="1" t="e">
        <f t="shared" si="69"/>
        <v>#DIV/0!</v>
      </c>
      <c r="BU46" s="1" t="e">
        <f t="shared" si="70"/>
        <v>#DIV/0!</v>
      </c>
      <c r="BV46" s="1" t="e">
        <f t="shared" si="71"/>
        <v>#DIV/0!</v>
      </c>
      <c r="BW46" s="1" t="e">
        <f t="shared" si="72"/>
        <v>#DIV/0!</v>
      </c>
      <c r="BY46" s="9">
        <f t="shared" si="73"/>
        <v>3.1428571428571428</v>
      </c>
      <c r="BZ46" s="18">
        <f t="shared" si="74"/>
        <v>1.7588666580000001</v>
      </c>
      <c r="CA46" s="10">
        <v>0.1828908353</v>
      </c>
      <c r="CB46" s="9">
        <v>0.23037490999999999</v>
      </c>
      <c r="CD46" s="10" t="e">
        <f t="shared" si="75"/>
        <v>#DIV/0!</v>
      </c>
      <c r="CE46" s="10" t="e">
        <f t="shared" si="76"/>
        <v>#DIV/0!</v>
      </c>
      <c r="CF46" s="10" t="e">
        <f t="shared" si="77"/>
        <v>#DIV/0!</v>
      </c>
      <c r="CG46" s="10">
        <f t="shared" si="78"/>
        <v>0</v>
      </c>
      <c r="CI46" s="18" t="e">
        <f t="shared" si="79"/>
        <v>#DIV/0!</v>
      </c>
      <c r="CJ46" s="18" t="e">
        <f t="shared" si="80"/>
        <v>#DIV/0!</v>
      </c>
      <c r="CK46" s="10">
        <f t="shared" si="81"/>
        <v>3.1428571428571428</v>
      </c>
      <c r="CL46" s="10" t="e">
        <f t="shared" si="82"/>
        <v>#DIV/0!</v>
      </c>
      <c r="CN46" s="1" t="e">
        <f t="shared" si="83"/>
        <v>#DIV/0!</v>
      </c>
    </row>
    <row r="47" spans="2:92" x14ac:dyDescent="0.2">
      <c r="B47" s="24"/>
      <c r="C47" s="24"/>
      <c r="D47" s="24">
        <v>6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R47" s="18" t="str">
        <f t="array" ref="R47:AE47">_xlfn.XLOOKUP(D47, CP:CP, CQ:DD)</f>
        <v>Drymill CCS Fermentation Exhaust</v>
      </c>
      <c r="S47" s="18" t="str">
        <v>Biomass_Corn</v>
      </c>
      <c r="T47" s="18">
        <v>0</v>
      </c>
      <c r="U47" s="18">
        <v>8.5342824999999997E-2</v>
      </c>
      <c r="V47" s="18">
        <v>3.1043379949999999</v>
      </c>
      <c r="W47" s="18">
        <v>1.013397519</v>
      </c>
      <c r="X47" s="18">
        <v>1.7588666580000001</v>
      </c>
      <c r="Y47" s="18">
        <v>0.35768767200000001</v>
      </c>
      <c r="Z47" s="18">
        <v>0.68601739399999995</v>
      </c>
      <c r="AA47" s="18">
        <v>0.15290642300000001</v>
      </c>
      <c r="AB47" s="18">
        <v>3.2434695999999999E-2</v>
      </c>
      <c r="AC47" s="18">
        <v>45179.42</v>
      </c>
      <c r="AD47" s="18">
        <v>201481.25</v>
      </c>
      <c r="AE47" s="18">
        <v>-25.28</v>
      </c>
      <c r="AG47" s="15"/>
      <c r="AH47" s="15"/>
      <c r="AI47" s="15"/>
      <c r="AJ47" s="15"/>
      <c r="AK47" s="15"/>
      <c r="AL47" s="15"/>
      <c r="AM47" s="15"/>
      <c r="AN47" s="15"/>
      <c r="AO47" s="15"/>
      <c r="AQ47" s="1">
        <f t="shared" si="42"/>
        <v>0</v>
      </c>
      <c r="AR47" s="1">
        <f t="shared" si="43"/>
        <v>0</v>
      </c>
      <c r="AS47" s="11" t="e">
        <f t="shared" si="44"/>
        <v>#DIV/0!</v>
      </c>
      <c r="AT47" s="11" t="e">
        <f t="shared" si="45"/>
        <v>#DIV/0!</v>
      </c>
      <c r="AU47" s="5" t="e">
        <f t="shared" si="46"/>
        <v>#DIV/0!</v>
      </c>
      <c r="AV47" s="5" t="e">
        <f t="shared" si="47"/>
        <v>#DIV/0!</v>
      </c>
      <c r="AW47" s="1" t="e">
        <f t="shared" si="48"/>
        <v>#DIV/0!</v>
      </c>
      <c r="AX47" s="1" t="e">
        <f t="shared" si="49"/>
        <v>#DIV/0!</v>
      </c>
      <c r="AY47" s="1" t="e">
        <f t="shared" si="50"/>
        <v>#DIV/0!</v>
      </c>
      <c r="AZ47" s="1" t="e">
        <f t="shared" si="51"/>
        <v>#DIV/0!</v>
      </c>
      <c r="BA47" s="1" t="e">
        <f t="shared" si="52"/>
        <v>#DIV/0!</v>
      </c>
      <c r="BB47" s="1" t="e">
        <f t="shared" si="53"/>
        <v>#DIV/0!</v>
      </c>
      <c r="BC47" s="1" t="e">
        <f t="shared" si="54"/>
        <v>#DIV/0!</v>
      </c>
      <c r="BD47" s="1" t="e">
        <f t="shared" si="55"/>
        <v>#DIV/0!</v>
      </c>
      <c r="BE47" s="1" t="e">
        <f t="shared" si="56"/>
        <v>#DIV/0!</v>
      </c>
      <c r="BF47" s="1" t="e">
        <f t="shared" si="57"/>
        <v>#DIV/0!</v>
      </c>
      <c r="BG47" s="1" t="e">
        <f t="shared" si="58"/>
        <v>#DIV/0!</v>
      </c>
      <c r="BH47" s="1" t="e">
        <f t="shared" si="59"/>
        <v>#DIV/0!</v>
      </c>
      <c r="BI47" s="1" t="e">
        <f t="shared" si="60"/>
        <v>#DIV/0!</v>
      </c>
      <c r="BJ47" s="1" t="e">
        <f t="shared" si="61"/>
        <v>#DIV/0!</v>
      </c>
      <c r="BK47" s="1" t="e">
        <f t="shared" si="62"/>
        <v>#DIV/0!</v>
      </c>
      <c r="BL47" s="1" t="e">
        <f t="shared" si="63"/>
        <v>#DIV/0!</v>
      </c>
      <c r="BM47" s="1" t="e">
        <f t="shared" si="64"/>
        <v>#DIV/0!</v>
      </c>
      <c r="BN47" s="1" t="e">
        <f t="shared" si="65"/>
        <v>#DIV/0!</v>
      </c>
      <c r="BP47" s="1" t="str">
        <f t="shared" si="66"/>
        <v>Drymill CCS Fermentation Exhaust</v>
      </c>
      <c r="BQ47" s="1" t="e">
        <f t="shared" si="67"/>
        <v>#DIV/0!</v>
      </c>
      <c r="BR47" s="1" t="e">
        <f t="shared" si="68"/>
        <v>#DIV/0!</v>
      </c>
      <c r="BS47" s="1" t="e">
        <f t="array" ref="BS47">_xlfn.IFS(S47="Biomass_Corn", 1/V47/H47*AL47, S47="Biomass_Agri", 1/V47/H47*AK47, S47="Biomass_Wood", 1/V47/H47*AJ47, S47="Biomass_Herb", 1/V47/H47*AI47)</f>
        <v>#DIV/0!</v>
      </c>
      <c r="BT47" s="1" t="e">
        <f t="shared" si="69"/>
        <v>#DIV/0!</v>
      </c>
      <c r="BU47" s="1" t="e">
        <f t="shared" si="70"/>
        <v>#DIV/0!</v>
      </c>
      <c r="BV47" s="1" t="e">
        <f t="shared" si="71"/>
        <v>#DIV/0!</v>
      </c>
      <c r="BW47" s="1" t="e">
        <f t="shared" si="72"/>
        <v>#DIV/0!</v>
      </c>
      <c r="BY47" s="9">
        <f t="shared" si="73"/>
        <v>3.1428571428571428</v>
      </c>
      <c r="BZ47" s="18">
        <f t="shared" si="74"/>
        <v>1.7588666580000001</v>
      </c>
      <c r="CA47" s="10">
        <v>0.1828908353</v>
      </c>
      <c r="CB47" s="9">
        <v>0.23037490999999999</v>
      </c>
      <c r="CD47" s="10" t="e">
        <f t="shared" si="75"/>
        <v>#DIV/0!</v>
      </c>
      <c r="CE47" s="10" t="e">
        <f t="shared" si="76"/>
        <v>#DIV/0!</v>
      </c>
      <c r="CF47" s="10" t="e">
        <f t="shared" si="77"/>
        <v>#DIV/0!</v>
      </c>
      <c r="CG47" s="10">
        <f t="shared" si="78"/>
        <v>0</v>
      </c>
      <c r="CI47" s="18" t="e">
        <f t="shared" si="79"/>
        <v>#DIV/0!</v>
      </c>
      <c r="CJ47" s="18" t="e">
        <f t="shared" si="80"/>
        <v>#DIV/0!</v>
      </c>
      <c r="CK47" s="10">
        <f t="shared" si="81"/>
        <v>3.1428571428571428</v>
      </c>
      <c r="CL47" s="10" t="e">
        <f t="shared" si="82"/>
        <v>#DIV/0!</v>
      </c>
      <c r="CN47" s="1" t="e">
        <f t="shared" si="83"/>
        <v>#DIV/0!</v>
      </c>
    </row>
    <row r="48" spans="2:92" x14ac:dyDescent="0.2">
      <c r="B48" s="24"/>
      <c r="C48" s="24"/>
      <c r="D48" s="24">
        <v>6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R48" s="18" t="str">
        <f t="array" ref="R48:AE48">_xlfn.XLOOKUP(D48, CP:CP, CQ:DD)</f>
        <v>Drymill CCS Fermentation Exhaust</v>
      </c>
      <c r="S48" s="18" t="str">
        <v>Biomass_Corn</v>
      </c>
      <c r="T48" s="18">
        <v>0</v>
      </c>
      <c r="U48" s="18">
        <v>8.5342824999999997E-2</v>
      </c>
      <c r="V48" s="18">
        <v>3.1043379949999999</v>
      </c>
      <c r="W48" s="18">
        <v>1.013397519</v>
      </c>
      <c r="X48" s="18">
        <v>1.7588666580000001</v>
      </c>
      <c r="Y48" s="18">
        <v>0.35768767200000001</v>
      </c>
      <c r="Z48" s="18">
        <v>0.68601739399999995</v>
      </c>
      <c r="AA48" s="18">
        <v>0.15290642300000001</v>
      </c>
      <c r="AB48" s="18">
        <v>3.2434695999999999E-2</v>
      </c>
      <c r="AC48" s="18">
        <v>45179.42</v>
      </c>
      <c r="AD48" s="18">
        <v>201481.25</v>
      </c>
      <c r="AE48" s="18">
        <v>-25.28</v>
      </c>
      <c r="AG48" s="15"/>
      <c r="AH48" s="15"/>
      <c r="AI48" s="15"/>
      <c r="AJ48" s="15"/>
      <c r="AK48" s="15"/>
      <c r="AL48" s="15"/>
      <c r="AM48" s="15"/>
      <c r="AN48" s="15"/>
      <c r="AO48" s="15"/>
      <c r="AQ48" s="1">
        <f t="shared" si="42"/>
        <v>0</v>
      </c>
      <c r="AR48" s="1">
        <f t="shared" si="43"/>
        <v>0</v>
      </c>
      <c r="AS48" s="11" t="e">
        <f t="shared" si="44"/>
        <v>#DIV/0!</v>
      </c>
      <c r="AT48" s="11" t="e">
        <f t="shared" si="45"/>
        <v>#DIV/0!</v>
      </c>
      <c r="AU48" s="5" t="e">
        <f t="shared" si="46"/>
        <v>#DIV/0!</v>
      </c>
      <c r="AV48" s="5" t="e">
        <f t="shared" si="47"/>
        <v>#DIV/0!</v>
      </c>
      <c r="AW48" s="1" t="e">
        <f t="shared" si="48"/>
        <v>#DIV/0!</v>
      </c>
      <c r="AX48" s="1" t="e">
        <f t="shared" si="49"/>
        <v>#DIV/0!</v>
      </c>
      <c r="AY48" s="1" t="e">
        <f t="shared" si="50"/>
        <v>#DIV/0!</v>
      </c>
      <c r="AZ48" s="1" t="e">
        <f t="shared" si="51"/>
        <v>#DIV/0!</v>
      </c>
      <c r="BA48" s="1" t="e">
        <f t="shared" si="52"/>
        <v>#DIV/0!</v>
      </c>
      <c r="BB48" s="1" t="e">
        <f t="shared" si="53"/>
        <v>#DIV/0!</v>
      </c>
      <c r="BC48" s="1" t="e">
        <f t="shared" si="54"/>
        <v>#DIV/0!</v>
      </c>
      <c r="BD48" s="1" t="e">
        <f t="shared" si="55"/>
        <v>#DIV/0!</v>
      </c>
      <c r="BE48" s="1" t="e">
        <f t="shared" si="56"/>
        <v>#DIV/0!</v>
      </c>
      <c r="BF48" s="1" t="e">
        <f t="shared" si="57"/>
        <v>#DIV/0!</v>
      </c>
      <c r="BG48" s="1" t="e">
        <f t="shared" si="58"/>
        <v>#DIV/0!</v>
      </c>
      <c r="BH48" s="1" t="e">
        <f t="shared" si="59"/>
        <v>#DIV/0!</v>
      </c>
      <c r="BI48" s="1" t="e">
        <f t="shared" si="60"/>
        <v>#DIV/0!</v>
      </c>
      <c r="BJ48" s="1" t="e">
        <f t="shared" si="61"/>
        <v>#DIV/0!</v>
      </c>
      <c r="BK48" s="1" t="e">
        <f t="shared" si="62"/>
        <v>#DIV/0!</v>
      </c>
      <c r="BL48" s="1" t="e">
        <f t="shared" si="63"/>
        <v>#DIV/0!</v>
      </c>
      <c r="BM48" s="1" t="e">
        <f t="shared" si="64"/>
        <v>#DIV/0!</v>
      </c>
      <c r="BN48" s="1" t="e">
        <f t="shared" si="65"/>
        <v>#DIV/0!</v>
      </c>
      <c r="BP48" s="1" t="str">
        <f t="shared" si="66"/>
        <v>Drymill CCS Fermentation Exhaust</v>
      </c>
      <c r="BQ48" s="1" t="e">
        <f t="shared" si="67"/>
        <v>#DIV/0!</v>
      </c>
      <c r="BR48" s="1" t="e">
        <f t="shared" si="68"/>
        <v>#DIV/0!</v>
      </c>
      <c r="BS48" s="1" t="e">
        <f t="array" ref="BS48">_xlfn.IFS(S48="Biomass_Corn", 1/V48/H48*AL48, S48="Biomass_Agri", 1/V48/H48*AK48, S48="Biomass_Wood", 1/V48/H48*AJ48, S48="Biomass_Herb", 1/V48/H48*AI48)</f>
        <v>#DIV/0!</v>
      </c>
      <c r="BT48" s="1" t="e">
        <f t="shared" si="69"/>
        <v>#DIV/0!</v>
      </c>
      <c r="BU48" s="1" t="e">
        <f t="shared" si="70"/>
        <v>#DIV/0!</v>
      </c>
      <c r="BV48" s="1" t="e">
        <f t="shared" si="71"/>
        <v>#DIV/0!</v>
      </c>
      <c r="BW48" s="1" t="e">
        <f t="shared" si="72"/>
        <v>#DIV/0!</v>
      </c>
      <c r="BY48" s="9">
        <f t="shared" si="73"/>
        <v>3.1428571428571428</v>
      </c>
      <c r="BZ48" s="18">
        <f t="shared" si="74"/>
        <v>1.7588666580000001</v>
      </c>
      <c r="CA48" s="10">
        <v>0.1828908353</v>
      </c>
      <c r="CB48" s="9">
        <v>0.23037490999999999</v>
      </c>
      <c r="CD48" s="10" t="e">
        <f t="shared" si="75"/>
        <v>#DIV/0!</v>
      </c>
      <c r="CE48" s="10" t="e">
        <f t="shared" si="76"/>
        <v>#DIV/0!</v>
      </c>
      <c r="CF48" s="10" t="e">
        <f t="shared" si="77"/>
        <v>#DIV/0!</v>
      </c>
      <c r="CG48" s="10">
        <f t="shared" si="78"/>
        <v>0</v>
      </c>
      <c r="CI48" s="18" t="e">
        <f t="shared" si="79"/>
        <v>#DIV/0!</v>
      </c>
      <c r="CJ48" s="18" t="e">
        <f t="shared" si="80"/>
        <v>#DIV/0!</v>
      </c>
      <c r="CK48" s="10">
        <f t="shared" si="81"/>
        <v>3.1428571428571428</v>
      </c>
      <c r="CL48" s="10" t="e">
        <f t="shared" si="82"/>
        <v>#DIV/0!</v>
      </c>
      <c r="CN48" s="1" t="e">
        <f t="shared" si="83"/>
        <v>#DIV/0!</v>
      </c>
    </row>
    <row r="49" spans="2:92" x14ac:dyDescent="0.2">
      <c r="B49" s="24"/>
      <c r="C49" s="24"/>
      <c r="D49" s="24">
        <v>6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R49" s="18" t="str">
        <f t="array" ref="R49:AE49">_xlfn.XLOOKUP(D49, CP:CP, CQ:DD)</f>
        <v>Drymill CCS Fermentation Exhaust</v>
      </c>
      <c r="S49" s="18" t="str">
        <v>Biomass_Corn</v>
      </c>
      <c r="T49" s="18">
        <v>0</v>
      </c>
      <c r="U49" s="18">
        <v>8.5342824999999997E-2</v>
      </c>
      <c r="V49" s="18">
        <v>3.1043379949999999</v>
      </c>
      <c r="W49" s="18">
        <v>1.013397519</v>
      </c>
      <c r="X49" s="18">
        <v>1.7588666580000001</v>
      </c>
      <c r="Y49" s="18">
        <v>0.35768767200000001</v>
      </c>
      <c r="Z49" s="18">
        <v>0.68601739399999995</v>
      </c>
      <c r="AA49" s="18">
        <v>0.15290642300000001</v>
      </c>
      <c r="AB49" s="18">
        <v>3.2434695999999999E-2</v>
      </c>
      <c r="AC49" s="18">
        <v>45179.42</v>
      </c>
      <c r="AD49" s="18">
        <v>201481.25</v>
      </c>
      <c r="AE49" s="18">
        <v>-25.28</v>
      </c>
      <c r="AG49" s="15"/>
      <c r="AH49" s="15"/>
      <c r="AI49" s="15"/>
      <c r="AJ49" s="15"/>
      <c r="AK49" s="15"/>
      <c r="AL49" s="15"/>
      <c r="AM49" s="15"/>
      <c r="AN49" s="15"/>
      <c r="AO49" s="15"/>
      <c r="AQ49" s="1">
        <f t="shared" si="42"/>
        <v>0</v>
      </c>
      <c r="AR49" s="1">
        <f t="shared" si="43"/>
        <v>0</v>
      </c>
      <c r="AS49" s="11" t="e">
        <f t="shared" si="44"/>
        <v>#DIV/0!</v>
      </c>
      <c r="AT49" s="11" t="e">
        <f t="shared" si="45"/>
        <v>#DIV/0!</v>
      </c>
      <c r="AU49" s="5" t="e">
        <f t="shared" si="46"/>
        <v>#DIV/0!</v>
      </c>
      <c r="AV49" s="5" t="e">
        <f t="shared" si="47"/>
        <v>#DIV/0!</v>
      </c>
      <c r="AW49" s="1" t="e">
        <f t="shared" si="48"/>
        <v>#DIV/0!</v>
      </c>
      <c r="AX49" s="1" t="e">
        <f t="shared" si="49"/>
        <v>#DIV/0!</v>
      </c>
      <c r="AY49" s="1" t="e">
        <f t="shared" si="50"/>
        <v>#DIV/0!</v>
      </c>
      <c r="AZ49" s="1" t="e">
        <f t="shared" si="51"/>
        <v>#DIV/0!</v>
      </c>
      <c r="BA49" s="1" t="e">
        <f t="shared" si="52"/>
        <v>#DIV/0!</v>
      </c>
      <c r="BB49" s="1" t="e">
        <f t="shared" si="53"/>
        <v>#DIV/0!</v>
      </c>
      <c r="BC49" s="1" t="e">
        <f t="shared" si="54"/>
        <v>#DIV/0!</v>
      </c>
      <c r="BD49" s="1" t="e">
        <f t="shared" si="55"/>
        <v>#DIV/0!</v>
      </c>
      <c r="BE49" s="1" t="e">
        <f t="shared" si="56"/>
        <v>#DIV/0!</v>
      </c>
      <c r="BF49" s="1" t="e">
        <f t="shared" si="57"/>
        <v>#DIV/0!</v>
      </c>
      <c r="BG49" s="1" t="e">
        <f t="shared" si="58"/>
        <v>#DIV/0!</v>
      </c>
      <c r="BH49" s="1" t="e">
        <f t="shared" si="59"/>
        <v>#DIV/0!</v>
      </c>
      <c r="BI49" s="1" t="e">
        <f t="shared" si="60"/>
        <v>#DIV/0!</v>
      </c>
      <c r="BJ49" s="1" t="e">
        <f t="shared" si="61"/>
        <v>#DIV/0!</v>
      </c>
      <c r="BK49" s="1" t="e">
        <f t="shared" si="62"/>
        <v>#DIV/0!</v>
      </c>
      <c r="BL49" s="1" t="e">
        <f t="shared" si="63"/>
        <v>#DIV/0!</v>
      </c>
      <c r="BM49" s="1" t="e">
        <f t="shared" si="64"/>
        <v>#DIV/0!</v>
      </c>
      <c r="BN49" s="1" t="e">
        <f t="shared" si="65"/>
        <v>#DIV/0!</v>
      </c>
      <c r="BP49" s="1" t="str">
        <f t="shared" si="66"/>
        <v>Drymill CCS Fermentation Exhaust</v>
      </c>
      <c r="BQ49" s="1" t="e">
        <f t="shared" si="67"/>
        <v>#DIV/0!</v>
      </c>
      <c r="BR49" s="1" t="e">
        <f t="shared" si="68"/>
        <v>#DIV/0!</v>
      </c>
      <c r="BS49" s="1" t="e">
        <f t="array" ref="BS49">_xlfn.IFS(S49="Biomass_Corn", 1/V49/H49*AL49, S49="Biomass_Agri", 1/V49/H49*AK49, S49="Biomass_Wood", 1/V49/H49*AJ49, S49="Biomass_Herb", 1/V49/H49*AI49)</f>
        <v>#DIV/0!</v>
      </c>
      <c r="BT49" s="1" t="e">
        <f t="shared" si="69"/>
        <v>#DIV/0!</v>
      </c>
      <c r="BU49" s="1" t="e">
        <f t="shared" si="70"/>
        <v>#DIV/0!</v>
      </c>
      <c r="BV49" s="1" t="e">
        <f t="shared" si="71"/>
        <v>#DIV/0!</v>
      </c>
      <c r="BW49" s="1" t="e">
        <f t="shared" si="72"/>
        <v>#DIV/0!</v>
      </c>
      <c r="BY49" s="9">
        <f t="shared" si="73"/>
        <v>3.1428571428571428</v>
      </c>
      <c r="BZ49" s="18">
        <f t="shared" si="74"/>
        <v>1.7588666580000001</v>
      </c>
      <c r="CA49" s="10">
        <v>0.1828908353</v>
      </c>
      <c r="CB49" s="9">
        <v>0.23037490999999999</v>
      </c>
      <c r="CD49" s="10" t="e">
        <f t="shared" si="75"/>
        <v>#DIV/0!</v>
      </c>
      <c r="CE49" s="10" t="e">
        <f t="shared" si="76"/>
        <v>#DIV/0!</v>
      </c>
      <c r="CF49" s="10" t="e">
        <f t="shared" si="77"/>
        <v>#DIV/0!</v>
      </c>
      <c r="CG49" s="10">
        <f t="shared" si="78"/>
        <v>0</v>
      </c>
      <c r="CI49" s="18" t="e">
        <f t="shared" si="79"/>
        <v>#DIV/0!</v>
      </c>
      <c r="CJ49" s="18" t="e">
        <f t="shared" si="80"/>
        <v>#DIV/0!</v>
      </c>
      <c r="CK49" s="10">
        <f t="shared" si="81"/>
        <v>3.1428571428571428</v>
      </c>
      <c r="CL49" s="10" t="e">
        <f t="shared" si="82"/>
        <v>#DIV/0!</v>
      </c>
      <c r="CN49" s="1" t="e">
        <f t="shared" si="83"/>
        <v>#DIV/0!</v>
      </c>
    </row>
    <row r="50" spans="2:92" x14ac:dyDescent="0.2">
      <c r="B50" s="24"/>
      <c r="C50" s="24"/>
      <c r="D50" s="24">
        <v>6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R50" s="18" t="str">
        <f t="array" ref="R50:AE50">_xlfn.XLOOKUP(D50, CP:CP, CQ:DD)</f>
        <v>Drymill CCS Fermentation Exhaust</v>
      </c>
      <c r="S50" s="18" t="str">
        <v>Biomass_Corn</v>
      </c>
      <c r="T50" s="18">
        <v>0</v>
      </c>
      <c r="U50" s="18">
        <v>8.5342824999999997E-2</v>
      </c>
      <c r="V50" s="18">
        <v>3.1043379949999999</v>
      </c>
      <c r="W50" s="18">
        <v>1.013397519</v>
      </c>
      <c r="X50" s="18">
        <v>1.7588666580000001</v>
      </c>
      <c r="Y50" s="18">
        <v>0.35768767200000001</v>
      </c>
      <c r="Z50" s="18">
        <v>0.68601739399999995</v>
      </c>
      <c r="AA50" s="18">
        <v>0.15290642300000001</v>
      </c>
      <c r="AB50" s="18">
        <v>3.2434695999999999E-2</v>
      </c>
      <c r="AC50" s="18">
        <v>45179.42</v>
      </c>
      <c r="AD50" s="18">
        <v>201481.25</v>
      </c>
      <c r="AE50" s="18">
        <v>-25.28</v>
      </c>
      <c r="AG50" s="15"/>
      <c r="AH50" s="15"/>
      <c r="AI50" s="15"/>
      <c r="AJ50" s="15"/>
      <c r="AK50" s="15"/>
      <c r="AL50" s="15"/>
      <c r="AM50" s="15"/>
      <c r="AN50" s="15"/>
      <c r="AO50" s="15"/>
      <c r="AQ50" s="1">
        <f t="shared" si="42"/>
        <v>0</v>
      </c>
      <c r="AR50" s="1">
        <f t="shared" si="43"/>
        <v>0</v>
      </c>
      <c r="AS50" s="11" t="e">
        <f t="shared" si="44"/>
        <v>#DIV/0!</v>
      </c>
      <c r="AT50" s="11" t="e">
        <f t="shared" si="45"/>
        <v>#DIV/0!</v>
      </c>
      <c r="AU50" s="5" t="e">
        <f t="shared" si="46"/>
        <v>#DIV/0!</v>
      </c>
      <c r="AV50" s="5" t="e">
        <f t="shared" si="47"/>
        <v>#DIV/0!</v>
      </c>
      <c r="AW50" s="1" t="e">
        <f t="shared" si="48"/>
        <v>#DIV/0!</v>
      </c>
      <c r="AX50" s="1" t="e">
        <f t="shared" si="49"/>
        <v>#DIV/0!</v>
      </c>
      <c r="AY50" s="1" t="e">
        <f t="shared" si="50"/>
        <v>#DIV/0!</v>
      </c>
      <c r="AZ50" s="1" t="e">
        <f t="shared" si="51"/>
        <v>#DIV/0!</v>
      </c>
      <c r="BA50" s="1" t="e">
        <f t="shared" si="52"/>
        <v>#DIV/0!</v>
      </c>
      <c r="BB50" s="1" t="e">
        <f t="shared" si="53"/>
        <v>#DIV/0!</v>
      </c>
      <c r="BC50" s="1" t="e">
        <f t="shared" si="54"/>
        <v>#DIV/0!</v>
      </c>
      <c r="BD50" s="1" t="e">
        <f t="shared" si="55"/>
        <v>#DIV/0!</v>
      </c>
      <c r="BE50" s="1" t="e">
        <f t="shared" si="56"/>
        <v>#DIV/0!</v>
      </c>
      <c r="BF50" s="1" t="e">
        <f t="shared" si="57"/>
        <v>#DIV/0!</v>
      </c>
      <c r="BG50" s="1" t="e">
        <f t="shared" si="58"/>
        <v>#DIV/0!</v>
      </c>
      <c r="BH50" s="1" t="e">
        <f t="shared" si="59"/>
        <v>#DIV/0!</v>
      </c>
      <c r="BI50" s="1" t="e">
        <f t="shared" si="60"/>
        <v>#DIV/0!</v>
      </c>
      <c r="BJ50" s="1" t="e">
        <f t="shared" si="61"/>
        <v>#DIV/0!</v>
      </c>
      <c r="BK50" s="1" t="e">
        <f t="shared" si="62"/>
        <v>#DIV/0!</v>
      </c>
      <c r="BL50" s="1" t="e">
        <f t="shared" si="63"/>
        <v>#DIV/0!</v>
      </c>
      <c r="BM50" s="1" t="e">
        <f t="shared" si="64"/>
        <v>#DIV/0!</v>
      </c>
      <c r="BN50" s="1" t="e">
        <f t="shared" si="65"/>
        <v>#DIV/0!</v>
      </c>
      <c r="BP50" s="1" t="str">
        <f t="shared" si="66"/>
        <v>Drymill CCS Fermentation Exhaust</v>
      </c>
      <c r="BQ50" s="1" t="e">
        <f t="shared" si="67"/>
        <v>#DIV/0!</v>
      </c>
      <c r="BR50" s="1" t="e">
        <f t="shared" si="68"/>
        <v>#DIV/0!</v>
      </c>
      <c r="BS50" s="1" t="e">
        <f t="array" ref="BS50">_xlfn.IFS(S50="Biomass_Corn", 1/V50/H50*AL50, S50="Biomass_Agri", 1/V50/H50*AK50, S50="Biomass_Wood", 1/V50/H50*AJ50, S50="Biomass_Herb", 1/V50/H50*AI50)</f>
        <v>#DIV/0!</v>
      </c>
      <c r="BT50" s="1" t="e">
        <f t="shared" si="69"/>
        <v>#DIV/0!</v>
      </c>
      <c r="BU50" s="1" t="e">
        <f t="shared" si="70"/>
        <v>#DIV/0!</v>
      </c>
      <c r="BV50" s="1" t="e">
        <f t="shared" si="71"/>
        <v>#DIV/0!</v>
      </c>
      <c r="BW50" s="1" t="e">
        <f t="shared" si="72"/>
        <v>#DIV/0!</v>
      </c>
      <c r="BY50" s="9">
        <f t="shared" si="73"/>
        <v>3.1428571428571428</v>
      </c>
      <c r="BZ50" s="18">
        <f t="shared" si="74"/>
        <v>1.7588666580000001</v>
      </c>
      <c r="CA50" s="10">
        <v>0.1828908353</v>
      </c>
      <c r="CB50" s="9">
        <v>0.23037490999999999</v>
      </c>
      <c r="CD50" s="10" t="e">
        <f t="shared" si="75"/>
        <v>#DIV/0!</v>
      </c>
      <c r="CE50" s="10" t="e">
        <f t="shared" si="76"/>
        <v>#DIV/0!</v>
      </c>
      <c r="CF50" s="10" t="e">
        <f t="shared" si="77"/>
        <v>#DIV/0!</v>
      </c>
      <c r="CG50" s="10">
        <f t="shared" si="78"/>
        <v>0</v>
      </c>
      <c r="CI50" s="18" t="e">
        <f t="shared" si="79"/>
        <v>#DIV/0!</v>
      </c>
      <c r="CJ50" s="18" t="e">
        <f t="shared" si="80"/>
        <v>#DIV/0!</v>
      </c>
      <c r="CK50" s="10">
        <f t="shared" si="81"/>
        <v>3.1428571428571428</v>
      </c>
      <c r="CL50" s="10" t="e">
        <f t="shared" si="82"/>
        <v>#DIV/0!</v>
      </c>
      <c r="CN50" s="1" t="e">
        <f t="shared" si="83"/>
        <v>#DIV/0!</v>
      </c>
    </row>
    <row r="51" spans="2:92" x14ac:dyDescent="0.2">
      <c r="B51" s="24"/>
      <c r="C51" s="24"/>
      <c r="D51" s="24">
        <v>6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R51" s="18" t="str">
        <f t="array" ref="R51:AE51">_xlfn.XLOOKUP(D51, CP:CP, CQ:DD)</f>
        <v>Drymill CCS Fermentation Exhaust</v>
      </c>
      <c r="S51" s="18" t="str">
        <v>Biomass_Corn</v>
      </c>
      <c r="T51" s="18">
        <v>0</v>
      </c>
      <c r="U51" s="18">
        <v>8.5342824999999997E-2</v>
      </c>
      <c r="V51" s="18">
        <v>3.1043379949999999</v>
      </c>
      <c r="W51" s="18">
        <v>1.013397519</v>
      </c>
      <c r="X51" s="18">
        <v>1.7588666580000001</v>
      </c>
      <c r="Y51" s="18">
        <v>0.35768767200000001</v>
      </c>
      <c r="Z51" s="18">
        <v>0.68601739399999995</v>
      </c>
      <c r="AA51" s="18">
        <v>0.15290642300000001</v>
      </c>
      <c r="AB51" s="18">
        <v>3.2434695999999999E-2</v>
      </c>
      <c r="AC51" s="18">
        <v>45179.42</v>
      </c>
      <c r="AD51" s="18">
        <v>201481.25</v>
      </c>
      <c r="AE51" s="18">
        <v>-25.28</v>
      </c>
      <c r="AG51" s="15"/>
      <c r="AH51" s="15"/>
      <c r="AI51" s="15"/>
      <c r="AJ51" s="15"/>
      <c r="AK51" s="15"/>
      <c r="AL51" s="15"/>
      <c r="AM51" s="15"/>
      <c r="AN51" s="15"/>
      <c r="AO51" s="15"/>
      <c r="AQ51" s="1">
        <f t="shared" si="42"/>
        <v>0</v>
      </c>
      <c r="AR51" s="1">
        <f t="shared" si="43"/>
        <v>0</v>
      </c>
      <c r="AS51" s="11" t="e">
        <f t="shared" si="44"/>
        <v>#DIV/0!</v>
      </c>
      <c r="AT51" s="11" t="e">
        <f t="shared" si="45"/>
        <v>#DIV/0!</v>
      </c>
      <c r="AU51" s="5" t="e">
        <f t="shared" si="46"/>
        <v>#DIV/0!</v>
      </c>
      <c r="AV51" s="5" t="e">
        <f t="shared" si="47"/>
        <v>#DIV/0!</v>
      </c>
      <c r="AW51" s="1" t="e">
        <f t="shared" si="48"/>
        <v>#DIV/0!</v>
      </c>
      <c r="AX51" s="1" t="e">
        <f t="shared" si="49"/>
        <v>#DIV/0!</v>
      </c>
      <c r="AY51" s="1" t="e">
        <f t="shared" si="50"/>
        <v>#DIV/0!</v>
      </c>
      <c r="AZ51" s="1" t="e">
        <f t="shared" si="51"/>
        <v>#DIV/0!</v>
      </c>
      <c r="BA51" s="1" t="e">
        <f t="shared" si="52"/>
        <v>#DIV/0!</v>
      </c>
      <c r="BB51" s="1" t="e">
        <f t="shared" si="53"/>
        <v>#DIV/0!</v>
      </c>
      <c r="BC51" s="1" t="e">
        <f t="shared" si="54"/>
        <v>#DIV/0!</v>
      </c>
      <c r="BD51" s="1" t="e">
        <f t="shared" si="55"/>
        <v>#DIV/0!</v>
      </c>
      <c r="BE51" s="1" t="e">
        <f t="shared" si="56"/>
        <v>#DIV/0!</v>
      </c>
      <c r="BF51" s="1" t="e">
        <f t="shared" si="57"/>
        <v>#DIV/0!</v>
      </c>
      <c r="BG51" s="1" t="e">
        <f t="shared" si="58"/>
        <v>#DIV/0!</v>
      </c>
      <c r="BH51" s="1" t="e">
        <f t="shared" si="59"/>
        <v>#DIV/0!</v>
      </c>
      <c r="BI51" s="1" t="e">
        <f t="shared" si="60"/>
        <v>#DIV/0!</v>
      </c>
      <c r="BJ51" s="1" t="e">
        <f t="shared" si="61"/>
        <v>#DIV/0!</v>
      </c>
      <c r="BK51" s="1" t="e">
        <f t="shared" si="62"/>
        <v>#DIV/0!</v>
      </c>
      <c r="BL51" s="1" t="e">
        <f t="shared" si="63"/>
        <v>#DIV/0!</v>
      </c>
      <c r="BM51" s="1" t="e">
        <f t="shared" si="64"/>
        <v>#DIV/0!</v>
      </c>
      <c r="BN51" s="1" t="e">
        <f t="shared" si="65"/>
        <v>#DIV/0!</v>
      </c>
      <c r="BP51" s="1" t="str">
        <f t="shared" si="66"/>
        <v>Drymill CCS Fermentation Exhaust</v>
      </c>
      <c r="BQ51" s="1" t="e">
        <f t="shared" si="67"/>
        <v>#DIV/0!</v>
      </c>
      <c r="BR51" s="1" t="e">
        <f t="shared" si="68"/>
        <v>#DIV/0!</v>
      </c>
      <c r="BS51" s="1" t="e">
        <f t="array" ref="BS51">_xlfn.IFS(S51="Biomass_Corn", 1/V51/H51*AL51, S51="Biomass_Agri", 1/V51/H51*AK51, S51="Biomass_Wood", 1/V51/H51*AJ51, S51="Biomass_Herb", 1/V51/H51*AI51)</f>
        <v>#DIV/0!</v>
      </c>
      <c r="BT51" s="1" t="e">
        <f t="shared" si="69"/>
        <v>#DIV/0!</v>
      </c>
      <c r="BU51" s="1" t="e">
        <f t="shared" si="70"/>
        <v>#DIV/0!</v>
      </c>
      <c r="BV51" s="1" t="e">
        <f t="shared" si="71"/>
        <v>#DIV/0!</v>
      </c>
      <c r="BW51" s="1" t="e">
        <f t="shared" si="72"/>
        <v>#DIV/0!</v>
      </c>
      <c r="BY51" s="9">
        <f t="shared" si="73"/>
        <v>3.1428571428571428</v>
      </c>
      <c r="BZ51" s="18">
        <f t="shared" si="74"/>
        <v>1.7588666580000001</v>
      </c>
      <c r="CA51" s="10">
        <v>0.1828908353</v>
      </c>
      <c r="CB51" s="9">
        <v>0.23037490999999999</v>
      </c>
      <c r="CD51" s="10" t="e">
        <f t="shared" si="75"/>
        <v>#DIV/0!</v>
      </c>
      <c r="CE51" s="10" t="e">
        <f t="shared" si="76"/>
        <v>#DIV/0!</v>
      </c>
      <c r="CF51" s="10" t="e">
        <f t="shared" si="77"/>
        <v>#DIV/0!</v>
      </c>
      <c r="CG51" s="10">
        <f t="shared" si="78"/>
        <v>0</v>
      </c>
      <c r="CI51" s="18" t="e">
        <f t="shared" si="79"/>
        <v>#DIV/0!</v>
      </c>
      <c r="CJ51" s="18" t="e">
        <f t="shared" si="80"/>
        <v>#DIV/0!</v>
      </c>
      <c r="CK51" s="10">
        <f t="shared" si="81"/>
        <v>3.1428571428571428</v>
      </c>
      <c r="CL51" s="10" t="e">
        <f t="shared" si="82"/>
        <v>#DIV/0!</v>
      </c>
      <c r="CN51" s="1" t="e">
        <f t="shared" si="83"/>
        <v>#DIV/0!</v>
      </c>
    </row>
    <row r="52" spans="2:92" x14ac:dyDescent="0.2">
      <c r="B52" s="24"/>
      <c r="C52" s="24"/>
      <c r="D52" s="24">
        <v>6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R52" s="18" t="str">
        <f t="array" ref="R52:AE52">_xlfn.XLOOKUP(D52, CP:CP, CQ:DD)</f>
        <v>Drymill CCS Fermentation Exhaust</v>
      </c>
      <c r="S52" s="18" t="str">
        <v>Biomass_Corn</v>
      </c>
      <c r="T52" s="18">
        <v>0</v>
      </c>
      <c r="U52" s="18">
        <v>8.5342824999999997E-2</v>
      </c>
      <c r="V52" s="18">
        <v>3.1043379949999999</v>
      </c>
      <c r="W52" s="18">
        <v>1.013397519</v>
      </c>
      <c r="X52" s="18">
        <v>1.7588666580000001</v>
      </c>
      <c r="Y52" s="18">
        <v>0.35768767200000001</v>
      </c>
      <c r="Z52" s="18">
        <v>0.68601739399999995</v>
      </c>
      <c r="AA52" s="18">
        <v>0.15290642300000001</v>
      </c>
      <c r="AB52" s="18">
        <v>3.2434695999999999E-2</v>
      </c>
      <c r="AC52" s="18">
        <v>45179.42</v>
      </c>
      <c r="AD52" s="18">
        <v>201481.25</v>
      </c>
      <c r="AE52" s="18">
        <v>-25.28</v>
      </c>
      <c r="AG52" s="15"/>
      <c r="AH52" s="15"/>
      <c r="AI52" s="15"/>
      <c r="AJ52" s="15"/>
      <c r="AK52" s="15"/>
      <c r="AL52" s="15"/>
      <c r="AM52" s="15"/>
      <c r="AN52" s="15"/>
      <c r="AO52" s="15"/>
      <c r="AQ52" s="1">
        <f t="shared" si="42"/>
        <v>0</v>
      </c>
      <c r="AR52" s="1">
        <f t="shared" si="43"/>
        <v>0</v>
      </c>
      <c r="AS52" s="11" t="e">
        <f t="shared" si="44"/>
        <v>#DIV/0!</v>
      </c>
      <c r="AT52" s="11" t="e">
        <f t="shared" si="45"/>
        <v>#DIV/0!</v>
      </c>
      <c r="AU52" s="5" t="e">
        <f t="shared" si="46"/>
        <v>#DIV/0!</v>
      </c>
      <c r="AV52" s="5" t="e">
        <f t="shared" si="47"/>
        <v>#DIV/0!</v>
      </c>
      <c r="AW52" s="1" t="e">
        <f t="shared" si="48"/>
        <v>#DIV/0!</v>
      </c>
      <c r="AX52" s="1" t="e">
        <f t="shared" si="49"/>
        <v>#DIV/0!</v>
      </c>
      <c r="AY52" s="1" t="e">
        <f t="shared" si="50"/>
        <v>#DIV/0!</v>
      </c>
      <c r="AZ52" s="1" t="e">
        <f t="shared" si="51"/>
        <v>#DIV/0!</v>
      </c>
      <c r="BA52" s="1" t="e">
        <f t="shared" si="52"/>
        <v>#DIV/0!</v>
      </c>
      <c r="BB52" s="1" t="e">
        <f t="shared" si="53"/>
        <v>#DIV/0!</v>
      </c>
      <c r="BC52" s="1" t="e">
        <f t="shared" si="54"/>
        <v>#DIV/0!</v>
      </c>
      <c r="BD52" s="1" t="e">
        <f t="shared" si="55"/>
        <v>#DIV/0!</v>
      </c>
      <c r="BE52" s="1" t="e">
        <f t="shared" si="56"/>
        <v>#DIV/0!</v>
      </c>
      <c r="BF52" s="1" t="e">
        <f t="shared" si="57"/>
        <v>#DIV/0!</v>
      </c>
      <c r="BG52" s="1" t="e">
        <f t="shared" si="58"/>
        <v>#DIV/0!</v>
      </c>
      <c r="BH52" s="1" t="e">
        <f t="shared" si="59"/>
        <v>#DIV/0!</v>
      </c>
      <c r="BI52" s="1" t="e">
        <f t="shared" si="60"/>
        <v>#DIV/0!</v>
      </c>
      <c r="BJ52" s="1" t="e">
        <f t="shared" si="61"/>
        <v>#DIV/0!</v>
      </c>
      <c r="BK52" s="1" t="e">
        <f t="shared" si="62"/>
        <v>#DIV/0!</v>
      </c>
      <c r="BL52" s="1" t="e">
        <f t="shared" si="63"/>
        <v>#DIV/0!</v>
      </c>
      <c r="BM52" s="1" t="e">
        <f t="shared" si="64"/>
        <v>#DIV/0!</v>
      </c>
      <c r="BN52" s="1" t="e">
        <f t="shared" si="65"/>
        <v>#DIV/0!</v>
      </c>
      <c r="BP52" s="1" t="str">
        <f t="shared" si="66"/>
        <v>Drymill CCS Fermentation Exhaust</v>
      </c>
      <c r="BQ52" s="1" t="e">
        <f t="shared" si="67"/>
        <v>#DIV/0!</v>
      </c>
      <c r="BR52" s="1" t="e">
        <f t="shared" si="68"/>
        <v>#DIV/0!</v>
      </c>
      <c r="BS52" s="1" t="e">
        <f t="array" ref="BS52">_xlfn.IFS(S52="Biomass_Corn", 1/V52/H52*AL52, S52="Biomass_Agri", 1/V52/H52*AK52, S52="Biomass_Wood", 1/V52/H52*AJ52, S52="Biomass_Herb", 1/V52/H52*AI52)</f>
        <v>#DIV/0!</v>
      </c>
      <c r="BT52" s="1" t="e">
        <f t="shared" si="69"/>
        <v>#DIV/0!</v>
      </c>
      <c r="BU52" s="1" t="e">
        <f t="shared" si="70"/>
        <v>#DIV/0!</v>
      </c>
      <c r="BV52" s="1" t="e">
        <f t="shared" si="71"/>
        <v>#DIV/0!</v>
      </c>
      <c r="BW52" s="1" t="e">
        <f t="shared" si="72"/>
        <v>#DIV/0!</v>
      </c>
      <c r="BY52" s="9">
        <f t="shared" si="73"/>
        <v>3.1428571428571428</v>
      </c>
      <c r="BZ52" s="18">
        <f t="shared" si="74"/>
        <v>1.7588666580000001</v>
      </c>
      <c r="CA52" s="10">
        <v>0.1828908353</v>
      </c>
      <c r="CB52" s="9">
        <v>0.23037490999999999</v>
      </c>
      <c r="CD52" s="10" t="e">
        <f t="shared" si="75"/>
        <v>#DIV/0!</v>
      </c>
      <c r="CE52" s="10" t="e">
        <f t="shared" si="76"/>
        <v>#DIV/0!</v>
      </c>
      <c r="CF52" s="10" t="e">
        <f t="shared" si="77"/>
        <v>#DIV/0!</v>
      </c>
      <c r="CG52" s="10">
        <f t="shared" si="78"/>
        <v>0</v>
      </c>
      <c r="CI52" s="18" t="e">
        <f t="shared" si="79"/>
        <v>#DIV/0!</v>
      </c>
      <c r="CJ52" s="18" t="e">
        <f t="shared" si="80"/>
        <v>#DIV/0!</v>
      </c>
      <c r="CK52" s="10">
        <f t="shared" si="81"/>
        <v>3.1428571428571428</v>
      </c>
      <c r="CL52" s="10" t="e">
        <f t="shared" si="82"/>
        <v>#DIV/0!</v>
      </c>
      <c r="CN52" s="1" t="e">
        <f t="shared" si="83"/>
        <v>#DIV/0!</v>
      </c>
    </row>
    <row r="53" spans="2:92" x14ac:dyDescent="0.2">
      <c r="B53" s="24"/>
      <c r="C53" s="24"/>
      <c r="D53" s="24">
        <v>6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R53" s="18" t="str">
        <f t="array" ref="R53:AE53">_xlfn.XLOOKUP(D53, CP:CP, CQ:DD)</f>
        <v>Drymill CCS Fermentation Exhaust</v>
      </c>
      <c r="S53" s="18" t="str">
        <v>Biomass_Corn</v>
      </c>
      <c r="T53" s="18">
        <v>0</v>
      </c>
      <c r="U53" s="18">
        <v>8.5342824999999997E-2</v>
      </c>
      <c r="V53" s="18">
        <v>3.1043379949999999</v>
      </c>
      <c r="W53" s="18">
        <v>1.013397519</v>
      </c>
      <c r="X53" s="18">
        <v>1.7588666580000001</v>
      </c>
      <c r="Y53" s="18">
        <v>0.35768767200000001</v>
      </c>
      <c r="Z53" s="18">
        <v>0.68601739399999995</v>
      </c>
      <c r="AA53" s="18">
        <v>0.15290642300000001</v>
      </c>
      <c r="AB53" s="18">
        <v>3.2434695999999999E-2</v>
      </c>
      <c r="AC53" s="18">
        <v>45179.42</v>
      </c>
      <c r="AD53" s="18">
        <v>201481.25</v>
      </c>
      <c r="AE53" s="18">
        <v>-25.28</v>
      </c>
      <c r="AG53" s="15"/>
      <c r="AH53" s="15"/>
      <c r="AI53" s="15"/>
      <c r="AJ53" s="15"/>
      <c r="AK53" s="15"/>
      <c r="AL53" s="15"/>
      <c r="AM53" s="15"/>
      <c r="AN53" s="15"/>
      <c r="AO53" s="15"/>
      <c r="AQ53" s="1">
        <f t="shared" si="42"/>
        <v>0</v>
      </c>
      <c r="AR53" s="1">
        <f t="shared" si="43"/>
        <v>0</v>
      </c>
      <c r="AS53" s="11" t="e">
        <f t="shared" si="44"/>
        <v>#DIV/0!</v>
      </c>
      <c r="AT53" s="11" t="e">
        <f t="shared" si="45"/>
        <v>#DIV/0!</v>
      </c>
      <c r="AU53" s="5" t="e">
        <f t="shared" si="46"/>
        <v>#DIV/0!</v>
      </c>
      <c r="AV53" s="5" t="e">
        <f t="shared" si="47"/>
        <v>#DIV/0!</v>
      </c>
      <c r="AW53" s="1" t="e">
        <f t="shared" si="48"/>
        <v>#DIV/0!</v>
      </c>
      <c r="AX53" s="1" t="e">
        <f t="shared" si="49"/>
        <v>#DIV/0!</v>
      </c>
      <c r="AY53" s="1" t="e">
        <f t="shared" si="50"/>
        <v>#DIV/0!</v>
      </c>
      <c r="AZ53" s="1" t="e">
        <f t="shared" si="51"/>
        <v>#DIV/0!</v>
      </c>
      <c r="BA53" s="1" t="e">
        <f t="shared" si="52"/>
        <v>#DIV/0!</v>
      </c>
      <c r="BB53" s="1" t="e">
        <f t="shared" si="53"/>
        <v>#DIV/0!</v>
      </c>
      <c r="BC53" s="1" t="e">
        <f t="shared" si="54"/>
        <v>#DIV/0!</v>
      </c>
      <c r="BD53" s="1" t="e">
        <f t="shared" si="55"/>
        <v>#DIV/0!</v>
      </c>
      <c r="BE53" s="1" t="e">
        <f t="shared" si="56"/>
        <v>#DIV/0!</v>
      </c>
      <c r="BF53" s="1" t="e">
        <f t="shared" si="57"/>
        <v>#DIV/0!</v>
      </c>
      <c r="BG53" s="1" t="e">
        <f t="shared" si="58"/>
        <v>#DIV/0!</v>
      </c>
      <c r="BH53" s="1" t="e">
        <f t="shared" si="59"/>
        <v>#DIV/0!</v>
      </c>
      <c r="BI53" s="1" t="e">
        <f t="shared" si="60"/>
        <v>#DIV/0!</v>
      </c>
      <c r="BJ53" s="1" t="e">
        <f t="shared" si="61"/>
        <v>#DIV/0!</v>
      </c>
      <c r="BK53" s="1" t="e">
        <f t="shared" si="62"/>
        <v>#DIV/0!</v>
      </c>
      <c r="BL53" s="1" t="e">
        <f t="shared" si="63"/>
        <v>#DIV/0!</v>
      </c>
      <c r="BM53" s="1" t="e">
        <f t="shared" si="64"/>
        <v>#DIV/0!</v>
      </c>
      <c r="BN53" s="1" t="e">
        <f t="shared" si="65"/>
        <v>#DIV/0!</v>
      </c>
      <c r="BP53" s="1" t="str">
        <f t="shared" si="66"/>
        <v>Drymill CCS Fermentation Exhaust</v>
      </c>
      <c r="BQ53" s="1" t="e">
        <f t="shared" si="67"/>
        <v>#DIV/0!</v>
      </c>
      <c r="BR53" s="1" t="e">
        <f t="shared" si="68"/>
        <v>#DIV/0!</v>
      </c>
      <c r="BS53" s="1" t="e">
        <f t="array" ref="BS53">_xlfn.IFS(S53="Biomass_Corn", 1/V53/H53*AL53, S53="Biomass_Agri", 1/V53/H53*AK53, S53="Biomass_Wood", 1/V53/H53*AJ53, S53="Biomass_Herb", 1/V53/H53*AI53)</f>
        <v>#DIV/0!</v>
      </c>
      <c r="BT53" s="1" t="e">
        <f t="shared" si="69"/>
        <v>#DIV/0!</v>
      </c>
      <c r="BU53" s="1" t="e">
        <f t="shared" si="70"/>
        <v>#DIV/0!</v>
      </c>
      <c r="BV53" s="1" t="e">
        <f t="shared" si="71"/>
        <v>#DIV/0!</v>
      </c>
      <c r="BW53" s="1" t="e">
        <f t="shared" si="72"/>
        <v>#DIV/0!</v>
      </c>
      <c r="BY53" s="9">
        <f t="shared" si="73"/>
        <v>3.1428571428571428</v>
      </c>
      <c r="BZ53" s="18">
        <f t="shared" si="74"/>
        <v>1.7588666580000001</v>
      </c>
      <c r="CA53" s="10">
        <v>0.1828908353</v>
      </c>
      <c r="CB53" s="9">
        <v>0.23037490999999999</v>
      </c>
      <c r="CD53" s="10" t="e">
        <f t="shared" si="75"/>
        <v>#DIV/0!</v>
      </c>
      <c r="CE53" s="10" t="e">
        <f t="shared" si="76"/>
        <v>#DIV/0!</v>
      </c>
      <c r="CF53" s="10" t="e">
        <f t="shared" si="77"/>
        <v>#DIV/0!</v>
      </c>
      <c r="CG53" s="10">
        <f t="shared" si="78"/>
        <v>0</v>
      </c>
      <c r="CI53" s="18" t="e">
        <f t="shared" si="79"/>
        <v>#DIV/0!</v>
      </c>
      <c r="CJ53" s="18" t="e">
        <f t="shared" si="80"/>
        <v>#DIV/0!</v>
      </c>
      <c r="CK53" s="10">
        <f t="shared" si="81"/>
        <v>3.1428571428571428</v>
      </c>
      <c r="CL53" s="10" t="e">
        <f t="shared" si="82"/>
        <v>#DIV/0!</v>
      </c>
      <c r="CN53" s="1" t="e">
        <f t="shared" si="83"/>
        <v>#DIV/0!</v>
      </c>
    </row>
    <row r="54" spans="2:92" x14ac:dyDescent="0.2">
      <c r="B54" s="24"/>
      <c r="C54" s="24"/>
      <c r="D54" s="24">
        <v>6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R54" s="18" t="str">
        <f t="array" ref="R54:AE54">_xlfn.XLOOKUP(D54, CP:CP, CQ:DD)</f>
        <v>Drymill CCS Fermentation Exhaust</v>
      </c>
      <c r="S54" s="18" t="str">
        <v>Biomass_Corn</v>
      </c>
      <c r="T54" s="18">
        <v>0</v>
      </c>
      <c r="U54" s="18">
        <v>8.5342824999999997E-2</v>
      </c>
      <c r="V54" s="18">
        <v>3.1043379949999999</v>
      </c>
      <c r="W54" s="18">
        <v>1.013397519</v>
      </c>
      <c r="X54" s="18">
        <v>1.7588666580000001</v>
      </c>
      <c r="Y54" s="18">
        <v>0.35768767200000001</v>
      </c>
      <c r="Z54" s="18">
        <v>0.68601739399999995</v>
      </c>
      <c r="AA54" s="18">
        <v>0.15290642300000001</v>
      </c>
      <c r="AB54" s="18">
        <v>3.2434695999999999E-2</v>
      </c>
      <c r="AC54" s="18">
        <v>45179.42</v>
      </c>
      <c r="AD54" s="18">
        <v>201481.25</v>
      </c>
      <c r="AE54" s="18">
        <v>-25.28</v>
      </c>
      <c r="AG54" s="15"/>
      <c r="AH54" s="15"/>
      <c r="AI54" s="15"/>
      <c r="AJ54" s="15"/>
      <c r="AK54" s="15"/>
      <c r="AL54" s="15"/>
      <c r="AM54" s="15"/>
      <c r="AN54" s="15"/>
      <c r="AO54" s="15"/>
      <c r="AQ54" s="1">
        <f t="shared" si="42"/>
        <v>0</v>
      </c>
      <c r="AR54" s="1">
        <f t="shared" si="43"/>
        <v>0</v>
      </c>
      <c r="AS54" s="11" t="e">
        <f t="shared" si="44"/>
        <v>#DIV/0!</v>
      </c>
      <c r="AT54" s="11" t="e">
        <f t="shared" si="45"/>
        <v>#DIV/0!</v>
      </c>
      <c r="AU54" s="5" t="e">
        <f t="shared" si="46"/>
        <v>#DIV/0!</v>
      </c>
      <c r="AV54" s="5" t="e">
        <f t="shared" si="47"/>
        <v>#DIV/0!</v>
      </c>
      <c r="AW54" s="1" t="e">
        <f t="shared" si="48"/>
        <v>#DIV/0!</v>
      </c>
      <c r="AX54" s="1" t="e">
        <f t="shared" si="49"/>
        <v>#DIV/0!</v>
      </c>
      <c r="AY54" s="1" t="e">
        <f t="shared" si="50"/>
        <v>#DIV/0!</v>
      </c>
      <c r="AZ54" s="1" t="e">
        <f t="shared" si="51"/>
        <v>#DIV/0!</v>
      </c>
      <c r="BA54" s="1" t="e">
        <f t="shared" si="52"/>
        <v>#DIV/0!</v>
      </c>
      <c r="BB54" s="1" t="e">
        <f t="shared" si="53"/>
        <v>#DIV/0!</v>
      </c>
      <c r="BC54" s="1" t="e">
        <f t="shared" si="54"/>
        <v>#DIV/0!</v>
      </c>
      <c r="BD54" s="1" t="e">
        <f t="shared" si="55"/>
        <v>#DIV/0!</v>
      </c>
      <c r="BE54" s="1" t="e">
        <f t="shared" si="56"/>
        <v>#DIV/0!</v>
      </c>
      <c r="BF54" s="1" t="e">
        <f t="shared" si="57"/>
        <v>#DIV/0!</v>
      </c>
      <c r="BG54" s="1" t="e">
        <f t="shared" si="58"/>
        <v>#DIV/0!</v>
      </c>
      <c r="BH54" s="1" t="e">
        <f t="shared" si="59"/>
        <v>#DIV/0!</v>
      </c>
      <c r="BI54" s="1" t="e">
        <f t="shared" si="60"/>
        <v>#DIV/0!</v>
      </c>
      <c r="BJ54" s="1" t="e">
        <f t="shared" si="61"/>
        <v>#DIV/0!</v>
      </c>
      <c r="BK54" s="1" t="e">
        <f t="shared" si="62"/>
        <v>#DIV/0!</v>
      </c>
      <c r="BL54" s="1" t="e">
        <f t="shared" si="63"/>
        <v>#DIV/0!</v>
      </c>
      <c r="BM54" s="1" t="e">
        <f t="shared" si="64"/>
        <v>#DIV/0!</v>
      </c>
      <c r="BN54" s="1" t="e">
        <f t="shared" si="65"/>
        <v>#DIV/0!</v>
      </c>
      <c r="BP54" s="1" t="str">
        <f t="shared" si="66"/>
        <v>Drymill CCS Fermentation Exhaust</v>
      </c>
      <c r="BQ54" s="1" t="e">
        <f t="shared" si="67"/>
        <v>#DIV/0!</v>
      </c>
      <c r="BR54" s="1" t="e">
        <f t="shared" si="68"/>
        <v>#DIV/0!</v>
      </c>
      <c r="BS54" s="1" t="e">
        <f t="array" ref="BS54">_xlfn.IFS(S54="Biomass_Corn", 1/V54/H54*AL54, S54="Biomass_Agri", 1/V54/H54*AK54, S54="Biomass_Wood", 1/V54/H54*AJ54, S54="Biomass_Herb", 1/V54/H54*AI54)</f>
        <v>#DIV/0!</v>
      </c>
      <c r="BT54" s="1" t="e">
        <f t="shared" si="69"/>
        <v>#DIV/0!</v>
      </c>
      <c r="BU54" s="1" t="e">
        <f t="shared" si="70"/>
        <v>#DIV/0!</v>
      </c>
      <c r="BV54" s="1" t="e">
        <f t="shared" si="71"/>
        <v>#DIV/0!</v>
      </c>
      <c r="BW54" s="1" t="e">
        <f t="shared" si="72"/>
        <v>#DIV/0!</v>
      </c>
      <c r="BY54" s="9">
        <f t="shared" si="73"/>
        <v>3.1428571428571428</v>
      </c>
      <c r="BZ54" s="18">
        <f t="shared" si="74"/>
        <v>1.7588666580000001</v>
      </c>
      <c r="CA54" s="10">
        <v>0.1828908353</v>
      </c>
      <c r="CB54" s="9">
        <v>0.23037490999999999</v>
      </c>
      <c r="CD54" s="10" t="e">
        <f t="shared" si="75"/>
        <v>#DIV/0!</v>
      </c>
      <c r="CE54" s="10" t="e">
        <f t="shared" si="76"/>
        <v>#DIV/0!</v>
      </c>
      <c r="CF54" s="10" t="e">
        <f t="shared" si="77"/>
        <v>#DIV/0!</v>
      </c>
      <c r="CG54" s="10">
        <f t="shared" si="78"/>
        <v>0</v>
      </c>
      <c r="CI54" s="18" t="e">
        <f t="shared" si="79"/>
        <v>#DIV/0!</v>
      </c>
      <c r="CJ54" s="18" t="e">
        <f t="shared" si="80"/>
        <v>#DIV/0!</v>
      </c>
      <c r="CK54" s="10">
        <f t="shared" si="81"/>
        <v>3.1428571428571428</v>
      </c>
      <c r="CL54" s="10" t="e">
        <f t="shared" si="82"/>
        <v>#DIV/0!</v>
      </c>
      <c r="CN54" s="1" t="e">
        <f t="shared" si="83"/>
        <v>#DIV/0!</v>
      </c>
    </row>
    <row r="55" spans="2:92" x14ac:dyDescent="0.2">
      <c r="B55" s="24"/>
      <c r="C55" s="24"/>
      <c r="D55" s="24">
        <v>6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R55" s="18" t="str">
        <f t="array" ref="R55:AE55">_xlfn.XLOOKUP(D55, CP:CP, CQ:DD)</f>
        <v>Drymill CCS Fermentation Exhaust</v>
      </c>
      <c r="S55" s="18" t="str">
        <v>Biomass_Corn</v>
      </c>
      <c r="T55" s="18">
        <v>0</v>
      </c>
      <c r="U55" s="18">
        <v>8.5342824999999997E-2</v>
      </c>
      <c r="V55" s="18">
        <v>3.1043379949999999</v>
      </c>
      <c r="W55" s="18">
        <v>1.013397519</v>
      </c>
      <c r="X55" s="18">
        <v>1.7588666580000001</v>
      </c>
      <c r="Y55" s="18">
        <v>0.35768767200000001</v>
      </c>
      <c r="Z55" s="18">
        <v>0.68601739399999995</v>
      </c>
      <c r="AA55" s="18">
        <v>0.15290642300000001</v>
      </c>
      <c r="AB55" s="18">
        <v>3.2434695999999999E-2</v>
      </c>
      <c r="AC55" s="18">
        <v>45179.42</v>
      </c>
      <c r="AD55" s="18">
        <v>201481.25</v>
      </c>
      <c r="AE55" s="18">
        <v>-25.28</v>
      </c>
      <c r="AG55" s="15"/>
      <c r="AH55" s="15"/>
      <c r="AI55" s="15"/>
      <c r="AJ55" s="15"/>
      <c r="AK55" s="15"/>
      <c r="AL55" s="15"/>
      <c r="AM55" s="15"/>
      <c r="AN55" s="15"/>
      <c r="AO55" s="15"/>
      <c r="AQ55" s="1">
        <f t="shared" si="42"/>
        <v>0</v>
      </c>
      <c r="AR55" s="1">
        <f t="shared" si="43"/>
        <v>0</v>
      </c>
      <c r="AS55" s="11" t="e">
        <f t="shared" si="44"/>
        <v>#DIV/0!</v>
      </c>
      <c r="AT55" s="11" t="e">
        <f t="shared" si="45"/>
        <v>#DIV/0!</v>
      </c>
      <c r="AU55" s="5" t="e">
        <f t="shared" si="46"/>
        <v>#DIV/0!</v>
      </c>
      <c r="AV55" s="5" t="e">
        <f t="shared" si="47"/>
        <v>#DIV/0!</v>
      </c>
      <c r="AW55" s="1" t="e">
        <f t="shared" si="48"/>
        <v>#DIV/0!</v>
      </c>
      <c r="AX55" s="1" t="e">
        <f t="shared" si="49"/>
        <v>#DIV/0!</v>
      </c>
      <c r="AY55" s="1" t="e">
        <f t="shared" si="50"/>
        <v>#DIV/0!</v>
      </c>
      <c r="AZ55" s="1" t="e">
        <f t="shared" si="51"/>
        <v>#DIV/0!</v>
      </c>
      <c r="BA55" s="1" t="e">
        <f t="shared" si="52"/>
        <v>#DIV/0!</v>
      </c>
      <c r="BB55" s="1" t="e">
        <f t="shared" si="53"/>
        <v>#DIV/0!</v>
      </c>
      <c r="BC55" s="1" t="e">
        <f t="shared" si="54"/>
        <v>#DIV/0!</v>
      </c>
      <c r="BD55" s="1" t="e">
        <f t="shared" si="55"/>
        <v>#DIV/0!</v>
      </c>
      <c r="BE55" s="1" t="e">
        <f t="shared" si="56"/>
        <v>#DIV/0!</v>
      </c>
      <c r="BF55" s="1" t="e">
        <f t="shared" si="57"/>
        <v>#DIV/0!</v>
      </c>
      <c r="BG55" s="1" t="e">
        <f t="shared" si="58"/>
        <v>#DIV/0!</v>
      </c>
      <c r="BH55" s="1" t="e">
        <f t="shared" si="59"/>
        <v>#DIV/0!</v>
      </c>
      <c r="BI55" s="1" t="e">
        <f t="shared" si="60"/>
        <v>#DIV/0!</v>
      </c>
      <c r="BJ55" s="1" t="e">
        <f t="shared" si="61"/>
        <v>#DIV/0!</v>
      </c>
      <c r="BK55" s="1" t="e">
        <f t="shared" si="62"/>
        <v>#DIV/0!</v>
      </c>
      <c r="BL55" s="1" t="e">
        <f t="shared" si="63"/>
        <v>#DIV/0!</v>
      </c>
      <c r="BM55" s="1" t="e">
        <f t="shared" si="64"/>
        <v>#DIV/0!</v>
      </c>
      <c r="BN55" s="1" t="e">
        <f t="shared" si="65"/>
        <v>#DIV/0!</v>
      </c>
      <c r="BP55" s="1" t="str">
        <f t="shared" si="66"/>
        <v>Drymill CCS Fermentation Exhaust</v>
      </c>
      <c r="BQ55" s="1" t="e">
        <f t="shared" si="67"/>
        <v>#DIV/0!</v>
      </c>
      <c r="BR55" s="1" t="e">
        <f t="shared" si="68"/>
        <v>#DIV/0!</v>
      </c>
      <c r="BS55" s="1" t="e">
        <f t="array" ref="BS55">_xlfn.IFS(S55="Biomass_Corn", 1/V55/H55*AL55, S55="Biomass_Agri", 1/V55/H55*AK55, S55="Biomass_Wood", 1/V55/H55*AJ55, S55="Biomass_Herb", 1/V55/H55*AI55)</f>
        <v>#DIV/0!</v>
      </c>
      <c r="BT55" s="1" t="e">
        <f t="shared" si="69"/>
        <v>#DIV/0!</v>
      </c>
      <c r="BU55" s="1" t="e">
        <f t="shared" si="70"/>
        <v>#DIV/0!</v>
      </c>
      <c r="BV55" s="1" t="e">
        <f t="shared" si="71"/>
        <v>#DIV/0!</v>
      </c>
      <c r="BW55" s="1" t="e">
        <f t="shared" si="72"/>
        <v>#DIV/0!</v>
      </c>
      <c r="BY55" s="9">
        <f t="shared" si="73"/>
        <v>3.1428571428571428</v>
      </c>
      <c r="BZ55" s="18">
        <f t="shared" si="74"/>
        <v>1.7588666580000001</v>
      </c>
      <c r="CA55" s="10">
        <v>0.1828908353</v>
      </c>
      <c r="CB55" s="9">
        <v>0.23037490999999999</v>
      </c>
      <c r="CD55" s="10" t="e">
        <f t="shared" si="75"/>
        <v>#DIV/0!</v>
      </c>
      <c r="CE55" s="10" t="e">
        <f t="shared" si="76"/>
        <v>#DIV/0!</v>
      </c>
      <c r="CF55" s="10" t="e">
        <f t="shared" si="77"/>
        <v>#DIV/0!</v>
      </c>
      <c r="CG55" s="10">
        <f t="shared" si="78"/>
        <v>0</v>
      </c>
      <c r="CI55" s="18" t="e">
        <f t="shared" si="79"/>
        <v>#DIV/0!</v>
      </c>
      <c r="CJ55" s="18" t="e">
        <f t="shared" si="80"/>
        <v>#DIV/0!</v>
      </c>
      <c r="CK55" s="10">
        <f t="shared" si="81"/>
        <v>3.1428571428571428</v>
      </c>
      <c r="CL55" s="10" t="e">
        <f t="shared" si="82"/>
        <v>#DIV/0!</v>
      </c>
      <c r="CN55" s="1" t="e">
        <f t="shared" si="83"/>
        <v>#DIV/0!</v>
      </c>
    </row>
    <row r="56" spans="2:92" x14ac:dyDescent="0.2">
      <c r="B56" s="24"/>
      <c r="C56" s="24"/>
      <c r="D56" s="24">
        <v>6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R56" s="18" t="str">
        <f t="array" ref="R56:AE56">_xlfn.XLOOKUP(D56, CP:CP, CQ:DD)</f>
        <v>Drymill CCS Fermentation Exhaust</v>
      </c>
      <c r="S56" s="18" t="str">
        <v>Biomass_Corn</v>
      </c>
      <c r="T56" s="18">
        <v>0</v>
      </c>
      <c r="U56" s="18">
        <v>8.5342824999999997E-2</v>
      </c>
      <c r="V56" s="18">
        <v>3.1043379949999999</v>
      </c>
      <c r="W56" s="18">
        <v>1.013397519</v>
      </c>
      <c r="X56" s="18">
        <v>1.7588666580000001</v>
      </c>
      <c r="Y56" s="18">
        <v>0.35768767200000001</v>
      </c>
      <c r="Z56" s="18">
        <v>0.68601739399999995</v>
      </c>
      <c r="AA56" s="18">
        <v>0.15290642300000001</v>
      </c>
      <c r="AB56" s="18">
        <v>3.2434695999999999E-2</v>
      </c>
      <c r="AC56" s="18">
        <v>45179.42</v>
      </c>
      <c r="AD56" s="18">
        <v>201481.25</v>
      </c>
      <c r="AE56" s="18">
        <v>-25.28</v>
      </c>
      <c r="AG56" s="15"/>
      <c r="AH56" s="15"/>
      <c r="AI56" s="15"/>
      <c r="AJ56" s="15"/>
      <c r="AK56" s="15"/>
      <c r="AL56" s="15"/>
      <c r="AM56" s="15"/>
      <c r="AN56" s="15"/>
      <c r="AO56" s="15"/>
      <c r="AQ56" s="1">
        <f t="shared" si="42"/>
        <v>0</v>
      </c>
      <c r="AR56" s="1">
        <f t="shared" si="43"/>
        <v>0</v>
      </c>
      <c r="AS56" s="11" t="e">
        <f t="shared" si="44"/>
        <v>#DIV/0!</v>
      </c>
      <c r="AT56" s="11" t="e">
        <f t="shared" si="45"/>
        <v>#DIV/0!</v>
      </c>
      <c r="AU56" s="5" t="e">
        <f t="shared" si="46"/>
        <v>#DIV/0!</v>
      </c>
      <c r="AV56" s="5" t="e">
        <f t="shared" si="47"/>
        <v>#DIV/0!</v>
      </c>
      <c r="AW56" s="1" t="e">
        <f t="shared" si="48"/>
        <v>#DIV/0!</v>
      </c>
      <c r="AX56" s="1" t="e">
        <f t="shared" si="49"/>
        <v>#DIV/0!</v>
      </c>
      <c r="AY56" s="1" t="e">
        <f t="shared" si="50"/>
        <v>#DIV/0!</v>
      </c>
      <c r="AZ56" s="1" t="e">
        <f t="shared" si="51"/>
        <v>#DIV/0!</v>
      </c>
      <c r="BA56" s="1" t="e">
        <f t="shared" si="52"/>
        <v>#DIV/0!</v>
      </c>
      <c r="BB56" s="1" t="e">
        <f t="shared" si="53"/>
        <v>#DIV/0!</v>
      </c>
      <c r="BC56" s="1" t="e">
        <f t="shared" si="54"/>
        <v>#DIV/0!</v>
      </c>
      <c r="BD56" s="1" t="e">
        <f t="shared" si="55"/>
        <v>#DIV/0!</v>
      </c>
      <c r="BE56" s="1" t="e">
        <f t="shared" si="56"/>
        <v>#DIV/0!</v>
      </c>
      <c r="BF56" s="1" t="e">
        <f t="shared" si="57"/>
        <v>#DIV/0!</v>
      </c>
      <c r="BG56" s="1" t="e">
        <f t="shared" si="58"/>
        <v>#DIV/0!</v>
      </c>
      <c r="BH56" s="1" t="e">
        <f t="shared" si="59"/>
        <v>#DIV/0!</v>
      </c>
      <c r="BI56" s="1" t="e">
        <f t="shared" si="60"/>
        <v>#DIV/0!</v>
      </c>
      <c r="BJ56" s="1" t="e">
        <f t="shared" si="61"/>
        <v>#DIV/0!</v>
      </c>
      <c r="BK56" s="1" t="e">
        <f t="shared" si="62"/>
        <v>#DIV/0!</v>
      </c>
      <c r="BL56" s="1" t="e">
        <f t="shared" si="63"/>
        <v>#DIV/0!</v>
      </c>
      <c r="BM56" s="1" t="e">
        <f t="shared" si="64"/>
        <v>#DIV/0!</v>
      </c>
      <c r="BN56" s="1" t="e">
        <f t="shared" si="65"/>
        <v>#DIV/0!</v>
      </c>
      <c r="BP56" s="1" t="str">
        <f t="shared" si="66"/>
        <v>Drymill CCS Fermentation Exhaust</v>
      </c>
      <c r="BQ56" s="1" t="e">
        <f t="shared" si="67"/>
        <v>#DIV/0!</v>
      </c>
      <c r="BR56" s="1" t="e">
        <f t="shared" si="68"/>
        <v>#DIV/0!</v>
      </c>
      <c r="BS56" s="1" t="e">
        <f t="array" ref="BS56">_xlfn.IFS(S56="Biomass_Corn", 1/V56/H56*AL56, S56="Biomass_Agri", 1/V56/H56*AK56, S56="Biomass_Wood", 1/V56/H56*AJ56, S56="Biomass_Herb", 1/V56/H56*AI56)</f>
        <v>#DIV/0!</v>
      </c>
      <c r="BT56" s="1" t="e">
        <f t="shared" si="69"/>
        <v>#DIV/0!</v>
      </c>
      <c r="BU56" s="1" t="e">
        <f t="shared" si="70"/>
        <v>#DIV/0!</v>
      </c>
      <c r="BV56" s="1" t="e">
        <f t="shared" si="71"/>
        <v>#DIV/0!</v>
      </c>
      <c r="BW56" s="1" t="e">
        <f t="shared" si="72"/>
        <v>#DIV/0!</v>
      </c>
      <c r="BY56" s="9">
        <f t="shared" si="73"/>
        <v>3.1428571428571428</v>
      </c>
      <c r="BZ56" s="18">
        <f t="shared" si="74"/>
        <v>1.7588666580000001</v>
      </c>
      <c r="CA56" s="10">
        <v>0.1828908353</v>
      </c>
      <c r="CB56" s="9">
        <v>0.23037490999999999</v>
      </c>
      <c r="CD56" s="10" t="e">
        <f t="shared" si="75"/>
        <v>#DIV/0!</v>
      </c>
      <c r="CE56" s="10" t="e">
        <f t="shared" si="76"/>
        <v>#DIV/0!</v>
      </c>
      <c r="CF56" s="10" t="e">
        <f t="shared" si="77"/>
        <v>#DIV/0!</v>
      </c>
      <c r="CG56" s="10">
        <f t="shared" si="78"/>
        <v>0</v>
      </c>
      <c r="CI56" s="18" t="e">
        <f t="shared" si="79"/>
        <v>#DIV/0!</v>
      </c>
      <c r="CJ56" s="18" t="e">
        <f t="shared" si="80"/>
        <v>#DIV/0!</v>
      </c>
      <c r="CK56" s="10">
        <f t="shared" si="81"/>
        <v>3.1428571428571428</v>
      </c>
      <c r="CL56" s="10" t="e">
        <f t="shared" si="82"/>
        <v>#DIV/0!</v>
      </c>
      <c r="CN56" s="1" t="e">
        <f t="shared" si="83"/>
        <v>#DIV/0!</v>
      </c>
    </row>
    <row r="57" spans="2:92" x14ac:dyDescent="0.2">
      <c r="B57" s="24"/>
      <c r="C57" s="24"/>
      <c r="D57" s="24">
        <v>6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R57" s="18" t="str">
        <f t="array" ref="R57:AE57">_xlfn.XLOOKUP(D57, CP:CP, CQ:DD)</f>
        <v>Drymill CCS Fermentation Exhaust</v>
      </c>
      <c r="S57" s="18" t="str">
        <v>Biomass_Corn</v>
      </c>
      <c r="T57" s="18">
        <v>0</v>
      </c>
      <c r="U57" s="18">
        <v>8.5342824999999997E-2</v>
      </c>
      <c r="V57" s="18">
        <v>3.1043379949999999</v>
      </c>
      <c r="W57" s="18">
        <v>1.013397519</v>
      </c>
      <c r="X57" s="18">
        <v>1.7588666580000001</v>
      </c>
      <c r="Y57" s="18">
        <v>0.35768767200000001</v>
      </c>
      <c r="Z57" s="18">
        <v>0.68601739399999995</v>
      </c>
      <c r="AA57" s="18">
        <v>0.15290642300000001</v>
      </c>
      <c r="AB57" s="18">
        <v>3.2434695999999999E-2</v>
      </c>
      <c r="AC57" s="18">
        <v>45179.42</v>
      </c>
      <c r="AD57" s="18">
        <v>201481.25</v>
      </c>
      <c r="AE57" s="18">
        <v>-25.28</v>
      </c>
      <c r="AG57" s="15"/>
      <c r="AH57" s="15"/>
      <c r="AI57" s="15"/>
      <c r="AJ57" s="15"/>
      <c r="AK57" s="15"/>
      <c r="AL57" s="15"/>
      <c r="AM57" s="15"/>
      <c r="AN57" s="15"/>
      <c r="AO57" s="15"/>
      <c r="AQ57" s="1">
        <f t="shared" si="42"/>
        <v>0</v>
      </c>
      <c r="AR57" s="1">
        <f t="shared" si="43"/>
        <v>0</v>
      </c>
      <c r="AS57" s="11" t="e">
        <f t="shared" si="44"/>
        <v>#DIV/0!</v>
      </c>
      <c r="AT57" s="11" t="e">
        <f t="shared" si="45"/>
        <v>#DIV/0!</v>
      </c>
      <c r="AU57" s="5" t="e">
        <f t="shared" si="46"/>
        <v>#DIV/0!</v>
      </c>
      <c r="AV57" s="5" t="e">
        <f t="shared" si="47"/>
        <v>#DIV/0!</v>
      </c>
      <c r="AW57" s="1" t="e">
        <f t="shared" si="48"/>
        <v>#DIV/0!</v>
      </c>
      <c r="AX57" s="1" t="e">
        <f t="shared" si="49"/>
        <v>#DIV/0!</v>
      </c>
      <c r="AY57" s="1" t="e">
        <f t="shared" si="50"/>
        <v>#DIV/0!</v>
      </c>
      <c r="AZ57" s="1" t="e">
        <f t="shared" si="51"/>
        <v>#DIV/0!</v>
      </c>
      <c r="BA57" s="1" t="e">
        <f t="shared" si="52"/>
        <v>#DIV/0!</v>
      </c>
      <c r="BB57" s="1" t="e">
        <f t="shared" si="53"/>
        <v>#DIV/0!</v>
      </c>
      <c r="BC57" s="1" t="e">
        <f t="shared" si="54"/>
        <v>#DIV/0!</v>
      </c>
      <c r="BD57" s="1" t="e">
        <f t="shared" si="55"/>
        <v>#DIV/0!</v>
      </c>
      <c r="BE57" s="1" t="e">
        <f t="shared" si="56"/>
        <v>#DIV/0!</v>
      </c>
      <c r="BF57" s="1" t="e">
        <f t="shared" si="57"/>
        <v>#DIV/0!</v>
      </c>
      <c r="BG57" s="1" t="e">
        <f t="shared" si="58"/>
        <v>#DIV/0!</v>
      </c>
      <c r="BH57" s="1" t="e">
        <f t="shared" si="59"/>
        <v>#DIV/0!</v>
      </c>
      <c r="BI57" s="1" t="e">
        <f t="shared" si="60"/>
        <v>#DIV/0!</v>
      </c>
      <c r="BJ57" s="1" t="e">
        <f t="shared" si="61"/>
        <v>#DIV/0!</v>
      </c>
      <c r="BK57" s="1" t="e">
        <f t="shared" si="62"/>
        <v>#DIV/0!</v>
      </c>
      <c r="BL57" s="1" t="e">
        <f t="shared" si="63"/>
        <v>#DIV/0!</v>
      </c>
      <c r="BM57" s="1" t="e">
        <f t="shared" si="64"/>
        <v>#DIV/0!</v>
      </c>
      <c r="BN57" s="1" t="e">
        <f t="shared" si="65"/>
        <v>#DIV/0!</v>
      </c>
      <c r="BP57" s="1" t="str">
        <f t="shared" si="66"/>
        <v>Drymill CCS Fermentation Exhaust</v>
      </c>
      <c r="BQ57" s="1" t="e">
        <f t="shared" si="67"/>
        <v>#DIV/0!</v>
      </c>
      <c r="BR57" s="1" t="e">
        <f t="shared" si="68"/>
        <v>#DIV/0!</v>
      </c>
      <c r="BS57" s="1" t="e">
        <f t="array" ref="BS57">_xlfn.IFS(S57="Biomass_Corn", 1/V57/H57*AL57, S57="Biomass_Agri", 1/V57/H57*AK57, S57="Biomass_Wood", 1/V57/H57*AJ57, S57="Biomass_Herb", 1/V57/H57*AI57)</f>
        <v>#DIV/0!</v>
      </c>
      <c r="BT57" s="1" t="e">
        <f t="shared" si="69"/>
        <v>#DIV/0!</v>
      </c>
      <c r="BU57" s="1" t="e">
        <f t="shared" si="70"/>
        <v>#DIV/0!</v>
      </c>
      <c r="BV57" s="1" t="e">
        <f t="shared" si="71"/>
        <v>#DIV/0!</v>
      </c>
      <c r="BW57" s="1" t="e">
        <f t="shared" si="72"/>
        <v>#DIV/0!</v>
      </c>
      <c r="BY57" s="9">
        <f t="shared" si="73"/>
        <v>3.1428571428571428</v>
      </c>
      <c r="BZ57" s="18">
        <f t="shared" si="74"/>
        <v>1.7588666580000001</v>
      </c>
      <c r="CA57" s="10">
        <v>0.1828908353</v>
      </c>
      <c r="CB57" s="9">
        <v>0.23037490999999999</v>
      </c>
      <c r="CD57" s="10" t="e">
        <f t="shared" si="75"/>
        <v>#DIV/0!</v>
      </c>
      <c r="CE57" s="10" t="e">
        <f t="shared" si="76"/>
        <v>#DIV/0!</v>
      </c>
      <c r="CF57" s="10" t="e">
        <f t="shared" si="77"/>
        <v>#DIV/0!</v>
      </c>
      <c r="CG57" s="10">
        <f t="shared" si="78"/>
        <v>0</v>
      </c>
      <c r="CI57" s="18" t="e">
        <f t="shared" si="79"/>
        <v>#DIV/0!</v>
      </c>
      <c r="CJ57" s="18" t="e">
        <f t="shared" si="80"/>
        <v>#DIV/0!</v>
      </c>
      <c r="CK57" s="10">
        <f t="shared" si="81"/>
        <v>3.1428571428571428</v>
      </c>
      <c r="CL57" s="10" t="e">
        <f t="shared" si="82"/>
        <v>#DIV/0!</v>
      </c>
      <c r="CN57" s="1" t="e">
        <f t="shared" si="83"/>
        <v>#DIV/0!</v>
      </c>
    </row>
    <row r="58" spans="2:92" x14ac:dyDescent="0.2">
      <c r="B58" s="24"/>
      <c r="C58" s="24"/>
      <c r="D58" s="24">
        <v>6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R58" s="18" t="str">
        <f t="array" ref="R58:AE58">_xlfn.XLOOKUP(D58, CP:CP, CQ:DD)</f>
        <v>Drymill CCS Fermentation Exhaust</v>
      </c>
      <c r="S58" s="18" t="str">
        <v>Biomass_Corn</v>
      </c>
      <c r="T58" s="18">
        <v>0</v>
      </c>
      <c r="U58" s="18">
        <v>8.5342824999999997E-2</v>
      </c>
      <c r="V58" s="18">
        <v>3.1043379949999999</v>
      </c>
      <c r="W58" s="18">
        <v>1.013397519</v>
      </c>
      <c r="X58" s="18">
        <v>1.7588666580000001</v>
      </c>
      <c r="Y58" s="18">
        <v>0.35768767200000001</v>
      </c>
      <c r="Z58" s="18">
        <v>0.68601739399999995</v>
      </c>
      <c r="AA58" s="18">
        <v>0.15290642300000001</v>
      </c>
      <c r="AB58" s="18">
        <v>3.2434695999999999E-2</v>
      </c>
      <c r="AC58" s="18">
        <v>45179.42</v>
      </c>
      <c r="AD58" s="18">
        <v>201481.25</v>
      </c>
      <c r="AE58" s="18">
        <v>-25.28</v>
      </c>
      <c r="AG58" s="16"/>
      <c r="AH58" s="16"/>
      <c r="AI58" s="15"/>
      <c r="AJ58" s="15"/>
      <c r="AK58" s="15"/>
      <c r="AL58" s="15"/>
      <c r="AM58" s="15"/>
      <c r="AN58" s="15"/>
      <c r="AO58" s="15"/>
      <c r="AQ58" s="1">
        <f t="shared" si="42"/>
        <v>0</v>
      </c>
      <c r="AR58" s="1">
        <f t="shared" si="43"/>
        <v>0</v>
      </c>
      <c r="AS58" s="11" t="e">
        <f t="shared" si="44"/>
        <v>#DIV/0!</v>
      </c>
      <c r="AT58" s="11" t="e">
        <f t="shared" si="45"/>
        <v>#DIV/0!</v>
      </c>
      <c r="AU58" s="5" t="e">
        <f t="shared" si="46"/>
        <v>#DIV/0!</v>
      </c>
      <c r="AV58" s="5" t="e">
        <f t="shared" si="47"/>
        <v>#DIV/0!</v>
      </c>
      <c r="AW58" s="1" t="e">
        <f t="shared" si="48"/>
        <v>#DIV/0!</v>
      </c>
      <c r="AX58" s="1" t="e">
        <f t="shared" si="49"/>
        <v>#DIV/0!</v>
      </c>
      <c r="AY58" s="1" t="e">
        <f t="shared" si="50"/>
        <v>#DIV/0!</v>
      </c>
      <c r="AZ58" s="1" t="e">
        <f t="shared" si="51"/>
        <v>#DIV/0!</v>
      </c>
      <c r="BA58" s="1" t="e">
        <f t="shared" si="52"/>
        <v>#DIV/0!</v>
      </c>
      <c r="BB58" s="1" t="e">
        <f t="shared" si="53"/>
        <v>#DIV/0!</v>
      </c>
      <c r="BC58" s="1" t="e">
        <f t="shared" si="54"/>
        <v>#DIV/0!</v>
      </c>
      <c r="BD58" s="1" t="e">
        <f t="shared" si="55"/>
        <v>#DIV/0!</v>
      </c>
      <c r="BE58" s="1" t="e">
        <f t="shared" si="56"/>
        <v>#DIV/0!</v>
      </c>
      <c r="BF58" s="1" t="e">
        <f t="shared" si="57"/>
        <v>#DIV/0!</v>
      </c>
      <c r="BG58" s="1" t="e">
        <f t="shared" si="58"/>
        <v>#DIV/0!</v>
      </c>
      <c r="BH58" s="1" t="e">
        <f t="shared" si="59"/>
        <v>#DIV/0!</v>
      </c>
      <c r="BI58" s="1" t="e">
        <f t="shared" si="60"/>
        <v>#DIV/0!</v>
      </c>
      <c r="BJ58" s="1" t="e">
        <f t="shared" si="61"/>
        <v>#DIV/0!</v>
      </c>
      <c r="BK58" s="1" t="e">
        <f t="shared" si="62"/>
        <v>#DIV/0!</v>
      </c>
      <c r="BL58" s="1" t="e">
        <f t="shared" si="63"/>
        <v>#DIV/0!</v>
      </c>
      <c r="BM58" s="1" t="e">
        <f t="shared" si="64"/>
        <v>#DIV/0!</v>
      </c>
      <c r="BN58" s="1" t="e">
        <f t="shared" si="65"/>
        <v>#DIV/0!</v>
      </c>
      <c r="BP58" s="1" t="str">
        <f t="shared" si="66"/>
        <v>Drymill CCS Fermentation Exhaust</v>
      </c>
      <c r="BQ58" s="1" t="e">
        <f t="shared" si="67"/>
        <v>#DIV/0!</v>
      </c>
      <c r="BR58" s="1" t="e">
        <f t="shared" si="68"/>
        <v>#DIV/0!</v>
      </c>
      <c r="BS58" s="1" t="e">
        <f t="array" ref="BS58">_xlfn.IFS(S58="Biomass_Corn", 1/V58/H58*AL58, S58="Biomass_Agri", 1/V58/H58*AK58, S58="Biomass_Wood", 1/V58/H58*AJ58, S58="Biomass_Herb", 1/V58/H58*AI58)</f>
        <v>#DIV/0!</v>
      </c>
      <c r="BT58" s="1" t="e">
        <f t="shared" si="69"/>
        <v>#DIV/0!</v>
      </c>
      <c r="BU58" s="1" t="e">
        <f t="shared" si="70"/>
        <v>#DIV/0!</v>
      </c>
      <c r="BV58" s="1" t="e">
        <f t="shared" si="71"/>
        <v>#DIV/0!</v>
      </c>
      <c r="BW58" s="1" t="e">
        <f t="shared" si="72"/>
        <v>#DIV/0!</v>
      </c>
      <c r="BY58" s="9">
        <f t="shared" si="73"/>
        <v>3.1428571428571428</v>
      </c>
      <c r="BZ58" s="18">
        <f t="shared" si="74"/>
        <v>1.7588666580000001</v>
      </c>
      <c r="CA58" s="10">
        <v>0.1828908353</v>
      </c>
      <c r="CB58" s="9">
        <v>0.23037490999999999</v>
      </c>
      <c r="CD58" s="10" t="e">
        <f t="shared" si="75"/>
        <v>#DIV/0!</v>
      </c>
      <c r="CE58" s="10" t="e">
        <f t="shared" si="76"/>
        <v>#DIV/0!</v>
      </c>
      <c r="CF58" s="10" t="e">
        <f t="shared" si="77"/>
        <v>#DIV/0!</v>
      </c>
      <c r="CG58" s="10">
        <f t="shared" si="78"/>
        <v>0</v>
      </c>
      <c r="CI58" s="18" t="e">
        <f t="shared" si="79"/>
        <v>#DIV/0!</v>
      </c>
      <c r="CJ58" s="18" t="e">
        <f t="shared" si="80"/>
        <v>#DIV/0!</v>
      </c>
      <c r="CK58" s="10">
        <f t="shared" si="81"/>
        <v>3.1428571428571428</v>
      </c>
      <c r="CL58" s="10" t="e">
        <f t="shared" si="82"/>
        <v>#DIV/0!</v>
      </c>
      <c r="CN58" s="1" t="e">
        <f t="shared" si="83"/>
        <v>#DIV/0!</v>
      </c>
    </row>
    <row r="59" spans="2:92" x14ac:dyDescent="0.2">
      <c r="B59" s="24"/>
      <c r="C59" s="24"/>
      <c r="D59" s="24">
        <v>6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R59" s="18" t="str">
        <f t="array" ref="R59:AE59">_xlfn.XLOOKUP(D59, CP:CP, CQ:DD)</f>
        <v>Drymill CCS Fermentation Exhaust</v>
      </c>
      <c r="S59" s="18" t="str">
        <v>Biomass_Corn</v>
      </c>
      <c r="T59" s="18">
        <v>0</v>
      </c>
      <c r="U59" s="18">
        <v>8.5342824999999997E-2</v>
      </c>
      <c r="V59" s="18">
        <v>3.1043379949999999</v>
      </c>
      <c r="W59" s="18">
        <v>1.013397519</v>
      </c>
      <c r="X59" s="18">
        <v>1.7588666580000001</v>
      </c>
      <c r="Y59" s="18">
        <v>0.35768767200000001</v>
      </c>
      <c r="Z59" s="18">
        <v>0.68601739399999995</v>
      </c>
      <c r="AA59" s="18">
        <v>0.15290642300000001</v>
      </c>
      <c r="AB59" s="18">
        <v>3.2434695999999999E-2</v>
      </c>
      <c r="AC59" s="18">
        <v>45179.42</v>
      </c>
      <c r="AD59" s="18">
        <v>201481.25</v>
      </c>
      <c r="AE59" s="18">
        <v>-25.28</v>
      </c>
      <c r="AG59" s="16"/>
      <c r="AH59" s="16"/>
      <c r="AI59" s="15"/>
      <c r="AJ59" s="15"/>
      <c r="AK59" s="15"/>
      <c r="AL59" s="15"/>
      <c r="AM59" s="15"/>
      <c r="AN59" s="15"/>
      <c r="AO59" s="15"/>
      <c r="AQ59" s="1">
        <f t="shared" si="42"/>
        <v>0</v>
      </c>
      <c r="AR59" s="1">
        <f t="shared" si="43"/>
        <v>0</v>
      </c>
      <c r="AS59" s="11" t="e">
        <f t="shared" si="44"/>
        <v>#DIV/0!</v>
      </c>
      <c r="AT59" s="11" t="e">
        <f t="shared" si="45"/>
        <v>#DIV/0!</v>
      </c>
      <c r="AU59" s="5" t="e">
        <f t="shared" si="46"/>
        <v>#DIV/0!</v>
      </c>
      <c r="AV59" s="5" t="e">
        <f t="shared" si="47"/>
        <v>#DIV/0!</v>
      </c>
      <c r="AW59" s="1" t="e">
        <f t="shared" si="48"/>
        <v>#DIV/0!</v>
      </c>
      <c r="AX59" s="1" t="e">
        <f t="shared" si="49"/>
        <v>#DIV/0!</v>
      </c>
      <c r="AY59" s="1" t="e">
        <f t="shared" si="50"/>
        <v>#DIV/0!</v>
      </c>
      <c r="AZ59" s="1" t="e">
        <f t="shared" si="51"/>
        <v>#DIV/0!</v>
      </c>
      <c r="BA59" s="1" t="e">
        <f t="shared" si="52"/>
        <v>#DIV/0!</v>
      </c>
      <c r="BB59" s="1" t="e">
        <f t="shared" si="53"/>
        <v>#DIV/0!</v>
      </c>
      <c r="BC59" s="1" t="e">
        <f t="shared" si="54"/>
        <v>#DIV/0!</v>
      </c>
      <c r="BD59" s="1" t="e">
        <f t="shared" si="55"/>
        <v>#DIV/0!</v>
      </c>
      <c r="BE59" s="1" t="e">
        <f t="shared" si="56"/>
        <v>#DIV/0!</v>
      </c>
      <c r="BF59" s="1" t="e">
        <f t="shared" si="57"/>
        <v>#DIV/0!</v>
      </c>
      <c r="BG59" s="1" t="e">
        <f t="shared" si="58"/>
        <v>#DIV/0!</v>
      </c>
      <c r="BH59" s="1" t="e">
        <f t="shared" si="59"/>
        <v>#DIV/0!</v>
      </c>
      <c r="BI59" s="1" t="e">
        <f t="shared" si="60"/>
        <v>#DIV/0!</v>
      </c>
      <c r="BJ59" s="1" t="e">
        <f t="shared" si="61"/>
        <v>#DIV/0!</v>
      </c>
      <c r="BK59" s="1" t="e">
        <f t="shared" si="62"/>
        <v>#DIV/0!</v>
      </c>
      <c r="BL59" s="1" t="e">
        <f t="shared" si="63"/>
        <v>#DIV/0!</v>
      </c>
      <c r="BM59" s="1" t="e">
        <f t="shared" si="64"/>
        <v>#DIV/0!</v>
      </c>
      <c r="BN59" s="1" t="e">
        <f t="shared" si="65"/>
        <v>#DIV/0!</v>
      </c>
      <c r="BP59" s="1" t="str">
        <f t="shared" si="66"/>
        <v>Drymill CCS Fermentation Exhaust</v>
      </c>
      <c r="BQ59" s="1" t="e">
        <f t="shared" si="67"/>
        <v>#DIV/0!</v>
      </c>
      <c r="BR59" s="1" t="e">
        <f t="shared" si="68"/>
        <v>#DIV/0!</v>
      </c>
      <c r="BS59" s="1" t="e">
        <f t="array" ref="BS59">_xlfn.IFS(S59="Biomass_Corn", 1/V59/H59*AL59, S59="Biomass_Agri", 1/V59/H59*AK59, S59="Biomass_Wood", 1/V59/H59*AJ59, S59="Biomass_Herb", 1/V59/H59*AI59)</f>
        <v>#DIV/0!</v>
      </c>
      <c r="BT59" s="1" t="e">
        <f t="shared" si="69"/>
        <v>#DIV/0!</v>
      </c>
      <c r="BU59" s="1" t="e">
        <f t="shared" si="70"/>
        <v>#DIV/0!</v>
      </c>
      <c r="BV59" s="1" t="e">
        <f t="shared" si="71"/>
        <v>#DIV/0!</v>
      </c>
      <c r="BW59" s="1" t="e">
        <f t="shared" si="72"/>
        <v>#DIV/0!</v>
      </c>
      <c r="BY59" s="9">
        <f t="shared" si="73"/>
        <v>3.1428571428571428</v>
      </c>
      <c r="BZ59" s="18">
        <f t="shared" si="74"/>
        <v>1.7588666580000001</v>
      </c>
      <c r="CA59" s="10">
        <v>0.1828908353</v>
      </c>
      <c r="CB59" s="9">
        <v>0.23037490999999999</v>
      </c>
      <c r="CD59" s="10" t="e">
        <f t="shared" si="75"/>
        <v>#DIV/0!</v>
      </c>
      <c r="CE59" s="10" t="e">
        <f t="shared" si="76"/>
        <v>#DIV/0!</v>
      </c>
      <c r="CF59" s="10" t="e">
        <f t="shared" si="77"/>
        <v>#DIV/0!</v>
      </c>
      <c r="CG59" s="10">
        <f t="shared" si="78"/>
        <v>0</v>
      </c>
      <c r="CI59" s="18" t="e">
        <f t="shared" si="79"/>
        <v>#DIV/0!</v>
      </c>
      <c r="CJ59" s="18" t="e">
        <f t="shared" si="80"/>
        <v>#DIV/0!</v>
      </c>
      <c r="CK59" s="10">
        <f t="shared" si="81"/>
        <v>3.1428571428571428</v>
      </c>
      <c r="CL59" s="10" t="e">
        <f t="shared" si="82"/>
        <v>#DIV/0!</v>
      </c>
      <c r="CN59" s="1" t="e">
        <f t="shared" si="83"/>
        <v>#DIV/0!</v>
      </c>
    </row>
    <row r="60" spans="2:92" x14ac:dyDescent="0.2">
      <c r="B60" s="24"/>
      <c r="C60" s="24"/>
      <c r="D60" s="24">
        <v>6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R60" s="18" t="str">
        <f t="array" ref="R60:AE60">_xlfn.XLOOKUP(D60, CP:CP, CQ:DD)</f>
        <v>Drymill CCS Fermentation Exhaust</v>
      </c>
      <c r="S60" s="18" t="str">
        <v>Biomass_Corn</v>
      </c>
      <c r="T60" s="18">
        <v>0</v>
      </c>
      <c r="U60" s="18">
        <v>8.5342824999999997E-2</v>
      </c>
      <c r="V60" s="18">
        <v>3.1043379949999999</v>
      </c>
      <c r="W60" s="18">
        <v>1.013397519</v>
      </c>
      <c r="X60" s="18">
        <v>1.7588666580000001</v>
      </c>
      <c r="Y60" s="18">
        <v>0.35768767200000001</v>
      </c>
      <c r="Z60" s="18">
        <v>0.68601739399999995</v>
      </c>
      <c r="AA60" s="18">
        <v>0.15290642300000001</v>
      </c>
      <c r="AB60" s="18">
        <v>3.2434695999999999E-2</v>
      </c>
      <c r="AC60" s="18">
        <v>45179.42</v>
      </c>
      <c r="AD60" s="18">
        <v>201481.25</v>
      </c>
      <c r="AE60" s="18">
        <v>-25.28</v>
      </c>
      <c r="AG60" s="16"/>
      <c r="AH60" s="16"/>
      <c r="AI60" s="15"/>
      <c r="AJ60" s="15"/>
      <c r="AK60" s="15"/>
      <c r="AL60" s="15"/>
      <c r="AM60" s="15"/>
      <c r="AN60" s="15"/>
      <c r="AO60" s="15"/>
      <c r="AQ60" s="1">
        <f t="shared" si="42"/>
        <v>0</v>
      </c>
      <c r="AR60" s="1">
        <f t="shared" si="43"/>
        <v>0</v>
      </c>
      <c r="AS60" s="11" t="e">
        <f t="shared" si="44"/>
        <v>#DIV/0!</v>
      </c>
      <c r="AT60" s="11" t="e">
        <f t="shared" si="45"/>
        <v>#DIV/0!</v>
      </c>
      <c r="AU60" s="5" t="e">
        <f t="shared" si="46"/>
        <v>#DIV/0!</v>
      </c>
      <c r="AV60" s="5" t="e">
        <f t="shared" si="47"/>
        <v>#DIV/0!</v>
      </c>
      <c r="AW60" s="1" t="e">
        <f t="shared" si="48"/>
        <v>#DIV/0!</v>
      </c>
      <c r="AX60" s="1" t="e">
        <f t="shared" si="49"/>
        <v>#DIV/0!</v>
      </c>
      <c r="AY60" s="1" t="e">
        <f t="shared" si="50"/>
        <v>#DIV/0!</v>
      </c>
      <c r="AZ60" s="1" t="e">
        <f t="shared" si="51"/>
        <v>#DIV/0!</v>
      </c>
      <c r="BA60" s="1" t="e">
        <f t="shared" si="52"/>
        <v>#DIV/0!</v>
      </c>
      <c r="BB60" s="1" t="e">
        <f t="shared" si="53"/>
        <v>#DIV/0!</v>
      </c>
      <c r="BC60" s="1" t="e">
        <f t="shared" si="54"/>
        <v>#DIV/0!</v>
      </c>
      <c r="BD60" s="1" t="e">
        <f t="shared" si="55"/>
        <v>#DIV/0!</v>
      </c>
      <c r="BE60" s="1" t="e">
        <f t="shared" si="56"/>
        <v>#DIV/0!</v>
      </c>
      <c r="BF60" s="1" t="e">
        <f t="shared" si="57"/>
        <v>#DIV/0!</v>
      </c>
      <c r="BG60" s="1" t="e">
        <f t="shared" si="58"/>
        <v>#DIV/0!</v>
      </c>
      <c r="BH60" s="1" t="e">
        <f t="shared" si="59"/>
        <v>#DIV/0!</v>
      </c>
      <c r="BI60" s="1" t="e">
        <f t="shared" si="60"/>
        <v>#DIV/0!</v>
      </c>
      <c r="BJ60" s="1" t="e">
        <f t="shared" si="61"/>
        <v>#DIV/0!</v>
      </c>
      <c r="BK60" s="1" t="e">
        <f t="shared" si="62"/>
        <v>#DIV/0!</v>
      </c>
      <c r="BL60" s="1" t="e">
        <f t="shared" si="63"/>
        <v>#DIV/0!</v>
      </c>
      <c r="BM60" s="1" t="e">
        <f t="shared" si="64"/>
        <v>#DIV/0!</v>
      </c>
      <c r="BN60" s="1" t="e">
        <f t="shared" si="65"/>
        <v>#DIV/0!</v>
      </c>
      <c r="BP60" s="1" t="str">
        <f t="shared" si="66"/>
        <v>Drymill CCS Fermentation Exhaust</v>
      </c>
      <c r="BQ60" s="1" t="e">
        <f t="shared" si="67"/>
        <v>#DIV/0!</v>
      </c>
      <c r="BR60" s="1" t="e">
        <f t="shared" si="68"/>
        <v>#DIV/0!</v>
      </c>
      <c r="BS60" s="1" t="e">
        <f t="array" ref="BS60">_xlfn.IFS(S60="Biomass_Corn", 1/V60/H60*AL60, S60="Biomass_Agri", 1/V60/H60*AK60, S60="Biomass_Wood", 1/V60/H60*AJ60, S60="Biomass_Herb", 1/V60/H60*AI60)</f>
        <v>#DIV/0!</v>
      </c>
      <c r="BT60" s="1" t="e">
        <f t="shared" si="69"/>
        <v>#DIV/0!</v>
      </c>
      <c r="BU60" s="1" t="e">
        <f t="shared" si="70"/>
        <v>#DIV/0!</v>
      </c>
      <c r="BV60" s="1" t="e">
        <f t="shared" si="71"/>
        <v>#DIV/0!</v>
      </c>
      <c r="BW60" s="1" t="e">
        <f t="shared" si="72"/>
        <v>#DIV/0!</v>
      </c>
      <c r="BY60" s="9">
        <f t="shared" si="73"/>
        <v>3.1428571428571428</v>
      </c>
      <c r="BZ60" s="18">
        <f t="shared" si="74"/>
        <v>1.7588666580000001</v>
      </c>
      <c r="CA60" s="10">
        <v>0.1828908353</v>
      </c>
      <c r="CB60" s="9">
        <v>0.23037490999999999</v>
      </c>
      <c r="CD60" s="10" t="e">
        <f t="shared" si="75"/>
        <v>#DIV/0!</v>
      </c>
      <c r="CE60" s="10" t="e">
        <f t="shared" si="76"/>
        <v>#DIV/0!</v>
      </c>
      <c r="CF60" s="10" t="e">
        <f t="shared" si="77"/>
        <v>#DIV/0!</v>
      </c>
      <c r="CG60" s="10">
        <f t="shared" si="78"/>
        <v>0</v>
      </c>
      <c r="CI60" s="18" t="e">
        <f t="shared" si="79"/>
        <v>#DIV/0!</v>
      </c>
      <c r="CJ60" s="18" t="e">
        <f t="shared" si="80"/>
        <v>#DIV/0!</v>
      </c>
      <c r="CK60" s="10">
        <f t="shared" si="81"/>
        <v>3.1428571428571428</v>
      </c>
      <c r="CL60" s="10" t="e">
        <f t="shared" si="82"/>
        <v>#DIV/0!</v>
      </c>
      <c r="CN60" s="1" t="e">
        <f t="shared" si="83"/>
        <v>#DIV/0!</v>
      </c>
    </row>
    <row r="61" spans="2:92" x14ac:dyDescent="0.2">
      <c r="B61" s="24"/>
      <c r="C61" s="24"/>
      <c r="D61" s="24">
        <v>6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R61" s="18" t="str">
        <f t="array" ref="R61:AE61">_xlfn.XLOOKUP(D61, CP:CP, CQ:DD)</f>
        <v>Drymill CCS Fermentation Exhaust</v>
      </c>
      <c r="S61" s="18" t="str">
        <v>Biomass_Corn</v>
      </c>
      <c r="T61" s="18">
        <v>0</v>
      </c>
      <c r="U61" s="18">
        <v>8.5342824999999997E-2</v>
      </c>
      <c r="V61" s="18">
        <v>3.1043379949999999</v>
      </c>
      <c r="W61" s="18">
        <v>1.013397519</v>
      </c>
      <c r="X61" s="18">
        <v>1.7588666580000001</v>
      </c>
      <c r="Y61" s="18">
        <v>0.35768767200000001</v>
      </c>
      <c r="Z61" s="18">
        <v>0.68601739399999995</v>
      </c>
      <c r="AA61" s="18">
        <v>0.15290642300000001</v>
      </c>
      <c r="AB61" s="18">
        <v>3.2434695999999999E-2</v>
      </c>
      <c r="AC61" s="18">
        <v>45179.42</v>
      </c>
      <c r="AD61" s="18">
        <v>201481.25</v>
      </c>
      <c r="AE61" s="18">
        <v>-25.28</v>
      </c>
      <c r="AG61" s="16"/>
      <c r="AH61" s="16"/>
      <c r="AI61" s="15"/>
      <c r="AJ61" s="15"/>
      <c r="AK61" s="15"/>
      <c r="AL61" s="15"/>
      <c r="AM61" s="15"/>
      <c r="AN61" s="15"/>
      <c r="AO61" s="15"/>
      <c r="AQ61" s="1">
        <f t="shared" si="42"/>
        <v>0</v>
      </c>
      <c r="AR61" s="1">
        <f t="shared" si="43"/>
        <v>0</v>
      </c>
      <c r="AS61" s="11" t="e">
        <f t="shared" si="44"/>
        <v>#DIV/0!</v>
      </c>
      <c r="AT61" s="11" t="e">
        <f t="shared" si="45"/>
        <v>#DIV/0!</v>
      </c>
      <c r="AU61" s="5" t="e">
        <f t="shared" si="46"/>
        <v>#DIV/0!</v>
      </c>
      <c r="AV61" s="5" t="e">
        <f t="shared" si="47"/>
        <v>#DIV/0!</v>
      </c>
      <c r="AW61" s="1" t="e">
        <f t="shared" si="48"/>
        <v>#DIV/0!</v>
      </c>
      <c r="AX61" s="1" t="e">
        <f t="shared" si="49"/>
        <v>#DIV/0!</v>
      </c>
      <c r="AY61" s="1" t="e">
        <f t="shared" si="50"/>
        <v>#DIV/0!</v>
      </c>
      <c r="AZ61" s="1" t="e">
        <f t="shared" si="51"/>
        <v>#DIV/0!</v>
      </c>
      <c r="BA61" s="1" t="e">
        <f t="shared" si="52"/>
        <v>#DIV/0!</v>
      </c>
      <c r="BB61" s="1" t="e">
        <f t="shared" si="53"/>
        <v>#DIV/0!</v>
      </c>
      <c r="BC61" s="1" t="e">
        <f t="shared" si="54"/>
        <v>#DIV/0!</v>
      </c>
      <c r="BD61" s="1" t="e">
        <f t="shared" si="55"/>
        <v>#DIV/0!</v>
      </c>
      <c r="BE61" s="1" t="e">
        <f t="shared" si="56"/>
        <v>#DIV/0!</v>
      </c>
      <c r="BF61" s="1" t="e">
        <f t="shared" si="57"/>
        <v>#DIV/0!</v>
      </c>
      <c r="BG61" s="1" t="e">
        <f t="shared" si="58"/>
        <v>#DIV/0!</v>
      </c>
      <c r="BH61" s="1" t="e">
        <f t="shared" si="59"/>
        <v>#DIV/0!</v>
      </c>
      <c r="BI61" s="1" t="e">
        <f t="shared" si="60"/>
        <v>#DIV/0!</v>
      </c>
      <c r="BJ61" s="1" t="e">
        <f t="shared" si="61"/>
        <v>#DIV/0!</v>
      </c>
      <c r="BK61" s="1" t="e">
        <f t="shared" si="62"/>
        <v>#DIV/0!</v>
      </c>
      <c r="BL61" s="1" t="e">
        <f t="shared" si="63"/>
        <v>#DIV/0!</v>
      </c>
      <c r="BM61" s="1" t="e">
        <f t="shared" si="64"/>
        <v>#DIV/0!</v>
      </c>
      <c r="BN61" s="1" t="e">
        <f t="shared" si="65"/>
        <v>#DIV/0!</v>
      </c>
      <c r="BP61" s="1" t="str">
        <f t="shared" si="66"/>
        <v>Drymill CCS Fermentation Exhaust</v>
      </c>
      <c r="BQ61" s="1" t="e">
        <f t="shared" si="67"/>
        <v>#DIV/0!</v>
      </c>
      <c r="BR61" s="1" t="e">
        <f t="shared" si="68"/>
        <v>#DIV/0!</v>
      </c>
      <c r="BS61" s="1" t="e">
        <f t="array" ref="BS61">_xlfn.IFS(S61="Biomass_Corn", 1/V61/H61*AL61, S61="Biomass_Agri", 1/V61/H61*AK61, S61="Biomass_Wood", 1/V61/H61*AJ61, S61="Biomass_Herb", 1/V61/H61*AI61)</f>
        <v>#DIV/0!</v>
      </c>
      <c r="BT61" s="1" t="e">
        <f t="shared" si="69"/>
        <v>#DIV/0!</v>
      </c>
      <c r="BU61" s="1" t="e">
        <f t="shared" si="70"/>
        <v>#DIV/0!</v>
      </c>
      <c r="BV61" s="1" t="e">
        <f t="shared" si="71"/>
        <v>#DIV/0!</v>
      </c>
      <c r="BW61" s="1" t="e">
        <f t="shared" si="72"/>
        <v>#DIV/0!</v>
      </c>
      <c r="BY61" s="9">
        <f t="shared" si="73"/>
        <v>3.1428571428571428</v>
      </c>
      <c r="BZ61" s="18">
        <f t="shared" si="74"/>
        <v>1.7588666580000001</v>
      </c>
      <c r="CA61" s="10">
        <v>0.1828908353</v>
      </c>
      <c r="CB61" s="9">
        <v>0.23037490999999999</v>
      </c>
      <c r="CD61" s="10" t="e">
        <f t="shared" si="75"/>
        <v>#DIV/0!</v>
      </c>
      <c r="CE61" s="10" t="e">
        <f t="shared" si="76"/>
        <v>#DIV/0!</v>
      </c>
      <c r="CF61" s="10" t="e">
        <f t="shared" si="77"/>
        <v>#DIV/0!</v>
      </c>
      <c r="CG61" s="10">
        <f t="shared" si="78"/>
        <v>0</v>
      </c>
      <c r="CI61" s="18" t="e">
        <f t="shared" si="79"/>
        <v>#DIV/0!</v>
      </c>
      <c r="CJ61" s="18" t="e">
        <f t="shared" si="80"/>
        <v>#DIV/0!</v>
      </c>
      <c r="CK61" s="10">
        <f t="shared" si="81"/>
        <v>3.1428571428571428</v>
      </c>
      <c r="CL61" s="10" t="e">
        <f t="shared" si="82"/>
        <v>#DIV/0!</v>
      </c>
      <c r="CN61" s="1" t="e">
        <f t="shared" si="83"/>
        <v>#DIV/0!</v>
      </c>
    </row>
    <row r="62" spans="2:92" x14ac:dyDescent="0.2">
      <c r="B62" s="24"/>
      <c r="C62" s="24"/>
      <c r="D62" s="24">
        <v>6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R62" s="18" t="str">
        <f t="array" ref="R62:AE62">_xlfn.XLOOKUP(D62, CP:CP, CQ:DD)</f>
        <v>Drymill CCS Fermentation Exhaust</v>
      </c>
      <c r="S62" s="18" t="str">
        <v>Biomass_Corn</v>
      </c>
      <c r="T62" s="18">
        <v>0</v>
      </c>
      <c r="U62" s="18">
        <v>8.5342824999999997E-2</v>
      </c>
      <c r="V62" s="18">
        <v>3.1043379949999999</v>
      </c>
      <c r="W62" s="18">
        <v>1.013397519</v>
      </c>
      <c r="X62" s="18">
        <v>1.7588666580000001</v>
      </c>
      <c r="Y62" s="18">
        <v>0.35768767200000001</v>
      </c>
      <c r="Z62" s="18">
        <v>0.68601739399999995</v>
      </c>
      <c r="AA62" s="18">
        <v>0.15290642300000001</v>
      </c>
      <c r="AB62" s="18">
        <v>3.2434695999999999E-2</v>
      </c>
      <c r="AC62" s="18">
        <v>45179.42</v>
      </c>
      <c r="AD62" s="18">
        <v>201481.25</v>
      </c>
      <c r="AE62" s="18">
        <v>-25.28</v>
      </c>
      <c r="AG62" s="16"/>
      <c r="AH62" s="16"/>
      <c r="AI62" s="15"/>
      <c r="AJ62" s="15"/>
      <c r="AK62" s="15"/>
      <c r="AL62" s="15"/>
      <c r="AM62" s="15"/>
      <c r="AN62" s="15"/>
      <c r="AO62" s="15"/>
      <c r="AQ62" s="1">
        <f t="shared" si="42"/>
        <v>0</v>
      </c>
      <c r="AR62" s="1">
        <f t="shared" si="43"/>
        <v>0</v>
      </c>
      <c r="AS62" s="11" t="e">
        <f t="shared" si="44"/>
        <v>#DIV/0!</v>
      </c>
      <c r="AT62" s="11" t="e">
        <f t="shared" si="45"/>
        <v>#DIV/0!</v>
      </c>
      <c r="AU62" s="5" t="e">
        <f t="shared" si="46"/>
        <v>#DIV/0!</v>
      </c>
      <c r="AV62" s="5" t="e">
        <f t="shared" si="47"/>
        <v>#DIV/0!</v>
      </c>
      <c r="AW62" s="1" t="e">
        <f t="shared" si="48"/>
        <v>#DIV/0!</v>
      </c>
      <c r="AX62" s="1" t="e">
        <f t="shared" si="49"/>
        <v>#DIV/0!</v>
      </c>
      <c r="AY62" s="1" t="e">
        <f t="shared" si="50"/>
        <v>#DIV/0!</v>
      </c>
      <c r="AZ62" s="1" t="e">
        <f t="shared" si="51"/>
        <v>#DIV/0!</v>
      </c>
      <c r="BA62" s="1" t="e">
        <f t="shared" si="52"/>
        <v>#DIV/0!</v>
      </c>
      <c r="BB62" s="1" t="e">
        <f t="shared" si="53"/>
        <v>#DIV/0!</v>
      </c>
      <c r="BC62" s="1" t="e">
        <f t="shared" si="54"/>
        <v>#DIV/0!</v>
      </c>
      <c r="BD62" s="1" t="e">
        <f t="shared" si="55"/>
        <v>#DIV/0!</v>
      </c>
      <c r="BE62" s="1" t="e">
        <f t="shared" si="56"/>
        <v>#DIV/0!</v>
      </c>
      <c r="BF62" s="1" t="e">
        <f t="shared" si="57"/>
        <v>#DIV/0!</v>
      </c>
      <c r="BG62" s="1" t="e">
        <f t="shared" si="58"/>
        <v>#DIV/0!</v>
      </c>
      <c r="BH62" s="1" t="e">
        <f t="shared" si="59"/>
        <v>#DIV/0!</v>
      </c>
      <c r="BI62" s="1" t="e">
        <f t="shared" si="60"/>
        <v>#DIV/0!</v>
      </c>
      <c r="BJ62" s="1" t="e">
        <f t="shared" si="61"/>
        <v>#DIV/0!</v>
      </c>
      <c r="BK62" s="1" t="e">
        <f t="shared" si="62"/>
        <v>#DIV/0!</v>
      </c>
      <c r="BL62" s="1" t="e">
        <f t="shared" si="63"/>
        <v>#DIV/0!</v>
      </c>
      <c r="BM62" s="1" t="e">
        <f t="shared" si="64"/>
        <v>#DIV/0!</v>
      </c>
      <c r="BN62" s="1" t="e">
        <f t="shared" si="65"/>
        <v>#DIV/0!</v>
      </c>
      <c r="BP62" s="1" t="str">
        <f t="shared" si="66"/>
        <v>Drymill CCS Fermentation Exhaust</v>
      </c>
      <c r="BQ62" s="1" t="e">
        <f t="shared" si="67"/>
        <v>#DIV/0!</v>
      </c>
      <c r="BR62" s="1" t="e">
        <f t="shared" si="68"/>
        <v>#DIV/0!</v>
      </c>
      <c r="BS62" s="1" t="e">
        <f t="array" ref="BS62">_xlfn.IFS(S62="Biomass_Corn", 1/V62/H62*AL62, S62="Biomass_Agri", 1/V62/H62*AK62, S62="Biomass_Wood", 1/V62/H62*AJ62, S62="Biomass_Herb", 1/V62/H62*AI62)</f>
        <v>#DIV/0!</v>
      </c>
      <c r="BT62" s="1" t="e">
        <f t="shared" si="69"/>
        <v>#DIV/0!</v>
      </c>
      <c r="BU62" s="1" t="e">
        <f t="shared" si="70"/>
        <v>#DIV/0!</v>
      </c>
      <c r="BV62" s="1" t="e">
        <f t="shared" si="71"/>
        <v>#DIV/0!</v>
      </c>
      <c r="BW62" s="1" t="e">
        <f t="shared" si="72"/>
        <v>#DIV/0!</v>
      </c>
      <c r="BY62" s="9">
        <f t="shared" si="73"/>
        <v>3.1428571428571428</v>
      </c>
      <c r="BZ62" s="18">
        <f t="shared" si="74"/>
        <v>1.7588666580000001</v>
      </c>
      <c r="CA62" s="10">
        <v>0.1828908353</v>
      </c>
      <c r="CB62" s="9">
        <v>0.23037490999999999</v>
      </c>
      <c r="CD62" s="10" t="e">
        <f t="shared" si="75"/>
        <v>#DIV/0!</v>
      </c>
      <c r="CE62" s="10" t="e">
        <f t="shared" si="76"/>
        <v>#DIV/0!</v>
      </c>
      <c r="CF62" s="10" t="e">
        <f t="shared" si="77"/>
        <v>#DIV/0!</v>
      </c>
      <c r="CG62" s="10">
        <f t="shared" si="78"/>
        <v>0</v>
      </c>
      <c r="CI62" s="18" t="e">
        <f t="shared" si="79"/>
        <v>#DIV/0!</v>
      </c>
      <c r="CJ62" s="18" t="e">
        <f t="shared" si="80"/>
        <v>#DIV/0!</v>
      </c>
      <c r="CK62" s="10">
        <f t="shared" si="81"/>
        <v>3.1428571428571428</v>
      </c>
      <c r="CL62" s="10" t="e">
        <f t="shared" si="82"/>
        <v>#DIV/0!</v>
      </c>
      <c r="CN62" s="1" t="e">
        <f t="shared" si="83"/>
        <v>#DIV/0!</v>
      </c>
    </row>
    <row r="63" spans="2:92" x14ac:dyDescent="0.2">
      <c r="B63" s="24"/>
      <c r="C63" s="24"/>
      <c r="D63" s="24">
        <v>6</v>
      </c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R63" s="18" t="str">
        <f t="array" ref="R63:AE63">_xlfn.XLOOKUP(D63, CP:CP, CQ:DD)</f>
        <v>Drymill CCS Fermentation Exhaust</v>
      </c>
      <c r="S63" s="18" t="str">
        <v>Biomass_Corn</v>
      </c>
      <c r="T63" s="18">
        <v>0</v>
      </c>
      <c r="U63" s="18">
        <v>8.5342824999999997E-2</v>
      </c>
      <c r="V63" s="18">
        <v>3.1043379949999999</v>
      </c>
      <c r="W63" s="18">
        <v>1.013397519</v>
      </c>
      <c r="X63" s="18">
        <v>1.7588666580000001</v>
      </c>
      <c r="Y63" s="18">
        <v>0.35768767200000001</v>
      </c>
      <c r="Z63" s="18">
        <v>0.68601739399999995</v>
      </c>
      <c r="AA63" s="18">
        <v>0.15290642300000001</v>
      </c>
      <c r="AB63" s="18">
        <v>3.2434695999999999E-2</v>
      </c>
      <c r="AC63" s="18">
        <v>45179.42</v>
      </c>
      <c r="AD63" s="18">
        <v>201481.25</v>
      </c>
      <c r="AE63" s="18">
        <v>-25.28</v>
      </c>
      <c r="AG63" s="16"/>
      <c r="AH63" s="16"/>
      <c r="AI63" s="15"/>
      <c r="AJ63" s="15"/>
      <c r="AK63" s="15"/>
      <c r="AL63" s="15"/>
      <c r="AM63" s="15"/>
      <c r="AN63" s="15"/>
      <c r="AO63" s="15"/>
      <c r="AQ63" s="1">
        <f t="shared" si="42"/>
        <v>0</v>
      </c>
      <c r="AR63" s="1">
        <f t="shared" si="43"/>
        <v>0</v>
      </c>
      <c r="AS63" s="11" t="e">
        <f t="shared" si="44"/>
        <v>#DIV/0!</v>
      </c>
      <c r="AT63" s="11" t="e">
        <f t="shared" si="45"/>
        <v>#DIV/0!</v>
      </c>
      <c r="AU63" s="5" t="e">
        <f t="shared" si="46"/>
        <v>#DIV/0!</v>
      </c>
      <c r="AV63" s="5" t="e">
        <f t="shared" si="47"/>
        <v>#DIV/0!</v>
      </c>
      <c r="AW63" s="1" t="e">
        <f t="shared" si="48"/>
        <v>#DIV/0!</v>
      </c>
      <c r="AX63" s="1" t="e">
        <f t="shared" si="49"/>
        <v>#DIV/0!</v>
      </c>
      <c r="AY63" s="1" t="e">
        <f t="shared" si="50"/>
        <v>#DIV/0!</v>
      </c>
      <c r="AZ63" s="1" t="e">
        <f t="shared" si="51"/>
        <v>#DIV/0!</v>
      </c>
      <c r="BA63" s="1" t="e">
        <f t="shared" si="52"/>
        <v>#DIV/0!</v>
      </c>
      <c r="BB63" s="1" t="e">
        <f t="shared" si="53"/>
        <v>#DIV/0!</v>
      </c>
      <c r="BC63" s="1" t="e">
        <f t="shared" si="54"/>
        <v>#DIV/0!</v>
      </c>
      <c r="BD63" s="1" t="e">
        <f t="shared" si="55"/>
        <v>#DIV/0!</v>
      </c>
      <c r="BE63" s="1" t="e">
        <f t="shared" si="56"/>
        <v>#DIV/0!</v>
      </c>
      <c r="BF63" s="1" t="e">
        <f t="shared" si="57"/>
        <v>#DIV/0!</v>
      </c>
      <c r="BG63" s="1" t="e">
        <f t="shared" si="58"/>
        <v>#DIV/0!</v>
      </c>
      <c r="BH63" s="1" t="e">
        <f t="shared" si="59"/>
        <v>#DIV/0!</v>
      </c>
      <c r="BI63" s="1" t="e">
        <f t="shared" si="60"/>
        <v>#DIV/0!</v>
      </c>
      <c r="BJ63" s="1" t="e">
        <f t="shared" si="61"/>
        <v>#DIV/0!</v>
      </c>
      <c r="BK63" s="1" t="e">
        <f t="shared" si="62"/>
        <v>#DIV/0!</v>
      </c>
      <c r="BL63" s="1" t="e">
        <f t="shared" si="63"/>
        <v>#DIV/0!</v>
      </c>
      <c r="BM63" s="1" t="e">
        <f t="shared" si="64"/>
        <v>#DIV/0!</v>
      </c>
      <c r="BN63" s="1" t="e">
        <f t="shared" si="65"/>
        <v>#DIV/0!</v>
      </c>
      <c r="BP63" s="1" t="str">
        <f t="shared" si="66"/>
        <v>Drymill CCS Fermentation Exhaust</v>
      </c>
      <c r="BQ63" s="1" t="e">
        <f t="shared" si="67"/>
        <v>#DIV/0!</v>
      </c>
      <c r="BR63" s="1" t="e">
        <f t="shared" si="68"/>
        <v>#DIV/0!</v>
      </c>
      <c r="BS63" s="1" t="e">
        <f t="array" ref="BS63">_xlfn.IFS(S63="Biomass_Corn", 1/V63/H63*AL63, S63="Biomass_Agri", 1/V63/H63*AK63, S63="Biomass_Wood", 1/V63/H63*AJ63, S63="Biomass_Herb", 1/V63/H63*AI63)</f>
        <v>#DIV/0!</v>
      </c>
      <c r="BT63" s="1" t="e">
        <f t="shared" si="69"/>
        <v>#DIV/0!</v>
      </c>
      <c r="BU63" s="1" t="e">
        <f t="shared" si="70"/>
        <v>#DIV/0!</v>
      </c>
      <c r="BV63" s="1" t="e">
        <f t="shared" si="71"/>
        <v>#DIV/0!</v>
      </c>
      <c r="BW63" s="1" t="e">
        <f t="shared" si="72"/>
        <v>#DIV/0!</v>
      </c>
      <c r="BY63" s="9">
        <f t="shared" si="73"/>
        <v>3.1428571428571428</v>
      </c>
      <c r="BZ63" s="18">
        <f t="shared" si="74"/>
        <v>1.7588666580000001</v>
      </c>
      <c r="CA63" s="10">
        <v>0.1828908353</v>
      </c>
      <c r="CB63" s="9">
        <v>0.23037490999999999</v>
      </c>
      <c r="CD63" s="10" t="e">
        <f t="shared" si="75"/>
        <v>#DIV/0!</v>
      </c>
      <c r="CE63" s="10" t="e">
        <f t="shared" si="76"/>
        <v>#DIV/0!</v>
      </c>
      <c r="CF63" s="10" t="e">
        <f t="shared" si="77"/>
        <v>#DIV/0!</v>
      </c>
      <c r="CG63" s="10">
        <f t="shared" si="78"/>
        <v>0</v>
      </c>
      <c r="CI63" s="18" t="e">
        <f t="shared" si="79"/>
        <v>#DIV/0!</v>
      </c>
      <c r="CJ63" s="18" t="e">
        <f t="shared" si="80"/>
        <v>#DIV/0!</v>
      </c>
      <c r="CK63" s="10">
        <f t="shared" si="81"/>
        <v>3.1428571428571428</v>
      </c>
      <c r="CL63" s="10" t="e">
        <f t="shared" si="82"/>
        <v>#DIV/0!</v>
      </c>
      <c r="CN63" s="1" t="e">
        <f t="shared" si="83"/>
        <v>#DIV/0!</v>
      </c>
    </row>
    <row r="64" spans="2:92" x14ac:dyDescent="0.2">
      <c r="B64" s="24"/>
      <c r="C64" s="24"/>
      <c r="D64" s="24">
        <v>6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R64" s="18" t="str">
        <f t="array" ref="R64:AE64">_xlfn.XLOOKUP(D64, CP:CP, CQ:DD)</f>
        <v>Drymill CCS Fermentation Exhaust</v>
      </c>
      <c r="S64" s="18" t="str">
        <v>Biomass_Corn</v>
      </c>
      <c r="T64" s="18">
        <v>0</v>
      </c>
      <c r="U64" s="18">
        <v>8.5342824999999997E-2</v>
      </c>
      <c r="V64" s="18">
        <v>3.1043379949999999</v>
      </c>
      <c r="W64" s="18">
        <v>1.013397519</v>
      </c>
      <c r="X64" s="18">
        <v>1.7588666580000001</v>
      </c>
      <c r="Y64" s="18">
        <v>0.35768767200000001</v>
      </c>
      <c r="Z64" s="18">
        <v>0.68601739399999995</v>
      </c>
      <c r="AA64" s="18">
        <v>0.15290642300000001</v>
      </c>
      <c r="AB64" s="18">
        <v>3.2434695999999999E-2</v>
      </c>
      <c r="AC64" s="18">
        <v>45179.42</v>
      </c>
      <c r="AD64" s="18">
        <v>201481.25</v>
      </c>
      <c r="AE64" s="18">
        <v>-25.28</v>
      </c>
      <c r="AG64" s="16"/>
      <c r="AH64" s="16"/>
      <c r="AI64" s="15"/>
      <c r="AJ64" s="15"/>
      <c r="AK64" s="15"/>
      <c r="AL64" s="15"/>
      <c r="AM64" s="15"/>
      <c r="AN64" s="15"/>
      <c r="AO64" s="15"/>
      <c r="AQ64" s="1">
        <f t="shared" si="42"/>
        <v>0</v>
      </c>
      <c r="AR64" s="1">
        <f t="shared" si="43"/>
        <v>0</v>
      </c>
      <c r="AS64" s="11" t="e">
        <f t="shared" si="44"/>
        <v>#DIV/0!</v>
      </c>
      <c r="AT64" s="11" t="e">
        <f t="shared" si="45"/>
        <v>#DIV/0!</v>
      </c>
      <c r="AU64" s="5" t="e">
        <f t="shared" si="46"/>
        <v>#DIV/0!</v>
      </c>
      <c r="AV64" s="5" t="e">
        <f t="shared" si="47"/>
        <v>#DIV/0!</v>
      </c>
      <c r="AW64" s="1" t="e">
        <f t="shared" si="48"/>
        <v>#DIV/0!</v>
      </c>
      <c r="AX64" s="1" t="e">
        <f t="shared" si="49"/>
        <v>#DIV/0!</v>
      </c>
      <c r="AY64" s="1" t="e">
        <f t="shared" si="50"/>
        <v>#DIV/0!</v>
      </c>
      <c r="AZ64" s="1" t="e">
        <f t="shared" si="51"/>
        <v>#DIV/0!</v>
      </c>
      <c r="BA64" s="1" t="e">
        <f t="shared" si="52"/>
        <v>#DIV/0!</v>
      </c>
      <c r="BB64" s="1" t="e">
        <f t="shared" si="53"/>
        <v>#DIV/0!</v>
      </c>
      <c r="BC64" s="1" t="e">
        <f t="shared" si="54"/>
        <v>#DIV/0!</v>
      </c>
      <c r="BD64" s="1" t="e">
        <f t="shared" si="55"/>
        <v>#DIV/0!</v>
      </c>
      <c r="BE64" s="1" t="e">
        <f t="shared" si="56"/>
        <v>#DIV/0!</v>
      </c>
      <c r="BF64" s="1" t="e">
        <f t="shared" si="57"/>
        <v>#DIV/0!</v>
      </c>
      <c r="BG64" s="1" t="e">
        <f t="shared" si="58"/>
        <v>#DIV/0!</v>
      </c>
      <c r="BH64" s="1" t="e">
        <f t="shared" si="59"/>
        <v>#DIV/0!</v>
      </c>
      <c r="BI64" s="1" t="e">
        <f t="shared" si="60"/>
        <v>#DIV/0!</v>
      </c>
      <c r="BJ64" s="1" t="e">
        <f t="shared" si="61"/>
        <v>#DIV/0!</v>
      </c>
      <c r="BK64" s="1" t="e">
        <f t="shared" si="62"/>
        <v>#DIV/0!</v>
      </c>
      <c r="BL64" s="1" t="e">
        <f t="shared" si="63"/>
        <v>#DIV/0!</v>
      </c>
      <c r="BM64" s="1" t="e">
        <f t="shared" si="64"/>
        <v>#DIV/0!</v>
      </c>
      <c r="BN64" s="1" t="e">
        <f t="shared" si="65"/>
        <v>#DIV/0!</v>
      </c>
      <c r="BP64" s="1" t="str">
        <f t="shared" si="66"/>
        <v>Drymill CCS Fermentation Exhaust</v>
      </c>
      <c r="BQ64" s="1" t="e">
        <f t="shared" si="67"/>
        <v>#DIV/0!</v>
      </c>
      <c r="BR64" s="1" t="e">
        <f t="shared" si="68"/>
        <v>#DIV/0!</v>
      </c>
      <c r="BS64" s="1" t="e">
        <f t="array" ref="BS64">_xlfn.IFS(S64="Biomass_Corn", 1/V64/H64*AL64, S64="Biomass_Agri", 1/V64/H64*AK64, S64="Biomass_Wood", 1/V64/H64*AJ64, S64="Biomass_Herb", 1/V64/H64*AI64)</f>
        <v>#DIV/0!</v>
      </c>
      <c r="BT64" s="1" t="e">
        <f t="shared" si="69"/>
        <v>#DIV/0!</v>
      </c>
      <c r="BU64" s="1" t="e">
        <f t="shared" si="70"/>
        <v>#DIV/0!</v>
      </c>
      <c r="BV64" s="1" t="e">
        <f t="shared" si="71"/>
        <v>#DIV/0!</v>
      </c>
      <c r="BW64" s="1" t="e">
        <f t="shared" si="72"/>
        <v>#DIV/0!</v>
      </c>
      <c r="BY64" s="9">
        <f t="shared" si="73"/>
        <v>3.1428571428571428</v>
      </c>
      <c r="BZ64" s="18">
        <f t="shared" si="74"/>
        <v>1.7588666580000001</v>
      </c>
      <c r="CA64" s="10">
        <v>0.1828908353</v>
      </c>
      <c r="CB64" s="9">
        <v>0.23037490999999999</v>
      </c>
      <c r="CD64" s="10" t="e">
        <f t="shared" si="75"/>
        <v>#DIV/0!</v>
      </c>
      <c r="CE64" s="10" t="e">
        <f t="shared" si="76"/>
        <v>#DIV/0!</v>
      </c>
      <c r="CF64" s="10" t="e">
        <f t="shared" si="77"/>
        <v>#DIV/0!</v>
      </c>
      <c r="CG64" s="10">
        <f t="shared" si="78"/>
        <v>0</v>
      </c>
      <c r="CI64" s="18" t="e">
        <f t="shared" si="79"/>
        <v>#DIV/0!</v>
      </c>
      <c r="CJ64" s="18" t="e">
        <f t="shared" si="80"/>
        <v>#DIV/0!</v>
      </c>
      <c r="CK64" s="10">
        <f t="shared" si="81"/>
        <v>3.1428571428571428</v>
      </c>
      <c r="CL64" s="10" t="e">
        <f t="shared" si="82"/>
        <v>#DIV/0!</v>
      </c>
      <c r="CN64" s="1" t="e">
        <f t="shared" si="83"/>
        <v>#DIV/0!</v>
      </c>
    </row>
    <row r="65" spans="2:92" x14ac:dyDescent="0.2">
      <c r="B65" s="24"/>
      <c r="C65" s="24"/>
      <c r="D65" s="24">
        <v>6</v>
      </c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R65" s="18" t="str">
        <f t="array" ref="R65:AE65">_xlfn.XLOOKUP(D65, CP:CP, CQ:DD)</f>
        <v>Drymill CCS Fermentation Exhaust</v>
      </c>
      <c r="S65" s="18" t="str">
        <v>Biomass_Corn</v>
      </c>
      <c r="T65" s="18">
        <v>0</v>
      </c>
      <c r="U65" s="18">
        <v>8.5342824999999997E-2</v>
      </c>
      <c r="V65" s="18">
        <v>3.1043379949999999</v>
      </c>
      <c r="W65" s="18">
        <v>1.013397519</v>
      </c>
      <c r="X65" s="18">
        <v>1.7588666580000001</v>
      </c>
      <c r="Y65" s="18">
        <v>0.35768767200000001</v>
      </c>
      <c r="Z65" s="18">
        <v>0.68601739399999995</v>
      </c>
      <c r="AA65" s="18">
        <v>0.15290642300000001</v>
      </c>
      <c r="AB65" s="18">
        <v>3.2434695999999999E-2</v>
      </c>
      <c r="AC65" s="18">
        <v>45179.42</v>
      </c>
      <c r="AD65" s="18">
        <v>201481.25</v>
      </c>
      <c r="AE65" s="18">
        <v>-25.28</v>
      </c>
      <c r="AG65" s="16"/>
      <c r="AH65" s="16"/>
      <c r="AI65" s="15"/>
      <c r="AJ65" s="15"/>
      <c r="AK65" s="15"/>
      <c r="AL65" s="15"/>
      <c r="AM65" s="15"/>
      <c r="AN65" s="15"/>
      <c r="AO65" s="15"/>
      <c r="AQ65" s="1">
        <f t="shared" si="42"/>
        <v>0</v>
      </c>
      <c r="AR65" s="1">
        <f t="shared" si="43"/>
        <v>0</v>
      </c>
      <c r="AS65" s="11" t="e">
        <f t="shared" si="44"/>
        <v>#DIV/0!</v>
      </c>
      <c r="AT65" s="11" t="e">
        <f t="shared" si="45"/>
        <v>#DIV/0!</v>
      </c>
      <c r="AU65" s="5" t="e">
        <f t="shared" si="46"/>
        <v>#DIV/0!</v>
      </c>
      <c r="AV65" s="5" t="e">
        <f t="shared" si="47"/>
        <v>#DIV/0!</v>
      </c>
      <c r="AW65" s="1" t="e">
        <f t="shared" si="48"/>
        <v>#DIV/0!</v>
      </c>
      <c r="AX65" s="1" t="e">
        <f t="shared" si="49"/>
        <v>#DIV/0!</v>
      </c>
      <c r="AY65" s="1" t="e">
        <f t="shared" si="50"/>
        <v>#DIV/0!</v>
      </c>
      <c r="AZ65" s="1" t="e">
        <f t="shared" si="51"/>
        <v>#DIV/0!</v>
      </c>
      <c r="BA65" s="1" t="e">
        <f t="shared" si="52"/>
        <v>#DIV/0!</v>
      </c>
      <c r="BB65" s="1" t="e">
        <f t="shared" si="53"/>
        <v>#DIV/0!</v>
      </c>
      <c r="BC65" s="1" t="e">
        <f t="shared" si="54"/>
        <v>#DIV/0!</v>
      </c>
      <c r="BD65" s="1" t="e">
        <f t="shared" si="55"/>
        <v>#DIV/0!</v>
      </c>
      <c r="BE65" s="1" t="e">
        <f t="shared" si="56"/>
        <v>#DIV/0!</v>
      </c>
      <c r="BF65" s="1" t="e">
        <f t="shared" si="57"/>
        <v>#DIV/0!</v>
      </c>
      <c r="BG65" s="1" t="e">
        <f t="shared" si="58"/>
        <v>#DIV/0!</v>
      </c>
      <c r="BH65" s="1" t="e">
        <f t="shared" si="59"/>
        <v>#DIV/0!</v>
      </c>
      <c r="BI65" s="1" t="e">
        <f t="shared" si="60"/>
        <v>#DIV/0!</v>
      </c>
      <c r="BJ65" s="1" t="e">
        <f t="shared" si="61"/>
        <v>#DIV/0!</v>
      </c>
      <c r="BK65" s="1" t="e">
        <f t="shared" si="62"/>
        <v>#DIV/0!</v>
      </c>
      <c r="BL65" s="1" t="e">
        <f t="shared" si="63"/>
        <v>#DIV/0!</v>
      </c>
      <c r="BM65" s="1" t="e">
        <f t="shared" si="64"/>
        <v>#DIV/0!</v>
      </c>
      <c r="BN65" s="1" t="e">
        <f t="shared" si="65"/>
        <v>#DIV/0!</v>
      </c>
      <c r="BP65" s="1" t="str">
        <f t="shared" si="66"/>
        <v>Drymill CCS Fermentation Exhaust</v>
      </c>
      <c r="BQ65" s="1" t="e">
        <f t="shared" si="67"/>
        <v>#DIV/0!</v>
      </c>
      <c r="BR65" s="1" t="e">
        <f t="shared" si="68"/>
        <v>#DIV/0!</v>
      </c>
      <c r="BS65" s="1" t="e">
        <f t="array" ref="BS65">_xlfn.IFS(S65="Biomass_Corn", 1/V65/H65*AL65, S65="Biomass_Agri", 1/V65/H65*AK65, S65="Biomass_Wood", 1/V65/H65*AJ65, S65="Biomass_Herb", 1/V65/H65*AI65)</f>
        <v>#DIV/0!</v>
      </c>
      <c r="BT65" s="1" t="e">
        <f t="shared" si="69"/>
        <v>#DIV/0!</v>
      </c>
      <c r="BU65" s="1" t="e">
        <f t="shared" si="70"/>
        <v>#DIV/0!</v>
      </c>
      <c r="BV65" s="1" t="e">
        <f t="shared" si="71"/>
        <v>#DIV/0!</v>
      </c>
      <c r="BW65" s="1" t="e">
        <f t="shared" si="72"/>
        <v>#DIV/0!</v>
      </c>
      <c r="BY65" s="9">
        <f t="shared" si="73"/>
        <v>3.1428571428571428</v>
      </c>
      <c r="BZ65" s="18">
        <f t="shared" si="74"/>
        <v>1.7588666580000001</v>
      </c>
      <c r="CA65" s="10">
        <v>0.1828908353</v>
      </c>
      <c r="CB65" s="9">
        <v>0.23037490999999999</v>
      </c>
      <c r="CD65" s="10" t="e">
        <f t="shared" si="75"/>
        <v>#DIV/0!</v>
      </c>
      <c r="CE65" s="10" t="e">
        <f t="shared" si="76"/>
        <v>#DIV/0!</v>
      </c>
      <c r="CF65" s="10" t="e">
        <f t="shared" si="77"/>
        <v>#DIV/0!</v>
      </c>
      <c r="CG65" s="10">
        <f t="shared" si="78"/>
        <v>0</v>
      </c>
      <c r="CI65" s="18" t="e">
        <f t="shared" si="79"/>
        <v>#DIV/0!</v>
      </c>
      <c r="CJ65" s="18" t="e">
        <f t="shared" si="80"/>
        <v>#DIV/0!</v>
      </c>
      <c r="CK65" s="10">
        <f t="shared" si="81"/>
        <v>3.1428571428571428</v>
      </c>
      <c r="CL65" s="10" t="e">
        <f t="shared" si="82"/>
        <v>#DIV/0!</v>
      </c>
      <c r="CN65" s="1" t="e">
        <f t="shared" si="83"/>
        <v>#DIV/0!</v>
      </c>
    </row>
    <row r="66" spans="2:92" x14ac:dyDescent="0.2">
      <c r="B66" s="24"/>
      <c r="C66" s="24"/>
      <c r="D66" s="24">
        <v>6</v>
      </c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R66" s="18" t="str">
        <f t="array" ref="R66:AE66">_xlfn.XLOOKUP(D66, CP:CP, CQ:DD)</f>
        <v>Drymill CCS Fermentation Exhaust</v>
      </c>
      <c r="S66" s="18" t="str">
        <v>Biomass_Corn</v>
      </c>
      <c r="T66" s="18">
        <v>0</v>
      </c>
      <c r="U66" s="18">
        <v>8.5342824999999997E-2</v>
      </c>
      <c r="V66" s="18">
        <v>3.1043379949999999</v>
      </c>
      <c r="W66" s="18">
        <v>1.013397519</v>
      </c>
      <c r="X66" s="18">
        <v>1.7588666580000001</v>
      </c>
      <c r="Y66" s="18">
        <v>0.35768767200000001</v>
      </c>
      <c r="Z66" s="18">
        <v>0.68601739399999995</v>
      </c>
      <c r="AA66" s="18">
        <v>0.15290642300000001</v>
      </c>
      <c r="AB66" s="18">
        <v>3.2434695999999999E-2</v>
      </c>
      <c r="AC66" s="18">
        <v>45179.42</v>
      </c>
      <c r="AD66" s="18">
        <v>201481.25</v>
      </c>
      <c r="AE66" s="18">
        <v>-25.28</v>
      </c>
      <c r="AG66" s="16"/>
      <c r="AH66" s="16"/>
      <c r="AI66" s="15"/>
      <c r="AJ66" s="15"/>
      <c r="AK66" s="15"/>
      <c r="AL66" s="15"/>
      <c r="AM66" s="15"/>
      <c r="AN66" s="15"/>
      <c r="AO66" s="15"/>
      <c r="AQ66" s="1">
        <f t="shared" si="42"/>
        <v>0</v>
      </c>
      <c r="AR66" s="1">
        <f t="shared" si="43"/>
        <v>0</v>
      </c>
      <c r="AS66" s="11" t="e">
        <f t="shared" si="44"/>
        <v>#DIV/0!</v>
      </c>
      <c r="AT66" s="11" t="e">
        <f t="shared" si="45"/>
        <v>#DIV/0!</v>
      </c>
      <c r="AU66" s="5" t="e">
        <f t="shared" si="46"/>
        <v>#DIV/0!</v>
      </c>
      <c r="AV66" s="5" t="e">
        <f t="shared" si="47"/>
        <v>#DIV/0!</v>
      </c>
      <c r="AW66" s="1" t="e">
        <f t="shared" si="48"/>
        <v>#DIV/0!</v>
      </c>
      <c r="AX66" s="1" t="e">
        <f t="shared" si="49"/>
        <v>#DIV/0!</v>
      </c>
      <c r="AY66" s="1" t="e">
        <f t="shared" si="50"/>
        <v>#DIV/0!</v>
      </c>
      <c r="AZ66" s="1" t="e">
        <f t="shared" si="51"/>
        <v>#DIV/0!</v>
      </c>
      <c r="BA66" s="1" t="e">
        <f t="shared" si="52"/>
        <v>#DIV/0!</v>
      </c>
      <c r="BB66" s="1" t="e">
        <f t="shared" si="53"/>
        <v>#DIV/0!</v>
      </c>
      <c r="BC66" s="1" t="e">
        <f t="shared" si="54"/>
        <v>#DIV/0!</v>
      </c>
      <c r="BD66" s="1" t="e">
        <f t="shared" si="55"/>
        <v>#DIV/0!</v>
      </c>
      <c r="BE66" s="1" t="e">
        <f t="shared" si="56"/>
        <v>#DIV/0!</v>
      </c>
      <c r="BF66" s="1" t="e">
        <f t="shared" si="57"/>
        <v>#DIV/0!</v>
      </c>
      <c r="BG66" s="1" t="e">
        <f t="shared" si="58"/>
        <v>#DIV/0!</v>
      </c>
      <c r="BH66" s="1" t="e">
        <f t="shared" si="59"/>
        <v>#DIV/0!</v>
      </c>
      <c r="BI66" s="1" t="e">
        <f t="shared" si="60"/>
        <v>#DIV/0!</v>
      </c>
      <c r="BJ66" s="1" t="e">
        <f t="shared" si="61"/>
        <v>#DIV/0!</v>
      </c>
      <c r="BK66" s="1" t="e">
        <f t="shared" si="62"/>
        <v>#DIV/0!</v>
      </c>
      <c r="BL66" s="1" t="e">
        <f t="shared" si="63"/>
        <v>#DIV/0!</v>
      </c>
      <c r="BM66" s="1" t="e">
        <f t="shared" si="64"/>
        <v>#DIV/0!</v>
      </c>
      <c r="BN66" s="1" t="e">
        <f t="shared" si="65"/>
        <v>#DIV/0!</v>
      </c>
      <c r="BP66" s="1" t="str">
        <f t="shared" si="66"/>
        <v>Drymill CCS Fermentation Exhaust</v>
      </c>
      <c r="BQ66" s="1" t="e">
        <f t="shared" si="67"/>
        <v>#DIV/0!</v>
      </c>
      <c r="BR66" s="1" t="e">
        <f t="shared" si="68"/>
        <v>#DIV/0!</v>
      </c>
      <c r="BS66" s="1" t="e">
        <f t="array" ref="BS66">_xlfn.IFS(S66="Biomass_Corn", 1/V66/H66*AL66, S66="Biomass_Agri", 1/V66/H66*AK66, S66="Biomass_Wood", 1/V66/H66*AJ66, S66="Biomass_Herb", 1/V66/H66*AI66)</f>
        <v>#DIV/0!</v>
      </c>
      <c r="BT66" s="1" t="e">
        <f t="shared" si="69"/>
        <v>#DIV/0!</v>
      </c>
      <c r="BU66" s="1" t="e">
        <f t="shared" si="70"/>
        <v>#DIV/0!</v>
      </c>
      <c r="BV66" s="1" t="e">
        <f t="shared" si="71"/>
        <v>#DIV/0!</v>
      </c>
      <c r="BW66" s="1" t="e">
        <f t="shared" si="72"/>
        <v>#DIV/0!</v>
      </c>
      <c r="BY66" s="9">
        <f t="shared" si="73"/>
        <v>3.1428571428571428</v>
      </c>
      <c r="BZ66" s="18">
        <f t="shared" si="74"/>
        <v>1.7588666580000001</v>
      </c>
      <c r="CA66" s="10">
        <v>0.1828908353</v>
      </c>
      <c r="CB66" s="9">
        <v>0.23037490999999999</v>
      </c>
      <c r="CD66" s="10" t="e">
        <f t="shared" si="75"/>
        <v>#DIV/0!</v>
      </c>
      <c r="CE66" s="10" t="e">
        <f t="shared" si="76"/>
        <v>#DIV/0!</v>
      </c>
      <c r="CF66" s="10" t="e">
        <f t="shared" si="77"/>
        <v>#DIV/0!</v>
      </c>
      <c r="CG66" s="10">
        <f t="shared" si="78"/>
        <v>0</v>
      </c>
      <c r="CI66" s="18" t="e">
        <f t="shared" si="79"/>
        <v>#DIV/0!</v>
      </c>
      <c r="CJ66" s="18" t="e">
        <f t="shared" si="80"/>
        <v>#DIV/0!</v>
      </c>
      <c r="CK66" s="10">
        <f t="shared" si="81"/>
        <v>3.1428571428571428</v>
      </c>
      <c r="CL66" s="10" t="e">
        <f t="shared" si="82"/>
        <v>#DIV/0!</v>
      </c>
      <c r="CN66" s="1" t="e">
        <f t="shared" si="83"/>
        <v>#DIV/0!</v>
      </c>
    </row>
    <row r="67" spans="2:92" x14ac:dyDescent="0.2">
      <c r="AS67" s="5"/>
      <c r="AT67" s="5"/>
      <c r="AU67" s="5"/>
      <c r="AV67" s="5"/>
      <c r="BY67" s="8"/>
      <c r="CA67" s="8"/>
      <c r="CB67" s="8"/>
    </row>
    <row r="68" spans="2:92" x14ac:dyDescent="0.2">
      <c r="AS68" s="5"/>
      <c r="AT68" s="5"/>
      <c r="AU68" s="5"/>
      <c r="AV68" s="5"/>
      <c r="BY68" s="8"/>
      <c r="CA68" s="8"/>
      <c r="CB68" s="8"/>
    </row>
    <row r="69" spans="2:92" x14ac:dyDescent="0.2">
      <c r="AS69" s="5"/>
      <c r="AT69" s="5"/>
      <c r="AU69" s="5"/>
      <c r="AV69" s="5"/>
      <c r="BY69" s="8"/>
      <c r="CA69" s="8"/>
      <c r="CB69" s="8"/>
    </row>
    <row r="70" spans="2:92" x14ac:dyDescent="0.2">
      <c r="AS70" s="5"/>
      <c r="AT70" s="5"/>
      <c r="AU70" s="5"/>
      <c r="AV70" s="5"/>
      <c r="BY70" s="8"/>
      <c r="CA70" s="8"/>
      <c r="CB70" s="8"/>
    </row>
    <row r="71" spans="2:92" x14ac:dyDescent="0.2">
      <c r="AS71" s="5"/>
      <c r="AT71" s="5"/>
      <c r="AU71" s="5"/>
      <c r="AV71" s="5"/>
      <c r="BY71" s="8"/>
      <c r="CA71" s="8"/>
      <c r="CB71" s="8"/>
    </row>
    <row r="72" spans="2:92" x14ac:dyDescent="0.2">
      <c r="AS72" s="5"/>
      <c r="AT72" s="5"/>
      <c r="AU72" s="5"/>
      <c r="AV72" s="5"/>
      <c r="BY72" s="8"/>
      <c r="CA72" s="8"/>
      <c r="CB72" s="8"/>
    </row>
    <row r="73" spans="2:92" x14ac:dyDescent="0.2">
      <c r="AS73" s="5"/>
      <c r="AT73" s="5"/>
      <c r="AU73" s="5"/>
      <c r="AV73" s="5"/>
      <c r="BY73" s="8"/>
      <c r="CA73" s="8"/>
      <c r="CB73" s="8"/>
    </row>
    <row r="74" spans="2:92" x14ac:dyDescent="0.2">
      <c r="AS74" s="5"/>
      <c r="AT74" s="5"/>
      <c r="AU74" s="5"/>
      <c r="AV74" s="5"/>
      <c r="BY74" s="8"/>
      <c r="CA74" s="8"/>
      <c r="CB74" s="8"/>
    </row>
    <row r="75" spans="2:92" x14ac:dyDescent="0.2">
      <c r="AS75" s="5"/>
      <c r="AT75" s="5"/>
      <c r="AU75" s="5"/>
      <c r="AV75" s="5"/>
      <c r="BY75" s="8"/>
      <c r="CA75" s="8"/>
      <c r="CB75" s="8"/>
    </row>
    <row r="76" spans="2:92" x14ac:dyDescent="0.2">
      <c r="AS76" s="5"/>
      <c r="AT76" s="5"/>
      <c r="AU76" s="5"/>
      <c r="AV76" s="5"/>
      <c r="BY76" s="8"/>
      <c r="CA76" s="8"/>
      <c r="CB76" s="8"/>
    </row>
    <row r="77" spans="2:92" x14ac:dyDescent="0.2">
      <c r="AS77" s="5"/>
      <c r="AT77" s="5"/>
      <c r="AU77" s="5"/>
      <c r="AV77" s="5"/>
      <c r="BY77" s="8"/>
      <c r="CA77" s="8"/>
      <c r="CB77" s="8"/>
    </row>
    <row r="78" spans="2:92" x14ac:dyDescent="0.2">
      <c r="AS78" s="5"/>
      <c r="AT78" s="5"/>
      <c r="AU78" s="5"/>
      <c r="AV78" s="5"/>
      <c r="BY78" s="8"/>
      <c r="CA78" s="8"/>
      <c r="CB78" s="8"/>
    </row>
    <row r="79" spans="2:92" x14ac:dyDescent="0.2">
      <c r="AS79" s="5"/>
      <c r="AT79" s="5"/>
      <c r="AU79" s="5"/>
      <c r="AV79" s="5"/>
      <c r="BY79" s="8"/>
      <c r="CA79" s="8"/>
      <c r="CB79" s="8"/>
    </row>
    <row r="80" spans="2:92" x14ac:dyDescent="0.2">
      <c r="AS80" s="5"/>
      <c r="AT80" s="5"/>
      <c r="AU80" s="5"/>
      <c r="AV80" s="5"/>
      <c r="BY80" s="8"/>
      <c r="CA80" s="8"/>
      <c r="CB80" s="8"/>
    </row>
    <row r="81" spans="45:80" x14ac:dyDescent="0.2">
      <c r="AS81" s="5"/>
      <c r="AT81" s="5"/>
      <c r="AU81" s="5"/>
      <c r="AV81" s="5"/>
      <c r="BY81" s="8"/>
      <c r="CA81" s="8"/>
      <c r="CB81" s="8"/>
    </row>
    <row r="82" spans="45:80" x14ac:dyDescent="0.2">
      <c r="AS82" s="5"/>
      <c r="AT82" s="5"/>
      <c r="AU82" s="5"/>
      <c r="AV82" s="5"/>
      <c r="BY82" s="8"/>
      <c r="CA82" s="8"/>
      <c r="CB82" s="8"/>
    </row>
    <row r="83" spans="45:80" x14ac:dyDescent="0.2">
      <c r="AS83" s="5"/>
      <c r="AT83" s="5"/>
      <c r="AU83" s="5"/>
      <c r="AV83" s="5"/>
      <c r="BY83" s="8"/>
      <c r="CA83" s="8"/>
      <c r="CB83" s="8"/>
    </row>
    <row r="84" spans="45:80" x14ac:dyDescent="0.2">
      <c r="AS84" s="5"/>
      <c r="AT84" s="5"/>
      <c r="AU84" s="5"/>
      <c r="AV84" s="5"/>
      <c r="BY84" s="8"/>
      <c r="CA84" s="8"/>
      <c r="CB84" s="8"/>
    </row>
    <row r="85" spans="45:80" x14ac:dyDescent="0.2">
      <c r="AS85" s="5"/>
      <c r="AT85" s="5"/>
      <c r="AU85" s="5"/>
      <c r="AV85" s="5"/>
      <c r="BY85" s="8"/>
      <c r="CA85" s="8"/>
      <c r="CB85" s="8"/>
    </row>
    <row r="86" spans="45:80" x14ac:dyDescent="0.2">
      <c r="AS86" s="5"/>
      <c r="AT86" s="5"/>
      <c r="AU86" s="5"/>
      <c r="AV86" s="5"/>
      <c r="BY86" s="8"/>
      <c r="CA86" s="8"/>
      <c r="CB86" s="8"/>
    </row>
    <row r="87" spans="45:80" x14ac:dyDescent="0.2">
      <c r="AS87" s="5"/>
      <c r="AT87" s="5"/>
      <c r="AU87" s="5"/>
      <c r="AV87" s="5"/>
      <c r="BY87" s="8"/>
      <c r="CA87" s="8"/>
      <c r="CB87" s="8"/>
    </row>
    <row r="88" spans="45:80" x14ac:dyDescent="0.2">
      <c r="AS88" s="5"/>
      <c r="AT88" s="5"/>
      <c r="AU88" s="5"/>
      <c r="AV88" s="5"/>
      <c r="BY88" s="8"/>
      <c r="CA88" s="8"/>
      <c r="CB88" s="8"/>
    </row>
    <row r="89" spans="45:80" x14ac:dyDescent="0.2">
      <c r="AS89" s="5"/>
      <c r="AT89" s="5"/>
      <c r="AU89" s="5"/>
      <c r="AV89" s="5"/>
      <c r="BY89" s="8"/>
      <c r="CA89" s="8"/>
      <c r="CB89" s="8"/>
    </row>
    <row r="90" spans="45:80" x14ac:dyDescent="0.2">
      <c r="AS90" s="5"/>
      <c r="AT90" s="5"/>
      <c r="AU90" s="5"/>
      <c r="AV90" s="5"/>
      <c r="BY90" s="8"/>
      <c r="CA90" s="8"/>
      <c r="CB90" s="8"/>
    </row>
    <row r="91" spans="45:80" x14ac:dyDescent="0.2">
      <c r="AS91" s="5"/>
      <c r="AT91" s="5"/>
      <c r="AU91" s="5"/>
      <c r="AV91" s="5"/>
      <c r="BY91" s="8"/>
      <c r="CA91" s="8"/>
      <c r="CB91" s="8"/>
    </row>
    <row r="92" spans="45:80" x14ac:dyDescent="0.2">
      <c r="AS92" s="5"/>
      <c r="AT92" s="5"/>
      <c r="AU92" s="5"/>
      <c r="AV92" s="5"/>
      <c r="BY92" s="8"/>
      <c r="CA92" s="8"/>
      <c r="CB92" s="8"/>
    </row>
    <row r="93" spans="45:80" x14ac:dyDescent="0.2">
      <c r="AS93" s="5"/>
      <c r="AT93" s="5"/>
      <c r="AU93" s="5"/>
      <c r="AV93" s="5"/>
      <c r="BY93" s="8"/>
      <c r="CA93" s="8"/>
      <c r="CB93" s="8"/>
    </row>
    <row r="94" spans="45:80" x14ac:dyDescent="0.2">
      <c r="AS94" s="5"/>
      <c r="AT94" s="5"/>
      <c r="AU94" s="5"/>
      <c r="AV94" s="5"/>
      <c r="BY94" s="8"/>
      <c r="CA94" s="8"/>
      <c r="CB94" s="8"/>
    </row>
    <row r="95" spans="45:80" x14ac:dyDescent="0.2">
      <c r="AS95" s="5"/>
      <c r="AT95" s="5"/>
      <c r="AU95" s="5"/>
      <c r="AV95" s="5"/>
      <c r="BY95" s="8"/>
      <c r="CA95" s="8"/>
      <c r="CB95" s="8"/>
    </row>
    <row r="96" spans="45:80" x14ac:dyDescent="0.2">
      <c r="AS96" s="5"/>
      <c r="AT96" s="5"/>
      <c r="AU96" s="5"/>
      <c r="AV96" s="5"/>
      <c r="BY96" s="8"/>
      <c r="CA96" s="8"/>
      <c r="CB96" s="8"/>
    </row>
    <row r="97" spans="45:80" x14ac:dyDescent="0.2">
      <c r="AS97" s="5"/>
      <c r="AT97" s="5"/>
      <c r="AU97" s="5"/>
      <c r="AV97" s="5"/>
      <c r="BY97" s="8"/>
      <c r="CA97" s="8"/>
      <c r="CB97" s="8"/>
    </row>
    <row r="98" spans="45:80" x14ac:dyDescent="0.2">
      <c r="AS98" s="5"/>
      <c r="AT98" s="5"/>
      <c r="AU98" s="5"/>
      <c r="AV98" s="5"/>
      <c r="BY98" s="8"/>
      <c r="CA98" s="8"/>
      <c r="CB98" s="8"/>
    </row>
    <row r="99" spans="45:80" x14ac:dyDescent="0.2">
      <c r="AS99" s="5"/>
      <c r="AT99" s="5"/>
      <c r="AU99" s="5"/>
      <c r="AV99" s="5"/>
      <c r="BY99" s="8"/>
      <c r="CA99" s="8"/>
      <c r="CB99" s="8"/>
    </row>
    <row r="100" spans="45:80" x14ac:dyDescent="0.2">
      <c r="AS100" s="5"/>
      <c r="AT100" s="5"/>
      <c r="AU100" s="5"/>
      <c r="AV100" s="5"/>
      <c r="BY100" s="8"/>
      <c r="CA100" s="8"/>
      <c r="CB100" s="8"/>
    </row>
    <row r="101" spans="45:80" x14ac:dyDescent="0.2">
      <c r="AS101" s="5"/>
      <c r="AT101" s="5"/>
      <c r="AU101" s="5"/>
      <c r="AV101" s="5"/>
      <c r="BY101" s="8"/>
      <c r="CA101" s="8"/>
      <c r="CB101" s="8"/>
    </row>
    <row r="102" spans="45:80" x14ac:dyDescent="0.2">
      <c r="AS102" s="5"/>
      <c r="AT102" s="5"/>
      <c r="AU102" s="5"/>
      <c r="AV102" s="5"/>
      <c r="BY102" s="8"/>
      <c r="CA102" s="8"/>
      <c r="CB102" s="8"/>
    </row>
    <row r="103" spans="45:80" x14ac:dyDescent="0.2">
      <c r="AS103" s="5"/>
      <c r="AT103" s="5"/>
      <c r="AU103" s="5"/>
      <c r="AV103" s="5"/>
      <c r="BY103" s="8"/>
      <c r="CA103" s="8"/>
      <c r="CB103" s="8"/>
    </row>
    <row r="104" spans="45:80" x14ac:dyDescent="0.2">
      <c r="AS104" s="5"/>
      <c r="AT104" s="5"/>
      <c r="AU104" s="5"/>
      <c r="AV104" s="5"/>
      <c r="BY104" s="8"/>
      <c r="CA104" s="8"/>
      <c r="CB104" s="8"/>
    </row>
    <row r="105" spans="45:80" x14ac:dyDescent="0.2">
      <c r="AS105" s="5"/>
      <c r="AT105" s="5"/>
      <c r="AU105" s="5"/>
      <c r="AV105" s="5"/>
    </row>
    <row r="106" spans="45:80" x14ac:dyDescent="0.2">
      <c r="AS106" s="5"/>
      <c r="AT106" s="5"/>
      <c r="AU106" s="5"/>
      <c r="AV106" s="5"/>
    </row>
    <row r="107" spans="45:80" x14ac:dyDescent="0.2">
      <c r="AS107" s="5"/>
      <c r="AT107" s="5"/>
      <c r="AU107" s="5"/>
      <c r="AV107" s="5"/>
    </row>
    <row r="108" spans="45:80" x14ac:dyDescent="0.2">
      <c r="AV108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3"/>
  <sheetViews>
    <sheetView workbookViewId="0">
      <selection activeCell="K8" sqref="K8"/>
    </sheetView>
  </sheetViews>
  <sheetFormatPr baseColWidth="10" defaultRowHeight="16" x14ac:dyDescent="0.2"/>
  <cols>
    <col min="1" max="1" width="32" customWidth="1"/>
    <col min="2" max="2" width="14.5" bestFit="1" customWidth="1"/>
    <col min="3" max="3" width="15.5" bestFit="1" customWidth="1"/>
    <col min="4" max="4" width="16.33203125" bestFit="1" customWidth="1"/>
    <col min="5" max="5" width="14.83203125" bestFit="1" customWidth="1"/>
    <col min="6" max="6" width="19.33203125" customWidth="1"/>
    <col min="7" max="7" width="17.5" bestFit="1" customWidth="1"/>
    <col min="8" max="8" width="18.33203125" bestFit="1" customWidth="1"/>
    <col min="9" max="9" width="11.5" bestFit="1" customWidth="1"/>
    <col min="10" max="10" width="14.83203125" bestFit="1" customWidth="1"/>
    <col min="11" max="11" width="12.5" bestFit="1" customWidth="1"/>
    <col min="12" max="12" width="19.6640625" customWidth="1"/>
    <col min="13" max="13" width="14.83203125" bestFit="1" customWidth="1"/>
    <col min="14" max="14" width="21.83203125" customWidth="1"/>
    <col min="15" max="15" width="11.5" bestFit="1" customWidth="1"/>
    <col min="16" max="16" width="16.33203125" customWidth="1"/>
    <col min="17" max="17" width="14.6640625" bestFit="1" customWidth="1"/>
    <col min="18" max="18" width="2.6640625" customWidth="1"/>
  </cols>
  <sheetData>
    <row r="1" spans="1:18" x14ac:dyDescent="0.2">
      <c r="A1" s="19" t="s">
        <v>113</v>
      </c>
    </row>
    <row r="2" spans="1:18" ht="32" customHeight="1" x14ac:dyDescent="0.2">
      <c r="A2" s="20" t="s">
        <v>54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62</v>
      </c>
      <c r="G2" s="4" t="s">
        <v>63</v>
      </c>
      <c r="H2" s="4" t="s">
        <v>64</v>
      </c>
      <c r="I2" s="4" t="s">
        <v>65</v>
      </c>
      <c r="J2" s="4" t="s">
        <v>66</v>
      </c>
      <c r="K2" s="4" t="s">
        <v>67</v>
      </c>
      <c r="L2" s="4" t="s">
        <v>68</v>
      </c>
      <c r="M2" s="4" t="s">
        <v>69</v>
      </c>
      <c r="N2" s="4" t="s">
        <v>70</v>
      </c>
      <c r="O2" s="21" t="s">
        <v>71</v>
      </c>
      <c r="P2" s="21" t="s">
        <v>72</v>
      </c>
      <c r="Q2" s="22" t="s">
        <v>56</v>
      </c>
    </row>
    <row r="3" spans="1:18" x14ac:dyDescent="0.2">
      <c r="A3" t="str">
        <f>lc_detailed!AQ4</f>
        <v>CA_B-NGin</v>
      </c>
      <c r="B3" s="25">
        <f>lc_detailed!AV4</f>
        <v>0</v>
      </c>
      <c r="C3" s="25">
        <f>lc_detailed!AW4</f>
        <v>8.4219551618926456</v>
      </c>
      <c r="D3" s="25">
        <f>lc_detailed!AX4</f>
        <v>14.292095999110224</v>
      </c>
      <c r="E3" s="25">
        <f>lc_detailed!AY4</f>
        <v>0</v>
      </c>
      <c r="F3" s="25">
        <f>lc_detailed!AZ4</f>
        <v>731.56501329210482</v>
      </c>
      <c r="G3" s="25">
        <f>lc_detailed!BA4</f>
        <v>22.396402972850883</v>
      </c>
      <c r="H3" s="25">
        <f>lc_detailed!BB4</f>
        <v>63.082031856345552</v>
      </c>
      <c r="I3" s="25">
        <f>lc_detailed!BC4</f>
        <v>11.843234411429817</v>
      </c>
      <c r="J3" s="25">
        <f>lc_detailed!BD4</f>
        <v>26.201549810398898</v>
      </c>
      <c r="K3" s="25">
        <f>lc_detailed!BE4</f>
        <v>11.386217261862534</v>
      </c>
      <c r="L3" s="25">
        <f>lc_detailed!BF4</f>
        <v>116.84791455349433</v>
      </c>
      <c r="M3" s="25">
        <f>lc_detailed!BG4</f>
        <v>1.5613297332705607</v>
      </c>
      <c r="N3" s="25">
        <f>lc_detailed!BH4</f>
        <v>-115.58727210015257</v>
      </c>
      <c r="O3" s="25">
        <f>lc_detailed!BJ4</f>
        <v>-244.7536721077135</v>
      </c>
      <c r="P3" s="25">
        <f>lc_detailed!BK4</f>
        <v>132.79032360934116</v>
      </c>
      <c r="Q3" s="25">
        <f>lc_detailed!AS4</f>
        <v>780.04712445423525</v>
      </c>
      <c r="R3" s="25"/>
    </row>
    <row r="4" spans="1:18" x14ac:dyDescent="0.2">
      <c r="A4" t="str">
        <f>lc_detailed!AQ5</f>
        <v>NW_B-NGin</v>
      </c>
      <c r="B4" s="25">
        <f>lc_detailed!AV5</f>
        <v>0</v>
      </c>
      <c r="C4" s="25">
        <f>lc_detailed!AW5</f>
        <v>6.1581493802543266</v>
      </c>
      <c r="D4" s="25">
        <f>lc_detailed!AX5</f>
        <v>10.450407349316384</v>
      </c>
      <c r="E4" s="25">
        <f>lc_detailed!AY5</f>
        <v>0</v>
      </c>
      <c r="F4" s="25">
        <f>lc_detailed!AZ5</f>
        <v>731.56501329210482</v>
      </c>
      <c r="G4" s="25">
        <f>lc_detailed!BA5</f>
        <v>22.396402972850883</v>
      </c>
      <c r="H4" s="25">
        <f>lc_detailed!BB5</f>
        <v>63.082031856345552</v>
      </c>
      <c r="I4" s="25">
        <f>lc_detailed!BC5</f>
        <v>11.843234411429817</v>
      </c>
      <c r="J4" s="25">
        <f>lc_detailed!BD5</f>
        <v>26.201549810398898</v>
      </c>
      <c r="K4" s="25">
        <f>lc_detailed!BE5</f>
        <v>11.386217261862534</v>
      </c>
      <c r="L4" s="25">
        <f>lc_detailed!BF5</f>
        <v>116.84791455349433</v>
      </c>
      <c r="M4" s="25">
        <f>lc_detailed!BG5</f>
        <v>1.5613297332705607</v>
      </c>
      <c r="N4" s="25">
        <f>lc_detailed!BH5</f>
        <v>-115.58727210015257</v>
      </c>
      <c r="O4" s="25">
        <f>lc_detailed!BJ5</f>
        <v>-248.97750369640528</v>
      </c>
      <c r="P4" s="25">
        <f>lc_detailed!BK5</f>
        <v>132.79032360934116</v>
      </c>
      <c r="Q4" s="25">
        <f>lc_detailed!AS5</f>
        <v>769.71779843411139</v>
      </c>
      <c r="R4" s="25"/>
    </row>
    <row r="5" spans="1:18" x14ac:dyDescent="0.2">
      <c r="A5" t="str">
        <f>lc_detailed!AQ6</f>
        <v>SW_B-NGin</v>
      </c>
      <c r="B5" s="25">
        <f>lc_detailed!AV6</f>
        <v>0</v>
      </c>
      <c r="C5" s="25">
        <f>lc_detailed!AW6</f>
        <v>6.4543061711239149</v>
      </c>
      <c r="D5" s="25">
        <f>lc_detailed!AX6</f>
        <v>10.952986762829358</v>
      </c>
      <c r="E5" s="25">
        <f>lc_detailed!AY6</f>
        <v>0</v>
      </c>
      <c r="F5" s="25">
        <f>lc_detailed!AZ6</f>
        <v>731.56501329210482</v>
      </c>
      <c r="G5" s="25">
        <f>lc_detailed!BA6</f>
        <v>22.396402972850883</v>
      </c>
      <c r="H5" s="25">
        <f>lc_detailed!BB6</f>
        <v>63.082031856345552</v>
      </c>
      <c r="I5" s="25">
        <f>lc_detailed!BC6</f>
        <v>11.843234411429817</v>
      </c>
      <c r="J5" s="25">
        <f>lc_detailed!BD6</f>
        <v>26.201549810398898</v>
      </c>
      <c r="K5" s="25">
        <f>lc_detailed!BE6</f>
        <v>11.386217261862534</v>
      </c>
      <c r="L5" s="25">
        <f>lc_detailed!BF6</f>
        <v>116.84791455349433</v>
      </c>
      <c r="M5" s="25">
        <f>lc_detailed!BG6</f>
        <v>1.5613297332705607</v>
      </c>
      <c r="N5" s="25">
        <f>lc_detailed!BH6</f>
        <v>-115.58727210015257</v>
      </c>
      <c r="O5" s="25">
        <f>lc_detailed!BJ6</f>
        <v>-221.15604715505253</v>
      </c>
      <c r="P5" s="25">
        <f>lc_detailed!BK6</f>
        <v>132.79032360934116</v>
      </c>
      <c r="Q5" s="25">
        <f>lc_detailed!AS6</f>
        <v>798.33799117984665</v>
      </c>
      <c r="R5" s="25"/>
    </row>
    <row r="6" spans="1:18" x14ac:dyDescent="0.2">
      <c r="A6" t="str">
        <f>lc_detailed!AQ7</f>
        <v>TX_B-NGin</v>
      </c>
      <c r="B6" s="25">
        <f>lc_detailed!AV7</f>
        <v>0</v>
      </c>
      <c r="C6" s="25">
        <f>lc_detailed!AW7</f>
        <v>4.6439584058806433</v>
      </c>
      <c r="D6" s="25">
        <f>lc_detailed!AX7</f>
        <v>7.8808184176802767</v>
      </c>
      <c r="E6" s="25">
        <f>lc_detailed!AY7</f>
        <v>0</v>
      </c>
      <c r="F6" s="25">
        <f>lc_detailed!AZ7</f>
        <v>731.56501329210482</v>
      </c>
      <c r="G6" s="25">
        <f>lc_detailed!BA7</f>
        <v>21.922435830124495</v>
      </c>
      <c r="H6" s="25">
        <f>lc_detailed!BB7</f>
        <v>61.747049161465014</v>
      </c>
      <c r="I6" s="25">
        <f>lc_detailed!BC7</f>
        <v>11.843234411429817</v>
      </c>
      <c r="J6" s="25">
        <f>lc_detailed!BD7</f>
        <v>26.201549810398898</v>
      </c>
      <c r="K6" s="25">
        <f>lc_detailed!BE7</f>
        <v>11.386217261862534</v>
      </c>
      <c r="L6" s="25">
        <f>lc_detailed!BF7</f>
        <v>116.84791455349433</v>
      </c>
      <c r="M6" s="25">
        <f>lc_detailed!BG7</f>
        <v>1.5613297332705607</v>
      </c>
      <c r="N6" s="25">
        <f>lc_detailed!BH7</f>
        <v>-115.58727210015257</v>
      </c>
      <c r="O6" s="25">
        <f>lc_detailed!BJ7</f>
        <v>-209.71851791414809</v>
      </c>
      <c r="P6" s="25">
        <f>lc_detailed!BK7</f>
        <v>132.79032360934116</v>
      </c>
      <c r="Q6" s="25">
        <f>lc_detailed!AS7</f>
        <v>803.08405447275186</v>
      </c>
      <c r="R6" s="25"/>
    </row>
    <row r="7" spans="1:18" x14ac:dyDescent="0.2">
      <c r="A7" t="str">
        <f>lc_detailed!AQ8</f>
        <v>NCEN_B-NGin</v>
      </c>
      <c r="B7" s="25">
        <f>lc_detailed!AV8</f>
        <v>0</v>
      </c>
      <c r="C7" s="25">
        <f>lc_detailed!AW8</f>
        <v>7.0899347130470636</v>
      </c>
      <c r="D7" s="25">
        <f>lc_detailed!AX8</f>
        <v>12.031651273185</v>
      </c>
      <c r="E7" s="25">
        <f>lc_detailed!AY8</f>
        <v>0</v>
      </c>
      <c r="F7" s="25">
        <f>lc_detailed!AZ8</f>
        <v>731.56501329210482</v>
      </c>
      <c r="G7" s="25">
        <f>lc_detailed!BA8</f>
        <v>22.077868981399725</v>
      </c>
      <c r="H7" s="25">
        <f>lc_detailed!BB8</f>
        <v>62.184844418683866</v>
      </c>
      <c r="I7" s="25">
        <f>lc_detailed!BC8</f>
        <v>11.843234411429817</v>
      </c>
      <c r="J7" s="25">
        <f>lc_detailed!BD8</f>
        <v>26.201549810398898</v>
      </c>
      <c r="K7" s="25">
        <f>lc_detailed!BE8</f>
        <v>11.386217261862534</v>
      </c>
      <c r="L7" s="25">
        <f>lc_detailed!BF8</f>
        <v>116.84791455349433</v>
      </c>
      <c r="M7" s="25">
        <f>lc_detailed!BG8</f>
        <v>1.5613297332705607</v>
      </c>
      <c r="N7" s="25">
        <f>lc_detailed!BH8</f>
        <v>-115.58727210015257</v>
      </c>
      <c r="O7" s="25">
        <f>lc_detailed!BJ8</f>
        <v>-162.50817028094042</v>
      </c>
      <c r="P7" s="25">
        <f>lc_detailed!BK8</f>
        <v>132.79032360934116</v>
      </c>
      <c r="Q7" s="25">
        <f>lc_detailed!AS8</f>
        <v>857.48443967712456</v>
      </c>
      <c r="R7" s="25"/>
    </row>
    <row r="8" spans="1:18" x14ac:dyDescent="0.2">
      <c r="A8" t="str">
        <f>lc_detailed!AQ9</f>
        <v>CEN_B-NGin</v>
      </c>
      <c r="B8" s="25">
        <f>lc_detailed!AV9</f>
        <v>0</v>
      </c>
      <c r="C8" s="25">
        <f>lc_detailed!AW9</f>
        <v>5.8697926577559594</v>
      </c>
      <c r="D8" s="25">
        <f>lc_detailed!AX9</f>
        <v>9.9610646871061874</v>
      </c>
      <c r="E8" s="25">
        <f>lc_detailed!AY9</f>
        <v>0</v>
      </c>
      <c r="F8" s="25">
        <f>lc_detailed!AZ9</f>
        <v>731.56501329210482</v>
      </c>
      <c r="G8" s="25">
        <f>lc_detailed!BA9</f>
        <v>22.077868981399725</v>
      </c>
      <c r="H8" s="25">
        <f>lc_detailed!BB9</f>
        <v>62.184844418683866</v>
      </c>
      <c r="I8" s="25">
        <f>lc_detailed!BC9</f>
        <v>11.843234411429817</v>
      </c>
      <c r="J8" s="25">
        <f>lc_detailed!BD9</f>
        <v>26.201549810398898</v>
      </c>
      <c r="K8" s="25">
        <f>lc_detailed!BE9</f>
        <v>11.386217261862534</v>
      </c>
      <c r="L8" s="25">
        <f>lc_detailed!BF9</f>
        <v>116.84791455349433</v>
      </c>
      <c r="M8" s="25">
        <f>lc_detailed!BG9</f>
        <v>1.5613297332705607</v>
      </c>
      <c r="N8" s="25">
        <f>lc_detailed!BH9</f>
        <v>-115.58727210015257</v>
      </c>
      <c r="O8" s="25">
        <f>lc_detailed!BJ9</f>
        <v>-185.89155317540664</v>
      </c>
      <c r="P8" s="25">
        <f>lc_detailed!BK9</f>
        <v>132.79032360934116</v>
      </c>
      <c r="Q8" s="25">
        <f>lc_detailed!AS9</f>
        <v>830.81032814128844</v>
      </c>
      <c r="R8" s="25"/>
    </row>
    <row r="9" spans="1:18" x14ac:dyDescent="0.2">
      <c r="A9" t="str">
        <f>lc_detailed!AQ10</f>
        <v>SE_B-NGin</v>
      </c>
      <c r="B9" s="25">
        <f>lc_detailed!AV10</f>
        <v>0</v>
      </c>
      <c r="C9" s="25">
        <f>lc_detailed!AW10</f>
        <v>8.8231516624705808</v>
      </c>
      <c r="D9" s="25">
        <f>lc_detailed!AX10</f>
        <v>14.972928275053896</v>
      </c>
      <c r="E9" s="25">
        <f>lc_detailed!AY10</f>
        <v>0</v>
      </c>
      <c r="F9" s="25">
        <f>lc_detailed!AZ10</f>
        <v>731.56501329210482</v>
      </c>
      <c r="G9" s="25">
        <f>lc_detailed!BA10</f>
        <v>22.077868981399725</v>
      </c>
      <c r="H9" s="25">
        <f>lc_detailed!BB10</f>
        <v>62.184844418683866</v>
      </c>
      <c r="I9" s="25">
        <f>lc_detailed!BC10</f>
        <v>11.843234411429817</v>
      </c>
      <c r="J9" s="25">
        <f>lc_detailed!BD10</f>
        <v>26.201549810398898</v>
      </c>
      <c r="K9" s="25">
        <f>lc_detailed!BE10</f>
        <v>11.386217261862534</v>
      </c>
      <c r="L9" s="25">
        <f>lc_detailed!BF10</f>
        <v>116.84791455349433</v>
      </c>
      <c r="M9" s="25">
        <f>lc_detailed!BG10</f>
        <v>1.5613297332705607</v>
      </c>
      <c r="N9" s="25">
        <f>lc_detailed!BH10</f>
        <v>-115.58727210015257</v>
      </c>
      <c r="O9" s="25">
        <f>lc_detailed!BJ10</f>
        <v>-148.30041458332153</v>
      </c>
      <c r="P9" s="25">
        <f>lc_detailed!BK10</f>
        <v>132.79032360934116</v>
      </c>
      <c r="Q9" s="25">
        <f>lc_detailed!AS10</f>
        <v>876.36668932603607</v>
      </c>
      <c r="R9" s="25"/>
    </row>
    <row r="10" spans="1:18" x14ac:dyDescent="0.2">
      <c r="A10" t="str">
        <f>lc_detailed!AQ11</f>
        <v>MIDAT_B-NGin</v>
      </c>
      <c r="B10" s="25">
        <f>lc_detailed!AV11</f>
        <v>0</v>
      </c>
      <c r="C10" s="25">
        <f>lc_detailed!AW11</f>
        <v>9.0745772847634658</v>
      </c>
      <c r="D10" s="25">
        <f>lc_detailed!AX11</f>
        <v>15.399598693189724</v>
      </c>
      <c r="E10" s="25">
        <f>lc_detailed!AY11</f>
        <v>0</v>
      </c>
      <c r="F10" s="25">
        <f>lc_detailed!AZ11</f>
        <v>731.56501329210482</v>
      </c>
      <c r="G10" s="25">
        <f>lc_detailed!BA11</f>
        <v>22.077868981399725</v>
      </c>
      <c r="H10" s="25">
        <f>lc_detailed!BB11</f>
        <v>62.184844418683866</v>
      </c>
      <c r="I10" s="25">
        <f>lc_detailed!BC11</f>
        <v>11.843234411429817</v>
      </c>
      <c r="J10" s="25">
        <f>lc_detailed!BD11</f>
        <v>26.201549810398898</v>
      </c>
      <c r="K10" s="25">
        <f>lc_detailed!BE11</f>
        <v>11.386217261862534</v>
      </c>
      <c r="L10" s="25">
        <f>lc_detailed!BF11</f>
        <v>116.84791455349433</v>
      </c>
      <c r="M10" s="25">
        <f>lc_detailed!BG11</f>
        <v>1.5613297332705607</v>
      </c>
      <c r="N10" s="25">
        <f>lc_detailed!BH11</f>
        <v>-115.58727210015257</v>
      </c>
      <c r="O10" s="25">
        <f>lc_detailed!BJ11</f>
        <v>-138.07329262232824</v>
      </c>
      <c r="P10" s="25">
        <f>lc_detailed!BK11</f>
        <v>132.79032360934116</v>
      </c>
      <c r="Q10" s="25">
        <f>lc_detailed!AS11</f>
        <v>887.27190732745805</v>
      </c>
      <c r="R10" s="25"/>
    </row>
    <row r="11" spans="1:18" x14ac:dyDescent="0.2">
      <c r="A11" t="str">
        <f>lc_detailed!AQ12</f>
        <v>NE_B-NGin</v>
      </c>
      <c r="B11" s="25">
        <f>lc_detailed!AV12</f>
        <v>0</v>
      </c>
      <c r="C11" s="25">
        <f>lc_detailed!AW12</f>
        <v>10.920262657086443</v>
      </c>
      <c r="D11" s="25">
        <f>lc_detailed!AX12</f>
        <v>18.531735117371955</v>
      </c>
      <c r="E11" s="25">
        <f>lc_detailed!AY12</f>
        <v>0</v>
      </c>
      <c r="F11" s="25">
        <f>lc_detailed!AZ12</f>
        <v>731.56501329210482</v>
      </c>
      <c r="G11" s="25">
        <f>lc_detailed!BA12</f>
        <v>22.077868981399725</v>
      </c>
      <c r="H11" s="25">
        <f>lc_detailed!BB12</f>
        <v>62.184844418683866</v>
      </c>
      <c r="I11" s="25">
        <f>lc_detailed!BC12</f>
        <v>11.843234411429817</v>
      </c>
      <c r="J11" s="25">
        <f>lc_detailed!BD12</f>
        <v>26.201549810398898</v>
      </c>
      <c r="K11" s="25">
        <f>lc_detailed!BE12</f>
        <v>11.386217261862534</v>
      </c>
      <c r="L11" s="25">
        <f>lc_detailed!BF12</f>
        <v>116.84791455349433</v>
      </c>
      <c r="M11" s="25">
        <f>lc_detailed!BG12</f>
        <v>1.5613297332705607</v>
      </c>
      <c r="N11" s="25">
        <f>lc_detailed!BH12</f>
        <v>-115.58727210015257</v>
      </c>
      <c r="O11" s="25">
        <f>lc_detailed!BJ12</f>
        <v>-116.8326221322906</v>
      </c>
      <c r="P11" s="25">
        <f>lc_detailed!BK12</f>
        <v>132.79032360934116</v>
      </c>
      <c r="Q11" s="25">
        <f>lc_detailed!AS12</f>
        <v>913.49039961400092</v>
      </c>
      <c r="R11" s="25"/>
    </row>
    <row r="12" spans="1:18" x14ac:dyDescent="0.2">
      <c r="A12" t="str">
        <f>lc_detailed!AQ13</f>
        <v>CA_B-H2in</v>
      </c>
      <c r="B12" s="25">
        <f>lc_detailed!AV13</f>
        <v>48.620312094595818</v>
      </c>
      <c r="C12" s="25">
        <f>lc_detailed!AW13</f>
        <v>8.4219551618926456</v>
      </c>
      <c r="D12" s="25">
        <f>lc_detailed!AX13</f>
        <v>14.292095999110224</v>
      </c>
      <c r="E12" s="25">
        <f>lc_detailed!AY13</f>
        <v>0</v>
      </c>
      <c r="F12" s="25">
        <f>lc_detailed!AZ13</f>
        <v>731.56501329210482</v>
      </c>
      <c r="G12" s="25">
        <f>lc_detailed!BA13</f>
        <v>0</v>
      </c>
      <c r="H12" s="25">
        <f>lc_detailed!BB13</f>
        <v>63.082031856345552</v>
      </c>
      <c r="I12" s="25">
        <f>lc_detailed!BC13</f>
        <v>11.843234411429817</v>
      </c>
      <c r="J12" s="25">
        <f>lc_detailed!BD13</f>
        <v>26.201549810398898</v>
      </c>
      <c r="K12" s="25">
        <f>lc_detailed!BE13</f>
        <v>11.386217261862534</v>
      </c>
      <c r="L12" s="25">
        <f>lc_detailed!BF13</f>
        <v>116.84791455349433</v>
      </c>
      <c r="M12" s="25">
        <f>lc_detailed!BG13</f>
        <v>1.5613297332705607</v>
      </c>
      <c r="N12" s="25">
        <f>lc_detailed!BH13</f>
        <v>-115.58727210015257</v>
      </c>
      <c r="O12" s="25">
        <f>lc_detailed!BJ13</f>
        <v>-244.7536721077135</v>
      </c>
      <c r="P12" s="25">
        <f>lc_detailed!BK13</f>
        <v>98.003504174546421</v>
      </c>
      <c r="Q12" s="25">
        <f>lc_detailed!AS13</f>
        <v>771.48421414118548</v>
      </c>
      <c r="R12" s="25"/>
    </row>
    <row r="13" spans="1:18" x14ac:dyDescent="0.2">
      <c r="A13" t="str">
        <f>lc_detailed!AQ14</f>
        <v>NW_B-H2in</v>
      </c>
      <c r="B13" s="25">
        <f>lc_detailed!AV14</f>
        <v>45.469174609097195</v>
      </c>
      <c r="C13" s="25">
        <f>lc_detailed!AW14</f>
        <v>6.1581493802543266</v>
      </c>
      <c r="D13" s="25">
        <f>lc_detailed!AX14</f>
        <v>10.450407349316384</v>
      </c>
      <c r="E13" s="25">
        <f>lc_detailed!AY14</f>
        <v>0</v>
      </c>
      <c r="F13" s="25">
        <f>lc_detailed!AZ14</f>
        <v>731.56501329210482</v>
      </c>
      <c r="G13" s="25">
        <f>lc_detailed!BA14</f>
        <v>0</v>
      </c>
      <c r="H13" s="25">
        <f>lc_detailed!BB14</f>
        <v>63.082031856345552</v>
      </c>
      <c r="I13" s="25">
        <f>lc_detailed!BC14</f>
        <v>11.843234411429817</v>
      </c>
      <c r="J13" s="25">
        <f>lc_detailed!BD14</f>
        <v>26.201549810398898</v>
      </c>
      <c r="K13" s="25">
        <f>lc_detailed!BE14</f>
        <v>11.386217261862534</v>
      </c>
      <c r="L13" s="25">
        <f>lc_detailed!BF14</f>
        <v>116.84791455349433</v>
      </c>
      <c r="M13" s="25">
        <f>lc_detailed!BG14</f>
        <v>1.5613297332705607</v>
      </c>
      <c r="N13" s="25">
        <f>lc_detailed!BH14</f>
        <v>-115.58727210015257</v>
      </c>
      <c r="O13" s="25">
        <f>lc_detailed!BJ14</f>
        <v>-248.97750369640528</v>
      </c>
      <c r="P13" s="25">
        <f>lc_detailed!BK14</f>
        <v>98.003504174546421</v>
      </c>
      <c r="Q13" s="25">
        <f>lc_detailed!AS14</f>
        <v>758.00375063556282</v>
      </c>
      <c r="R13" s="25"/>
    </row>
    <row r="14" spans="1:18" x14ac:dyDescent="0.2">
      <c r="A14" t="str">
        <f>lc_detailed!AQ15</f>
        <v>SW_B-H2in</v>
      </c>
      <c r="B14" s="25">
        <f>lc_detailed!AV15</f>
        <v>43.197862648977086</v>
      </c>
      <c r="C14" s="25">
        <f>lc_detailed!AW15</f>
        <v>6.4543061711239149</v>
      </c>
      <c r="D14" s="25">
        <f>lc_detailed!AX15</f>
        <v>10.952986762829358</v>
      </c>
      <c r="E14" s="25">
        <f>lc_detailed!AY15</f>
        <v>0</v>
      </c>
      <c r="F14" s="25">
        <f>lc_detailed!AZ15</f>
        <v>731.56501329210482</v>
      </c>
      <c r="G14" s="25">
        <f>lc_detailed!BA15</f>
        <v>0</v>
      </c>
      <c r="H14" s="25">
        <f>lc_detailed!BB15</f>
        <v>63.082031856345552</v>
      </c>
      <c r="I14" s="25">
        <f>lc_detailed!BC15</f>
        <v>11.843234411429817</v>
      </c>
      <c r="J14" s="25">
        <f>lc_detailed!BD15</f>
        <v>26.201549810398898</v>
      </c>
      <c r="K14" s="25">
        <f>lc_detailed!BE15</f>
        <v>11.386217261862534</v>
      </c>
      <c r="L14" s="25">
        <f>lc_detailed!BF15</f>
        <v>116.84791455349433</v>
      </c>
      <c r="M14" s="25">
        <f>lc_detailed!BG15</f>
        <v>1.5613297332705607</v>
      </c>
      <c r="N14" s="25">
        <f>lc_detailed!BH15</f>
        <v>-115.58727210015257</v>
      </c>
      <c r="O14" s="25">
        <f>lc_detailed!BJ15</f>
        <v>-221.15604715505253</v>
      </c>
      <c r="P14" s="25">
        <f>lc_detailed!BK15</f>
        <v>98.003504174546421</v>
      </c>
      <c r="Q14" s="25">
        <f>lc_detailed!AS15</f>
        <v>784.35263142117799</v>
      </c>
      <c r="R14" s="25"/>
    </row>
    <row r="15" spans="1:18" x14ac:dyDescent="0.2">
      <c r="A15" t="str">
        <f>lc_detailed!AQ16</f>
        <v>TX_B-H2in</v>
      </c>
      <c r="B15" s="25">
        <f>lc_detailed!AV16</f>
        <v>31.357923454892013</v>
      </c>
      <c r="C15" s="25">
        <f>lc_detailed!AW16</f>
        <v>4.6439584058806433</v>
      </c>
      <c r="D15" s="25">
        <f>lc_detailed!AX16</f>
        <v>7.8808184176802767</v>
      </c>
      <c r="E15" s="25">
        <f>lc_detailed!AY16</f>
        <v>0</v>
      </c>
      <c r="F15" s="25">
        <f>lc_detailed!AZ16</f>
        <v>731.56501329210482</v>
      </c>
      <c r="G15" s="25">
        <f>lc_detailed!BA16</f>
        <v>0</v>
      </c>
      <c r="H15" s="25">
        <f>lc_detailed!BB16</f>
        <v>61.747049161465014</v>
      </c>
      <c r="I15" s="25">
        <f>lc_detailed!BC16</f>
        <v>11.843234411429817</v>
      </c>
      <c r="J15" s="25">
        <f>lc_detailed!BD16</f>
        <v>26.201549810398898</v>
      </c>
      <c r="K15" s="25">
        <f>lc_detailed!BE16</f>
        <v>11.386217261862534</v>
      </c>
      <c r="L15" s="25">
        <f>lc_detailed!BF16</f>
        <v>116.84791455349433</v>
      </c>
      <c r="M15" s="25">
        <f>lc_detailed!BG16</f>
        <v>1.5613297332705607</v>
      </c>
      <c r="N15" s="25">
        <f>lc_detailed!BH16</f>
        <v>-115.58727210015257</v>
      </c>
      <c r="O15" s="25">
        <f>lc_detailed!BJ16</f>
        <v>-209.71851791414809</v>
      </c>
      <c r="P15" s="25">
        <f>lc_detailed!BK16</f>
        <v>98.003504174546421</v>
      </c>
      <c r="Q15" s="25">
        <f>lc_detailed!AS16</f>
        <v>777.73272266272443</v>
      </c>
      <c r="R15" s="25"/>
    </row>
    <row r="16" spans="1:18" x14ac:dyDescent="0.2">
      <c r="A16" t="str">
        <f>lc_detailed!AQ17</f>
        <v>NCEN_B-H2in</v>
      </c>
      <c r="B16" s="25">
        <f>lc_detailed!AV17</f>
        <v>44.526876800591907</v>
      </c>
      <c r="C16" s="25">
        <f>lc_detailed!AW17</f>
        <v>7.0899347130470636</v>
      </c>
      <c r="D16" s="25">
        <f>lc_detailed!AX17</f>
        <v>12.031651273185</v>
      </c>
      <c r="E16" s="25">
        <f>lc_detailed!AY17</f>
        <v>0</v>
      </c>
      <c r="F16" s="25">
        <f>lc_detailed!AZ17</f>
        <v>731.56501329210482</v>
      </c>
      <c r="G16" s="25">
        <f>lc_detailed!BA17</f>
        <v>0</v>
      </c>
      <c r="H16" s="25">
        <f>lc_detailed!BB17</f>
        <v>62.184844418683866</v>
      </c>
      <c r="I16" s="25">
        <f>lc_detailed!BC17</f>
        <v>11.843234411429817</v>
      </c>
      <c r="J16" s="25">
        <f>lc_detailed!BD17</f>
        <v>26.201549810398898</v>
      </c>
      <c r="K16" s="25">
        <f>lc_detailed!BE17</f>
        <v>11.386217261862534</v>
      </c>
      <c r="L16" s="25">
        <f>lc_detailed!BF17</f>
        <v>116.84791455349433</v>
      </c>
      <c r="M16" s="25">
        <f>lc_detailed!BG17</f>
        <v>1.5613297332705607</v>
      </c>
      <c r="N16" s="25">
        <f>lc_detailed!BH17</f>
        <v>-115.58727210015257</v>
      </c>
      <c r="O16" s="25">
        <f>lc_detailed!BJ17</f>
        <v>-162.50817028094042</v>
      </c>
      <c r="P16" s="25">
        <f>lc_detailed!BK17</f>
        <v>98.003504174546421</v>
      </c>
      <c r="Q16" s="25">
        <f>lc_detailed!AS17</f>
        <v>845.14662806152205</v>
      </c>
      <c r="R16" s="25"/>
    </row>
    <row r="17" spans="1:18" x14ac:dyDescent="0.2">
      <c r="A17" t="str">
        <f>lc_detailed!AQ18</f>
        <v>CEN_B-H2in</v>
      </c>
      <c r="B17" s="25">
        <f>lc_detailed!AV18</f>
        <v>41.72844251387361</v>
      </c>
      <c r="C17" s="25">
        <f>lc_detailed!AW18</f>
        <v>5.8697926577559594</v>
      </c>
      <c r="D17" s="25">
        <f>lc_detailed!AX18</f>
        <v>9.9610646871061874</v>
      </c>
      <c r="E17" s="25">
        <f>lc_detailed!AY18</f>
        <v>0</v>
      </c>
      <c r="F17" s="25">
        <f>lc_detailed!AZ18</f>
        <v>731.56501329210482</v>
      </c>
      <c r="G17" s="25">
        <f>lc_detailed!BA18</f>
        <v>0</v>
      </c>
      <c r="H17" s="25">
        <f>lc_detailed!BB18</f>
        <v>62.184844418683866</v>
      </c>
      <c r="I17" s="25">
        <f>lc_detailed!BC18</f>
        <v>11.843234411429817</v>
      </c>
      <c r="J17" s="25">
        <f>lc_detailed!BD18</f>
        <v>26.201549810398898</v>
      </c>
      <c r="K17" s="25">
        <f>lc_detailed!BE18</f>
        <v>11.386217261862534</v>
      </c>
      <c r="L17" s="25">
        <f>lc_detailed!BF18</f>
        <v>116.84791455349433</v>
      </c>
      <c r="M17" s="25">
        <f>lc_detailed!BG18</f>
        <v>1.5613297332705607</v>
      </c>
      <c r="N17" s="25">
        <f>lc_detailed!BH18</f>
        <v>-115.58727210015257</v>
      </c>
      <c r="O17" s="25">
        <f>lc_detailed!BJ18</f>
        <v>-185.89155317540664</v>
      </c>
      <c r="P17" s="25">
        <f>lc_detailed!BK18</f>
        <v>98.003504174546421</v>
      </c>
      <c r="Q17" s="25">
        <f>lc_detailed!AS18</f>
        <v>815.67408223896769</v>
      </c>
      <c r="R17" s="25"/>
    </row>
    <row r="18" spans="1:18" x14ac:dyDescent="0.2">
      <c r="A18" t="str">
        <f>lc_detailed!AQ19</f>
        <v>SE_B-H2in</v>
      </c>
      <c r="B18" s="25">
        <f>lc_detailed!AV19</f>
        <v>48.679345400652224</v>
      </c>
      <c r="C18" s="25">
        <f>lc_detailed!AW19</f>
        <v>8.8231516624705808</v>
      </c>
      <c r="D18" s="25">
        <f>lc_detailed!AX19</f>
        <v>14.972928275053896</v>
      </c>
      <c r="E18" s="25">
        <f>lc_detailed!AY19</f>
        <v>0</v>
      </c>
      <c r="F18" s="25">
        <f>lc_detailed!AZ19</f>
        <v>731.56501329210482</v>
      </c>
      <c r="G18" s="25">
        <f>lc_detailed!BA19</f>
        <v>0</v>
      </c>
      <c r="H18" s="25">
        <f>lc_detailed!BB19</f>
        <v>62.184844418683866</v>
      </c>
      <c r="I18" s="25">
        <f>lc_detailed!BC19</f>
        <v>11.843234411429817</v>
      </c>
      <c r="J18" s="25">
        <f>lc_detailed!BD19</f>
        <v>26.201549810398898</v>
      </c>
      <c r="K18" s="25">
        <f>lc_detailed!BE19</f>
        <v>11.386217261862534</v>
      </c>
      <c r="L18" s="25">
        <f>lc_detailed!BF19</f>
        <v>116.84791455349433</v>
      </c>
      <c r="M18" s="25">
        <f>lc_detailed!BG19</f>
        <v>1.5613297332705607</v>
      </c>
      <c r="N18" s="25">
        <f>lc_detailed!BH19</f>
        <v>-115.58727210015257</v>
      </c>
      <c r="O18" s="25">
        <f>lc_detailed!BJ19</f>
        <v>-148.30041458332153</v>
      </c>
      <c r="P18" s="25">
        <f>lc_detailed!BK19</f>
        <v>98.003504174546421</v>
      </c>
      <c r="Q18" s="25">
        <f>lc_detailed!AS19</f>
        <v>868.18134631049384</v>
      </c>
      <c r="R18" s="25"/>
    </row>
    <row r="19" spans="1:18" x14ac:dyDescent="0.2">
      <c r="A19" t="str">
        <f>lc_detailed!AQ20</f>
        <v>MIDAT_B-H2in</v>
      </c>
      <c r="B19" s="25">
        <f>lc_detailed!AV20</f>
        <v>50.710073695632097</v>
      </c>
      <c r="C19" s="25">
        <f>lc_detailed!AW20</f>
        <v>9.0745772847634658</v>
      </c>
      <c r="D19" s="25">
        <f>lc_detailed!AX20</f>
        <v>15.399598693189724</v>
      </c>
      <c r="E19" s="25">
        <f>lc_detailed!AY20</f>
        <v>0</v>
      </c>
      <c r="F19" s="25">
        <f>lc_detailed!AZ20</f>
        <v>731.56501329210482</v>
      </c>
      <c r="G19" s="25">
        <f>lc_detailed!BA20</f>
        <v>0</v>
      </c>
      <c r="H19" s="25">
        <f>lc_detailed!BB20</f>
        <v>62.184844418683866</v>
      </c>
      <c r="I19" s="25">
        <f>lc_detailed!BC20</f>
        <v>11.843234411429817</v>
      </c>
      <c r="J19" s="25">
        <f>lc_detailed!BD20</f>
        <v>26.201549810398898</v>
      </c>
      <c r="K19" s="25">
        <f>lc_detailed!BE20</f>
        <v>11.386217261862534</v>
      </c>
      <c r="L19" s="25">
        <f>lc_detailed!BF20</f>
        <v>116.84791455349433</v>
      </c>
      <c r="M19" s="25">
        <f>lc_detailed!BG20</f>
        <v>1.5613297332705607</v>
      </c>
      <c r="N19" s="25">
        <f>lc_detailed!BH20</f>
        <v>-115.58727210015257</v>
      </c>
      <c r="O19" s="25">
        <f>lc_detailed!BJ20</f>
        <v>-138.07329262232824</v>
      </c>
      <c r="P19" s="25">
        <f>lc_detailed!BK20</f>
        <v>98.003504174546421</v>
      </c>
      <c r="Q19" s="25">
        <f>lc_detailed!AS20</f>
        <v>881.1172926068956</v>
      </c>
      <c r="R19" s="25"/>
    </row>
    <row r="20" spans="1:18" x14ac:dyDescent="0.2">
      <c r="A20" t="str">
        <f>lc_detailed!AQ21</f>
        <v>NE_B-H2in</v>
      </c>
      <c r="B20" s="25">
        <f>lc_detailed!AV21</f>
        <v>53.902697645310617</v>
      </c>
      <c r="C20" s="25">
        <f>lc_detailed!AW21</f>
        <v>10.920262657086443</v>
      </c>
      <c r="D20" s="25">
        <f>lc_detailed!AX21</f>
        <v>18.531735117371955</v>
      </c>
      <c r="E20" s="25">
        <f>lc_detailed!AY21</f>
        <v>0</v>
      </c>
      <c r="F20" s="25">
        <f>lc_detailed!AZ21</f>
        <v>731.56501329210482</v>
      </c>
      <c r="G20" s="25">
        <f>lc_detailed!BA21</f>
        <v>0</v>
      </c>
      <c r="H20" s="25">
        <f>lc_detailed!BB21</f>
        <v>62.184844418683866</v>
      </c>
      <c r="I20" s="25">
        <f>lc_detailed!BC21</f>
        <v>11.843234411429817</v>
      </c>
      <c r="J20" s="25">
        <f>lc_detailed!BD21</f>
        <v>26.201549810398898</v>
      </c>
      <c r="K20" s="25">
        <f>lc_detailed!BE21</f>
        <v>11.386217261862534</v>
      </c>
      <c r="L20" s="25">
        <f>lc_detailed!BF21</f>
        <v>116.84791455349433</v>
      </c>
      <c r="M20" s="25">
        <f>lc_detailed!BG21</f>
        <v>1.5613297332705607</v>
      </c>
      <c r="N20" s="25">
        <f>lc_detailed!BH21</f>
        <v>-115.58727210015257</v>
      </c>
      <c r="O20" s="25">
        <f>lc_detailed!BJ21</f>
        <v>-116.8326221322906</v>
      </c>
      <c r="P20" s="25">
        <f>lc_detailed!BK21</f>
        <v>98.003504174546421</v>
      </c>
      <c r="Q20" s="25">
        <f>lc_detailed!AS21</f>
        <v>910.52840884311706</v>
      </c>
      <c r="R20" s="25"/>
    </row>
    <row r="21" spans="1:18" x14ac:dyDescent="0.2">
      <c r="A21">
        <f>lc_detailed!AQ22</f>
        <v>0</v>
      </c>
      <c r="B21" s="25" t="e">
        <f>lc_detailed!AV22</f>
        <v>#DIV/0!</v>
      </c>
      <c r="C21" s="25" t="e">
        <f>lc_detailed!AW22</f>
        <v>#DIV/0!</v>
      </c>
      <c r="D21" s="25" t="e">
        <f>lc_detailed!AX22</f>
        <v>#DIV/0!</v>
      </c>
      <c r="E21" s="25" t="e">
        <f>lc_detailed!AY22</f>
        <v>#DIV/0!</v>
      </c>
      <c r="F21" s="25" t="e">
        <f>lc_detailed!AZ22</f>
        <v>#DIV/0!</v>
      </c>
      <c r="G21" s="25" t="e">
        <f>lc_detailed!BA22</f>
        <v>#DIV/0!</v>
      </c>
      <c r="H21" s="25" t="e">
        <f>lc_detailed!BB22</f>
        <v>#DIV/0!</v>
      </c>
      <c r="I21" s="25" t="e">
        <f>lc_detailed!BC22</f>
        <v>#DIV/0!</v>
      </c>
      <c r="J21" s="25" t="e">
        <f>lc_detailed!BD22</f>
        <v>#DIV/0!</v>
      </c>
      <c r="K21" s="25" t="e">
        <f>lc_detailed!BE22</f>
        <v>#DIV/0!</v>
      </c>
      <c r="L21" s="25" t="e">
        <f>lc_detailed!BF22</f>
        <v>#DIV/0!</v>
      </c>
      <c r="M21" s="25" t="e">
        <f>lc_detailed!BG22</f>
        <v>#DIV/0!</v>
      </c>
      <c r="N21" s="25" t="e">
        <f>lc_detailed!BH22</f>
        <v>#DIV/0!</v>
      </c>
      <c r="O21" s="25" t="e">
        <f>lc_detailed!BJ22</f>
        <v>#DIV/0!</v>
      </c>
      <c r="P21" s="25" t="e">
        <f>lc_detailed!BK22</f>
        <v>#DIV/0!</v>
      </c>
      <c r="Q21" s="25" t="e">
        <f>lc_detailed!AS22</f>
        <v>#DIV/0!</v>
      </c>
      <c r="R21" s="25"/>
    </row>
    <row r="22" spans="1:18" x14ac:dyDescent="0.2">
      <c r="A22">
        <f>lc_detailed!AQ23</f>
        <v>0</v>
      </c>
      <c r="B22" s="25" t="e">
        <f>lc_detailed!AV23</f>
        <v>#DIV/0!</v>
      </c>
      <c r="C22" s="25" t="e">
        <f>lc_detailed!AW23</f>
        <v>#DIV/0!</v>
      </c>
      <c r="D22" s="25" t="e">
        <f>lc_detailed!AX23</f>
        <v>#DIV/0!</v>
      </c>
      <c r="E22" s="25" t="e">
        <f>lc_detailed!AY23</f>
        <v>#DIV/0!</v>
      </c>
      <c r="F22" s="25" t="e">
        <f>lc_detailed!AZ23</f>
        <v>#DIV/0!</v>
      </c>
      <c r="G22" s="25" t="e">
        <f>lc_detailed!BA23</f>
        <v>#DIV/0!</v>
      </c>
      <c r="H22" s="25" t="e">
        <f>lc_detailed!BB23</f>
        <v>#DIV/0!</v>
      </c>
      <c r="I22" s="25" t="e">
        <f>lc_detailed!BC23</f>
        <v>#DIV/0!</v>
      </c>
      <c r="J22" s="25" t="e">
        <f>lc_detailed!BD23</f>
        <v>#DIV/0!</v>
      </c>
      <c r="K22" s="25" t="e">
        <f>lc_detailed!BE23</f>
        <v>#DIV/0!</v>
      </c>
      <c r="L22" s="25" t="e">
        <f>lc_detailed!BF23</f>
        <v>#DIV/0!</v>
      </c>
      <c r="M22" s="25" t="e">
        <f>lc_detailed!BG23</f>
        <v>#DIV/0!</v>
      </c>
      <c r="N22" s="25" t="e">
        <f>lc_detailed!BH23</f>
        <v>#DIV/0!</v>
      </c>
      <c r="O22" s="25" t="e">
        <f>lc_detailed!BJ23</f>
        <v>#DIV/0!</v>
      </c>
      <c r="P22" s="25" t="e">
        <f>lc_detailed!BK23</f>
        <v>#DIV/0!</v>
      </c>
      <c r="Q22" s="25" t="e">
        <f>lc_detailed!AS23</f>
        <v>#DIV/0!</v>
      </c>
      <c r="R22" s="25"/>
    </row>
    <row r="23" spans="1:18" x14ac:dyDescent="0.2">
      <c r="A23">
        <f>lc_detailed!AQ24</f>
        <v>0</v>
      </c>
      <c r="B23" s="25" t="e">
        <f>lc_detailed!AV24</f>
        <v>#DIV/0!</v>
      </c>
      <c r="C23" s="25" t="e">
        <f>lc_detailed!AW24</f>
        <v>#DIV/0!</v>
      </c>
      <c r="D23" s="25" t="e">
        <f>lc_detailed!AX24</f>
        <v>#DIV/0!</v>
      </c>
      <c r="E23" s="25" t="e">
        <f>lc_detailed!AY24</f>
        <v>#DIV/0!</v>
      </c>
      <c r="F23" s="25" t="e">
        <f>lc_detailed!AZ24</f>
        <v>#DIV/0!</v>
      </c>
      <c r="G23" s="25" t="e">
        <f>lc_detailed!BA24</f>
        <v>#DIV/0!</v>
      </c>
      <c r="H23" s="25" t="e">
        <f>lc_detailed!BB24</f>
        <v>#DIV/0!</v>
      </c>
      <c r="I23" s="25" t="e">
        <f>lc_detailed!BC24</f>
        <v>#DIV/0!</v>
      </c>
      <c r="J23" s="25" t="e">
        <f>lc_detailed!BD24</f>
        <v>#DIV/0!</v>
      </c>
      <c r="K23" s="25" t="e">
        <f>lc_detailed!BE24</f>
        <v>#DIV/0!</v>
      </c>
      <c r="L23" s="25" t="e">
        <f>lc_detailed!BF24</f>
        <v>#DIV/0!</v>
      </c>
      <c r="M23" s="25" t="e">
        <f>lc_detailed!BG24</f>
        <v>#DIV/0!</v>
      </c>
      <c r="N23" s="25" t="e">
        <f>lc_detailed!BH24</f>
        <v>#DIV/0!</v>
      </c>
      <c r="O23" s="25" t="e">
        <f>lc_detailed!BJ24</f>
        <v>#DIV/0!</v>
      </c>
      <c r="P23" s="25" t="e">
        <f>lc_detailed!BK24</f>
        <v>#DIV/0!</v>
      </c>
      <c r="Q23" s="25" t="e">
        <f>lc_detailed!AS24</f>
        <v>#DIV/0!</v>
      </c>
      <c r="R23" s="25"/>
    </row>
    <row r="24" spans="1:18" x14ac:dyDescent="0.2">
      <c r="A24">
        <f>lc_detailed!AQ25</f>
        <v>0</v>
      </c>
      <c r="B24" s="25" t="e">
        <f>lc_detailed!AV25</f>
        <v>#DIV/0!</v>
      </c>
      <c r="C24" s="25" t="e">
        <f>lc_detailed!AW25</f>
        <v>#DIV/0!</v>
      </c>
      <c r="D24" s="25" t="e">
        <f>lc_detailed!AX25</f>
        <v>#DIV/0!</v>
      </c>
      <c r="E24" s="25" t="e">
        <f>lc_detailed!AY25</f>
        <v>#DIV/0!</v>
      </c>
      <c r="F24" s="25" t="e">
        <f>lc_detailed!AZ25</f>
        <v>#DIV/0!</v>
      </c>
      <c r="G24" s="25" t="e">
        <f>lc_detailed!BA25</f>
        <v>#DIV/0!</v>
      </c>
      <c r="H24" s="25" t="e">
        <f>lc_detailed!BB25</f>
        <v>#DIV/0!</v>
      </c>
      <c r="I24" s="25" t="e">
        <f>lc_detailed!BC25</f>
        <v>#DIV/0!</v>
      </c>
      <c r="J24" s="25" t="e">
        <f>lc_detailed!BD25</f>
        <v>#DIV/0!</v>
      </c>
      <c r="K24" s="25" t="e">
        <f>lc_detailed!BE25</f>
        <v>#DIV/0!</v>
      </c>
      <c r="L24" s="25" t="e">
        <f>lc_detailed!BF25</f>
        <v>#DIV/0!</v>
      </c>
      <c r="M24" s="25" t="e">
        <f>lc_detailed!BG25</f>
        <v>#DIV/0!</v>
      </c>
      <c r="N24" s="25" t="e">
        <f>lc_detailed!BH25</f>
        <v>#DIV/0!</v>
      </c>
      <c r="O24" s="25" t="e">
        <f>lc_detailed!BJ25</f>
        <v>#DIV/0!</v>
      </c>
      <c r="P24" s="25" t="e">
        <f>lc_detailed!BK25</f>
        <v>#DIV/0!</v>
      </c>
      <c r="Q24" s="25" t="e">
        <f>lc_detailed!AS25</f>
        <v>#DIV/0!</v>
      </c>
      <c r="R24" s="25"/>
    </row>
    <row r="25" spans="1:18" x14ac:dyDescent="0.2">
      <c r="A25">
        <f>lc_detailed!AQ26</f>
        <v>0</v>
      </c>
      <c r="B25" s="25" t="e">
        <f>lc_detailed!AV26</f>
        <v>#DIV/0!</v>
      </c>
      <c r="C25" s="25" t="e">
        <f>lc_detailed!AW26</f>
        <v>#DIV/0!</v>
      </c>
      <c r="D25" s="25" t="e">
        <f>lc_detailed!AX26</f>
        <v>#DIV/0!</v>
      </c>
      <c r="E25" s="25" t="e">
        <f>lc_detailed!AY26</f>
        <v>#DIV/0!</v>
      </c>
      <c r="F25" s="25" t="e">
        <f>lc_detailed!AZ26</f>
        <v>#DIV/0!</v>
      </c>
      <c r="G25" s="25" t="e">
        <f>lc_detailed!BA26</f>
        <v>#DIV/0!</v>
      </c>
      <c r="H25" s="25" t="e">
        <f>lc_detailed!BB26</f>
        <v>#DIV/0!</v>
      </c>
      <c r="I25" s="25" t="e">
        <f>lc_detailed!BC26</f>
        <v>#DIV/0!</v>
      </c>
      <c r="J25" s="25" t="e">
        <f>lc_detailed!BD26</f>
        <v>#DIV/0!</v>
      </c>
      <c r="K25" s="25" t="e">
        <f>lc_detailed!BE26</f>
        <v>#DIV/0!</v>
      </c>
      <c r="L25" s="25" t="e">
        <f>lc_detailed!BF26</f>
        <v>#DIV/0!</v>
      </c>
      <c r="M25" s="25" t="e">
        <f>lc_detailed!BG26</f>
        <v>#DIV/0!</v>
      </c>
      <c r="N25" s="25" t="e">
        <f>lc_detailed!BH26</f>
        <v>#DIV/0!</v>
      </c>
      <c r="O25" s="25" t="e">
        <f>lc_detailed!BJ26</f>
        <v>#DIV/0!</v>
      </c>
      <c r="P25" s="25" t="e">
        <f>lc_detailed!BK26</f>
        <v>#DIV/0!</v>
      </c>
      <c r="Q25" s="25" t="e">
        <f>lc_detailed!AS26</f>
        <v>#DIV/0!</v>
      </c>
      <c r="R25" s="25"/>
    </row>
    <row r="26" spans="1:18" x14ac:dyDescent="0.2">
      <c r="A26">
        <f>lc_detailed!AQ27</f>
        <v>0</v>
      </c>
      <c r="B26" s="25" t="e">
        <f>lc_detailed!AV27</f>
        <v>#DIV/0!</v>
      </c>
      <c r="C26" s="25" t="e">
        <f>lc_detailed!AW27</f>
        <v>#DIV/0!</v>
      </c>
      <c r="D26" s="25" t="e">
        <f>lc_detailed!AX27</f>
        <v>#DIV/0!</v>
      </c>
      <c r="E26" s="25" t="e">
        <f>lc_detailed!AY27</f>
        <v>#DIV/0!</v>
      </c>
      <c r="F26" s="25" t="e">
        <f>lc_detailed!AZ27</f>
        <v>#DIV/0!</v>
      </c>
      <c r="G26" s="25" t="e">
        <f>lc_detailed!BA27</f>
        <v>#DIV/0!</v>
      </c>
      <c r="H26" s="25" t="e">
        <f>lc_detailed!BB27</f>
        <v>#DIV/0!</v>
      </c>
      <c r="I26" s="25" t="e">
        <f>lc_detailed!BC27</f>
        <v>#DIV/0!</v>
      </c>
      <c r="J26" s="25" t="e">
        <f>lc_detailed!BD27</f>
        <v>#DIV/0!</v>
      </c>
      <c r="K26" s="25" t="e">
        <f>lc_detailed!BE27</f>
        <v>#DIV/0!</v>
      </c>
      <c r="L26" s="25" t="e">
        <f>lc_detailed!BF27</f>
        <v>#DIV/0!</v>
      </c>
      <c r="M26" s="25" t="e">
        <f>lc_detailed!BG27</f>
        <v>#DIV/0!</v>
      </c>
      <c r="N26" s="25" t="e">
        <f>lc_detailed!BH27</f>
        <v>#DIV/0!</v>
      </c>
      <c r="O26" s="25" t="e">
        <f>lc_detailed!BJ27</f>
        <v>#DIV/0!</v>
      </c>
      <c r="P26" s="25" t="e">
        <f>lc_detailed!BK27</f>
        <v>#DIV/0!</v>
      </c>
      <c r="Q26" s="25" t="e">
        <f>lc_detailed!AS27</f>
        <v>#DIV/0!</v>
      </c>
      <c r="R26" s="25"/>
    </row>
    <row r="27" spans="1:18" x14ac:dyDescent="0.2">
      <c r="A27">
        <f>lc_detailed!AQ28</f>
        <v>0</v>
      </c>
      <c r="B27" s="25" t="e">
        <f>lc_detailed!AV28</f>
        <v>#DIV/0!</v>
      </c>
      <c r="C27" s="25" t="e">
        <f>lc_detailed!AW28</f>
        <v>#DIV/0!</v>
      </c>
      <c r="D27" s="25" t="e">
        <f>lc_detailed!AX28</f>
        <v>#DIV/0!</v>
      </c>
      <c r="E27" s="25" t="e">
        <f>lc_detailed!AY28</f>
        <v>#DIV/0!</v>
      </c>
      <c r="F27" s="25" t="e">
        <f>lc_detailed!AZ28</f>
        <v>#DIV/0!</v>
      </c>
      <c r="G27" s="25" t="e">
        <f>lc_detailed!BA28</f>
        <v>#DIV/0!</v>
      </c>
      <c r="H27" s="25" t="e">
        <f>lc_detailed!BB28</f>
        <v>#DIV/0!</v>
      </c>
      <c r="I27" s="25" t="e">
        <f>lc_detailed!BC28</f>
        <v>#DIV/0!</v>
      </c>
      <c r="J27" s="25" t="e">
        <f>lc_detailed!BD28</f>
        <v>#DIV/0!</v>
      </c>
      <c r="K27" s="25" t="e">
        <f>lc_detailed!BE28</f>
        <v>#DIV/0!</v>
      </c>
      <c r="L27" s="25" t="e">
        <f>lc_detailed!BF28</f>
        <v>#DIV/0!</v>
      </c>
      <c r="M27" s="25" t="e">
        <f>lc_detailed!BG28</f>
        <v>#DIV/0!</v>
      </c>
      <c r="N27" s="25" t="e">
        <f>lc_detailed!BH28</f>
        <v>#DIV/0!</v>
      </c>
      <c r="O27" s="25" t="e">
        <f>lc_detailed!BJ28</f>
        <v>#DIV/0!</v>
      </c>
      <c r="P27" s="25" t="e">
        <f>lc_detailed!BK28</f>
        <v>#DIV/0!</v>
      </c>
      <c r="Q27" s="25" t="e">
        <f>lc_detailed!AS28</f>
        <v>#DIV/0!</v>
      </c>
      <c r="R27" s="25"/>
    </row>
    <row r="28" spans="1:18" x14ac:dyDescent="0.2">
      <c r="A28">
        <f>lc_detailed!AQ29</f>
        <v>0</v>
      </c>
      <c r="B28" s="25" t="e">
        <f>lc_detailed!AV29</f>
        <v>#DIV/0!</v>
      </c>
      <c r="C28" s="25" t="e">
        <f>lc_detailed!AW29</f>
        <v>#DIV/0!</v>
      </c>
      <c r="D28" s="25" t="e">
        <f>lc_detailed!AX29</f>
        <v>#DIV/0!</v>
      </c>
      <c r="E28" s="25" t="e">
        <f>lc_detailed!AY29</f>
        <v>#DIV/0!</v>
      </c>
      <c r="F28" s="25" t="e">
        <f>lc_detailed!AZ29</f>
        <v>#DIV/0!</v>
      </c>
      <c r="G28" s="25" t="e">
        <f>lc_detailed!BA29</f>
        <v>#DIV/0!</v>
      </c>
      <c r="H28" s="25" t="e">
        <f>lc_detailed!BB29</f>
        <v>#DIV/0!</v>
      </c>
      <c r="I28" s="25" t="e">
        <f>lc_detailed!BC29</f>
        <v>#DIV/0!</v>
      </c>
      <c r="J28" s="25" t="e">
        <f>lc_detailed!BD29</f>
        <v>#DIV/0!</v>
      </c>
      <c r="K28" s="25" t="e">
        <f>lc_detailed!BE29</f>
        <v>#DIV/0!</v>
      </c>
      <c r="L28" s="25" t="e">
        <f>lc_detailed!BF29</f>
        <v>#DIV/0!</v>
      </c>
      <c r="M28" s="25" t="e">
        <f>lc_detailed!BG29</f>
        <v>#DIV/0!</v>
      </c>
      <c r="N28" s="25" t="e">
        <f>lc_detailed!BH29</f>
        <v>#DIV/0!</v>
      </c>
      <c r="O28" s="25" t="e">
        <f>lc_detailed!BJ29</f>
        <v>#DIV/0!</v>
      </c>
      <c r="P28" s="25" t="e">
        <f>lc_detailed!BK29</f>
        <v>#DIV/0!</v>
      </c>
      <c r="Q28" s="25" t="e">
        <f>lc_detailed!AS29</f>
        <v>#DIV/0!</v>
      </c>
    </row>
    <row r="29" spans="1:18" x14ac:dyDescent="0.2">
      <c r="A29">
        <f>lc_detailed!AQ30</f>
        <v>0</v>
      </c>
      <c r="B29" s="25" t="e">
        <f>lc_detailed!AV30</f>
        <v>#DIV/0!</v>
      </c>
      <c r="C29" s="25" t="e">
        <f>lc_detailed!AW30</f>
        <v>#DIV/0!</v>
      </c>
      <c r="D29" s="25" t="e">
        <f>lc_detailed!AX30</f>
        <v>#DIV/0!</v>
      </c>
      <c r="E29" s="25" t="e">
        <f>lc_detailed!AY30</f>
        <v>#DIV/0!</v>
      </c>
      <c r="F29" s="25" t="e">
        <f>lc_detailed!AZ30</f>
        <v>#DIV/0!</v>
      </c>
      <c r="G29" s="25" t="e">
        <f>lc_detailed!BA30</f>
        <v>#DIV/0!</v>
      </c>
      <c r="H29" s="25" t="e">
        <f>lc_detailed!BB30</f>
        <v>#DIV/0!</v>
      </c>
      <c r="I29" s="25" t="e">
        <f>lc_detailed!BC30</f>
        <v>#DIV/0!</v>
      </c>
      <c r="J29" s="25" t="e">
        <f>lc_detailed!BD30</f>
        <v>#DIV/0!</v>
      </c>
      <c r="K29" s="25" t="e">
        <f>lc_detailed!BE30</f>
        <v>#DIV/0!</v>
      </c>
      <c r="L29" s="25" t="e">
        <f>lc_detailed!BF30</f>
        <v>#DIV/0!</v>
      </c>
      <c r="M29" s="25" t="e">
        <f>lc_detailed!BG30</f>
        <v>#DIV/0!</v>
      </c>
      <c r="N29" s="25" t="e">
        <f>lc_detailed!BH30</f>
        <v>#DIV/0!</v>
      </c>
      <c r="O29" s="25" t="e">
        <f>lc_detailed!BJ30</f>
        <v>#DIV/0!</v>
      </c>
      <c r="P29" s="25" t="e">
        <f>lc_detailed!BK30</f>
        <v>#DIV/0!</v>
      </c>
      <c r="Q29" s="25" t="e">
        <f>lc_detailed!AS30</f>
        <v>#DIV/0!</v>
      </c>
    </row>
    <row r="30" spans="1:18" x14ac:dyDescent="0.2">
      <c r="A30">
        <f>lc_detailed!AQ31</f>
        <v>0</v>
      </c>
      <c r="B30" s="25" t="e">
        <f>lc_detailed!AV31</f>
        <v>#DIV/0!</v>
      </c>
      <c r="C30" s="25" t="e">
        <f>lc_detailed!AW31</f>
        <v>#DIV/0!</v>
      </c>
      <c r="D30" s="25" t="e">
        <f>lc_detailed!AX31</f>
        <v>#DIV/0!</v>
      </c>
      <c r="E30" s="25" t="e">
        <f>lc_detailed!AY31</f>
        <v>#DIV/0!</v>
      </c>
      <c r="F30" s="25" t="e">
        <f>lc_detailed!AZ31</f>
        <v>#DIV/0!</v>
      </c>
      <c r="G30" s="25" t="e">
        <f>lc_detailed!BA31</f>
        <v>#DIV/0!</v>
      </c>
      <c r="H30" s="25" t="e">
        <f>lc_detailed!BB31</f>
        <v>#DIV/0!</v>
      </c>
      <c r="I30" s="25" t="e">
        <f>lc_detailed!BC31</f>
        <v>#DIV/0!</v>
      </c>
      <c r="J30" s="25" t="e">
        <f>lc_detailed!BD31</f>
        <v>#DIV/0!</v>
      </c>
      <c r="K30" s="25" t="e">
        <f>lc_detailed!BE31</f>
        <v>#DIV/0!</v>
      </c>
      <c r="L30" s="25" t="e">
        <f>lc_detailed!BF31</f>
        <v>#DIV/0!</v>
      </c>
      <c r="M30" s="25" t="e">
        <f>lc_detailed!BG31</f>
        <v>#DIV/0!</v>
      </c>
      <c r="N30" s="25" t="e">
        <f>lc_detailed!BH31</f>
        <v>#DIV/0!</v>
      </c>
      <c r="O30" s="25" t="e">
        <f>lc_detailed!BJ31</f>
        <v>#DIV/0!</v>
      </c>
      <c r="P30" s="25" t="e">
        <f>lc_detailed!BK31</f>
        <v>#DIV/0!</v>
      </c>
      <c r="Q30" s="25" t="e">
        <f>lc_detailed!AS31</f>
        <v>#DIV/0!</v>
      </c>
    </row>
    <row r="31" spans="1:18" x14ac:dyDescent="0.2">
      <c r="A31">
        <f>lc_detailed!AQ32</f>
        <v>0</v>
      </c>
      <c r="B31" s="25" t="e">
        <f>lc_detailed!AV32</f>
        <v>#DIV/0!</v>
      </c>
      <c r="C31" s="25" t="e">
        <f>lc_detailed!AW32</f>
        <v>#DIV/0!</v>
      </c>
      <c r="D31" s="25" t="e">
        <f>lc_detailed!AX32</f>
        <v>#DIV/0!</v>
      </c>
      <c r="E31" s="25" t="e">
        <f>lc_detailed!AY32</f>
        <v>#DIV/0!</v>
      </c>
      <c r="F31" s="25" t="e">
        <f>lc_detailed!AZ32</f>
        <v>#DIV/0!</v>
      </c>
      <c r="G31" s="25" t="e">
        <f>lc_detailed!BA32</f>
        <v>#DIV/0!</v>
      </c>
      <c r="H31" s="25" t="e">
        <f>lc_detailed!BB32</f>
        <v>#DIV/0!</v>
      </c>
      <c r="I31" s="25" t="e">
        <f>lc_detailed!BC32</f>
        <v>#DIV/0!</v>
      </c>
      <c r="J31" s="25" t="e">
        <f>lc_detailed!BD32</f>
        <v>#DIV/0!</v>
      </c>
      <c r="K31" s="25" t="e">
        <f>lc_detailed!BE32</f>
        <v>#DIV/0!</v>
      </c>
      <c r="L31" s="25" t="e">
        <f>lc_detailed!BF32</f>
        <v>#DIV/0!</v>
      </c>
      <c r="M31" s="25" t="e">
        <f>lc_detailed!BG32</f>
        <v>#DIV/0!</v>
      </c>
      <c r="N31" s="25" t="e">
        <f>lc_detailed!BH32</f>
        <v>#DIV/0!</v>
      </c>
      <c r="O31" s="25" t="e">
        <f>lc_detailed!BJ32</f>
        <v>#DIV/0!</v>
      </c>
      <c r="P31" s="25" t="e">
        <f>lc_detailed!BK32</f>
        <v>#DIV/0!</v>
      </c>
      <c r="Q31" s="25" t="e">
        <f>lc_detailed!AS32</f>
        <v>#DIV/0!</v>
      </c>
    </row>
    <row r="32" spans="1:18" x14ac:dyDescent="0.2">
      <c r="A32">
        <f>lc_detailed!AQ33</f>
        <v>0</v>
      </c>
      <c r="B32" s="25" t="e">
        <f>lc_detailed!AV33</f>
        <v>#DIV/0!</v>
      </c>
      <c r="C32" s="25" t="e">
        <f>lc_detailed!AW33</f>
        <v>#DIV/0!</v>
      </c>
      <c r="D32" s="25" t="e">
        <f>lc_detailed!AX33</f>
        <v>#DIV/0!</v>
      </c>
      <c r="E32" s="25" t="e">
        <f>lc_detailed!AY33</f>
        <v>#DIV/0!</v>
      </c>
      <c r="F32" s="25" t="e">
        <f>lc_detailed!AZ33</f>
        <v>#DIV/0!</v>
      </c>
      <c r="G32" s="25" t="e">
        <f>lc_detailed!BA33</f>
        <v>#DIV/0!</v>
      </c>
      <c r="H32" s="25" t="e">
        <f>lc_detailed!BB33</f>
        <v>#DIV/0!</v>
      </c>
      <c r="I32" s="25" t="e">
        <f>lc_detailed!BC33</f>
        <v>#DIV/0!</v>
      </c>
      <c r="J32" s="25" t="e">
        <f>lc_detailed!BD33</f>
        <v>#DIV/0!</v>
      </c>
      <c r="K32" s="25" t="e">
        <f>lc_detailed!BE33</f>
        <v>#DIV/0!</v>
      </c>
      <c r="L32" s="25" t="e">
        <f>lc_detailed!BF33</f>
        <v>#DIV/0!</v>
      </c>
      <c r="M32" s="25" t="e">
        <f>lc_detailed!BG33</f>
        <v>#DIV/0!</v>
      </c>
      <c r="N32" s="25" t="e">
        <f>lc_detailed!BH33</f>
        <v>#DIV/0!</v>
      </c>
      <c r="O32" s="25" t="e">
        <f>lc_detailed!BJ33</f>
        <v>#DIV/0!</v>
      </c>
      <c r="P32" s="25" t="e">
        <f>lc_detailed!BK33</f>
        <v>#DIV/0!</v>
      </c>
      <c r="Q32" s="25" t="e">
        <f>lc_detailed!AS33</f>
        <v>#DIV/0!</v>
      </c>
    </row>
    <row r="33" spans="1:17" x14ac:dyDescent="0.2">
      <c r="A33">
        <f>lc_detailed!AQ34</f>
        <v>0</v>
      </c>
      <c r="B33" s="25" t="e">
        <f>lc_detailed!AV34</f>
        <v>#DIV/0!</v>
      </c>
      <c r="C33" s="25" t="e">
        <f>lc_detailed!AW34</f>
        <v>#DIV/0!</v>
      </c>
      <c r="D33" s="25" t="e">
        <f>lc_detailed!AX34</f>
        <v>#DIV/0!</v>
      </c>
      <c r="E33" s="25" t="e">
        <f>lc_detailed!AY34</f>
        <v>#DIV/0!</v>
      </c>
      <c r="F33" s="25" t="e">
        <f>lc_detailed!AZ34</f>
        <v>#DIV/0!</v>
      </c>
      <c r="G33" s="25" t="e">
        <f>lc_detailed!BA34</f>
        <v>#DIV/0!</v>
      </c>
      <c r="H33" s="25" t="e">
        <f>lc_detailed!BB34</f>
        <v>#DIV/0!</v>
      </c>
      <c r="I33" s="25" t="e">
        <f>lc_detailed!BC34</f>
        <v>#DIV/0!</v>
      </c>
      <c r="J33" s="25" t="e">
        <f>lc_detailed!BD34</f>
        <v>#DIV/0!</v>
      </c>
      <c r="K33" s="25" t="e">
        <f>lc_detailed!BE34</f>
        <v>#DIV/0!</v>
      </c>
      <c r="L33" s="25" t="e">
        <f>lc_detailed!BF34</f>
        <v>#DIV/0!</v>
      </c>
      <c r="M33" s="25" t="e">
        <f>lc_detailed!BG34</f>
        <v>#DIV/0!</v>
      </c>
      <c r="N33" s="25" t="e">
        <f>lc_detailed!BH34</f>
        <v>#DIV/0!</v>
      </c>
      <c r="O33" s="25" t="e">
        <f>lc_detailed!BJ34</f>
        <v>#DIV/0!</v>
      </c>
      <c r="P33" s="25" t="e">
        <f>lc_detailed!BK34</f>
        <v>#DIV/0!</v>
      </c>
      <c r="Q33" s="25" t="e">
        <f>lc_detailed!AS34</f>
        <v>#DIV/0!</v>
      </c>
    </row>
    <row r="34" spans="1:17" x14ac:dyDescent="0.2">
      <c r="A34">
        <f>lc_detailed!AQ35</f>
        <v>0</v>
      </c>
      <c r="B34" s="25" t="e">
        <f>lc_detailed!AV35</f>
        <v>#DIV/0!</v>
      </c>
      <c r="C34" s="25" t="e">
        <f>lc_detailed!AW35</f>
        <v>#DIV/0!</v>
      </c>
      <c r="D34" s="25" t="e">
        <f>lc_detailed!AX35</f>
        <v>#DIV/0!</v>
      </c>
      <c r="E34" s="25" t="e">
        <f>lc_detailed!AY35</f>
        <v>#DIV/0!</v>
      </c>
      <c r="F34" s="25" t="e">
        <f>lc_detailed!AZ35</f>
        <v>#DIV/0!</v>
      </c>
      <c r="G34" s="25" t="e">
        <f>lc_detailed!BA35</f>
        <v>#DIV/0!</v>
      </c>
      <c r="H34" s="25" t="e">
        <f>lc_detailed!BB35</f>
        <v>#DIV/0!</v>
      </c>
      <c r="I34" s="25" t="e">
        <f>lc_detailed!BC35</f>
        <v>#DIV/0!</v>
      </c>
      <c r="J34" s="25" t="e">
        <f>lc_detailed!BD35</f>
        <v>#DIV/0!</v>
      </c>
      <c r="K34" s="25" t="e">
        <f>lc_detailed!BE35</f>
        <v>#DIV/0!</v>
      </c>
      <c r="L34" s="25" t="e">
        <f>lc_detailed!BF35</f>
        <v>#DIV/0!</v>
      </c>
      <c r="M34" s="25" t="e">
        <f>lc_detailed!BG35</f>
        <v>#DIV/0!</v>
      </c>
      <c r="N34" s="25" t="e">
        <f>lc_detailed!BH35</f>
        <v>#DIV/0!</v>
      </c>
      <c r="O34" s="25" t="e">
        <f>lc_detailed!BJ35</f>
        <v>#DIV/0!</v>
      </c>
      <c r="P34" s="25" t="e">
        <f>lc_detailed!BK35</f>
        <v>#DIV/0!</v>
      </c>
      <c r="Q34" s="25" t="e">
        <f>lc_detailed!AS35</f>
        <v>#DIV/0!</v>
      </c>
    </row>
    <row r="35" spans="1:17" x14ac:dyDescent="0.2">
      <c r="A35">
        <f>lc_detailed!AQ36</f>
        <v>0</v>
      </c>
      <c r="B35" s="25" t="e">
        <f>lc_detailed!AV36</f>
        <v>#DIV/0!</v>
      </c>
      <c r="C35" s="25" t="e">
        <f>lc_detailed!AW36</f>
        <v>#DIV/0!</v>
      </c>
      <c r="D35" s="25" t="e">
        <f>lc_detailed!AX36</f>
        <v>#DIV/0!</v>
      </c>
      <c r="E35" s="25" t="e">
        <f>lc_detailed!AY36</f>
        <v>#DIV/0!</v>
      </c>
      <c r="F35" s="25" t="e">
        <f>lc_detailed!AZ36</f>
        <v>#DIV/0!</v>
      </c>
      <c r="G35" s="25" t="e">
        <f>lc_detailed!BA36</f>
        <v>#DIV/0!</v>
      </c>
      <c r="H35" s="25" t="e">
        <f>lc_detailed!BB36</f>
        <v>#DIV/0!</v>
      </c>
      <c r="I35" s="25" t="e">
        <f>lc_detailed!BC36</f>
        <v>#DIV/0!</v>
      </c>
      <c r="J35" s="25" t="e">
        <f>lc_detailed!BD36</f>
        <v>#DIV/0!</v>
      </c>
      <c r="K35" s="25" t="e">
        <f>lc_detailed!BE36</f>
        <v>#DIV/0!</v>
      </c>
      <c r="L35" s="25" t="e">
        <f>lc_detailed!BF36</f>
        <v>#DIV/0!</v>
      </c>
      <c r="M35" s="25" t="e">
        <f>lc_detailed!BG36</f>
        <v>#DIV/0!</v>
      </c>
      <c r="N35" s="25" t="e">
        <f>lc_detailed!BH36</f>
        <v>#DIV/0!</v>
      </c>
      <c r="O35" s="25" t="e">
        <f>lc_detailed!BJ36</f>
        <v>#DIV/0!</v>
      </c>
      <c r="P35" s="25" t="e">
        <f>lc_detailed!BK36</f>
        <v>#DIV/0!</v>
      </c>
      <c r="Q35" s="25" t="e">
        <f>lc_detailed!AS36</f>
        <v>#DIV/0!</v>
      </c>
    </row>
    <row r="36" spans="1:17" x14ac:dyDescent="0.2">
      <c r="A36">
        <f>lc_detailed!AQ37</f>
        <v>0</v>
      </c>
      <c r="B36" s="25" t="e">
        <f>lc_detailed!AV37</f>
        <v>#DIV/0!</v>
      </c>
      <c r="C36" s="25" t="e">
        <f>lc_detailed!AW37</f>
        <v>#DIV/0!</v>
      </c>
      <c r="D36" s="25" t="e">
        <f>lc_detailed!AX37</f>
        <v>#DIV/0!</v>
      </c>
      <c r="E36" s="25" t="e">
        <f>lc_detailed!AY37</f>
        <v>#DIV/0!</v>
      </c>
      <c r="F36" s="25" t="e">
        <f>lc_detailed!AZ37</f>
        <v>#DIV/0!</v>
      </c>
      <c r="G36" s="25" t="e">
        <f>lc_detailed!BA37</f>
        <v>#DIV/0!</v>
      </c>
      <c r="H36" s="25" t="e">
        <f>lc_detailed!BB37</f>
        <v>#DIV/0!</v>
      </c>
      <c r="I36" s="25" t="e">
        <f>lc_detailed!BC37</f>
        <v>#DIV/0!</v>
      </c>
      <c r="J36" s="25" t="e">
        <f>lc_detailed!BD37</f>
        <v>#DIV/0!</v>
      </c>
      <c r="K36" s="25" t="e">
        <f>lc_detailed!BE37</f>
        <v>#DIV/0!</v>
      </c>
      <c r="L36" s="25" t="e">
        <f>lc_detailed!BF37</f>
        <v>#DIV/0!</v>
      </c>
      <c r="M36" s="25" t="e">
        <f>lc_detailed!BG37</f>
        <v>#DIV/0!</v>
      </c>
      <c r="N36" s="25" t="e">
        <f>lc_detailed!BH37</f>
        <v>#DIV/0!</v>
      </c>
      <c r="O36" s="25" t="e">
        <f>lc_detailed!BJ37</f>
        <v>#DIV/0!</v>
      </c>
      <c r="P36" s="25" t="e">
        <f>lc_detailed!BK37</f>
        <v>#DIV/0!</v>
      </c>
      <c r="Q36" s="25" t="e">
        <f>lc_detailed!AS37</f>
        <v>#DIV/0!</v>
      </c>
    </row>
    <row r="37" spans="1:17" x14ac:dyDescent="0.2">
      <c r="A37">
        <f>lc_detailed!AQ38</f>
        <v>0</v>
      </c>
      <c r="B37" s="25" t="e">
        <f>lc_detailed!AV38</f>
        <v>#DIV/0!</v>
      </c>
      <c r="C37" s="25" t="e">
        <f>lc_detailed!AW38</f>
        <v>#DIV/0!</v>
      </c>
      <c r="D37" s="25" t="e">
        <f>lc_detailed!AX38</f>
        <v>#DIV/0!</v>
      </c>
      <c r="E37" s="25" t="e">
        <f>lc_detailed!AY38</f>
        <v>#DIV/0!</v>
      </c>
      <c r="F37" s="25" t="e">
        <f>lc_detailed!AZ38</f>
        <v>#DIV/0!</v>
      </c>
      <c r="G37" s="25" t="e">
        <f>lc_detailed!BA38</f>
        <v>#DIV/0!</v>
      </c>
      <c r="H37" s="25" t="e">
        <f>lc_detailed!BB38</f>
        <v>#DIV/0!</v>
      </c>
      <c r="I37" s="25" t="e">
        <f>lc_detailed!BC38</f>
        <v>#DIV/0!</v>
      </c>
      <c r="J37" s="25" t="e">
        <f>lc_detailed!BD38</f>
        <v>#DIV/0!</v>
      </c>
      <c r="K37" s="25" t="e">
        <f>lc_detailed!BE38</f>
        <v>#DIV/0!</v>
      </c>
      <c r="L37" s="25" t="e">
        <f>lc_detailed!BF38</f>
        <v>#DIV/0!</v>
      </c>
      <c r="M37" s="25" t="e">
        <f>lc_detailed!BG38</f>
        <v>#DIV/0!</v>
      </c>
      <c r="N37" s="25" t="e">
        <f>lc_detailed!BH38</f>
        <v>#DIV/0!</v>
      </c>
      <c r="O37" s="25" t="e">
        <f>lc_detailed!BJ38</f>
        <v>#DIV/0!</v>
      </c>
      <c r="P37" s="25" t="e">
        <f>lc_detailed!BK38</f>
        <v>#DIV/0!</v>
      </c>
      <c r="Q37" s="25" t="e">
        <f>lc_detailed!AS38</f>
        <v>#DIV/0!</v>
      </c>
    </row>
    <row r="38" spans="1:17" x14ac:dyDescent="0.2">
      <c r="A38">
        <f>lc_detailed!AQ39</f>
        <v>0</v>
      </c>
      <c r="B38" s="25" t="e">
        <f>lc_detailed!AV39</f>
        <v>#DIV/0!</v>
      </c>
      <c r="C38" s="25" t="e">
        <f>lc_detailed!AW39</f>
        <v>#DIV/0!</v>
      </c>
      <c r="D38" s="25" t="e">
        <f>lc_detailed!AX39</f>
        <v>#DIV/0!</v>
      </c>
      <c r="E38" s="25" t="e">
        <f>lc_detailed!AY39</f>
        <v>#DIV/0!</v>
      </c>
      <c r="F38" s="25" t="e">
        <f>lc_detailed!AZ39</f>
        <v>#DIV/0!</v>
      </c>
      <c r="G38" s="25" t="e">
        <f>lc_detailed!BA39</f>
        <v>#DIV/0!</v>
      </c>
      <c r="H38" s="25" t="e">
        <f>lc_detailed!BB39</f>
        <v>#DIV/0!</v>
      </c>
      <c r="I38" s="25" t="e">
        <f>lc_detailed!BC39</f>
        <v>#DIV/0!</v>
      </c>
      <c r="J38" s="25" t="e">
        <f>lc_detailed!BD39</f>
        <v>#DIV/0!</v>
      </c>
      <c r="K38" s="25" t="e">
        <f>lc_detailed!BE39</f>
        <v>#DIV/0!</v>
      </c>
      <c r="L38" s="25" t="e">
        <f>lc_detailed!BF39</f>
        <v>#DIV/0!</v>
      </c>
      <c r="M38" s="25" t="e">
        <f>lc_detailed!BG39</f>
        <v>#DIV/0!</v>
      </c>
      <c r="N38" s="25" t="e">
        <f>lc_detailed!BH39</f>
        <v>#DIV/0!</v>
      </c>
      <c r="O38" s="25" t="e">
        <f>lc_detailed!BJ39</f>
        <v>#DIV/0!</v>
      </c>
      <c r="P38" s="25" t="e">
        <f>lc_detailed!BK39</f>
        <v>#DIV/0!</v>
      </c>
      <c r="Q38" s="25" t="e">
        <f>lc_detailed!AS39</f>
        <v>#DIV/0!</v>
      </c>
    </row>
    <row r="39" spans="1:17" x14ac:dyDescent="0.2">
      <c r="A39">
        <f>lc_detailed!AQ40</f>
        <v>0</v>
      </c>
      <c r="B39" s="25" t="e">
        <f>lc_detailed!AV40</f>
        <v>#DIV/0!</v>
      </c>
      <c r="C39" s="25" t="e">
        <f>lc_detailed!AW40</f>
        <v>#DIV/0!</v>
      </c>
      <c r="D39" s="25" t="e">
        <f>lc_detailed!AX40</f>
        <v>#DIV/0!</v>
      </c>
      <c r="E39" s="25" t="e">
        <f>lc_detailed!AY40</f>
        <v>#DIV/0!</v>
      </c>
      <c r="F39" s="25" t="e">
        <f>lc_detailed!AZ40</f>
        <v>#DIV/0!</v>
      </c>
      <c r="G39" s="25" t="e">
        <f>lc_detailed!BA40</f>
        <v>#DIV/0!</v>
      </c>
      <c r="H39" s="25" t="e">
        <f>lc_detailed!BB40</f>
        <v>#DIV/0!</v>
      </c>
      <c r="I39" s="25" t="e">
        <f>lc_detailed!BC40</f>
        <v>#DIV/0!</v>
      </c>
      <c r="J39" s="25" t="e">
        <f>lc_detailed!BD40</f>
        <v>#DIV/0!</v>
      </c>
      <c r="K39" s="25" t="e">
        <f>lc_detailed!BE40</f>
        <v>#DIV/0!</v>
      </c>
      <c r="L39" s="25" t="e">
        <f>lc_detailed!BF40</f>
        <v>#DIV/0!</v>
      </c>
      <c r="M39" s="25" t="e">
        <f>lc_detailed!BG40</f>
        <v>#DIV/0!</v>
      </c>
      <c r="N39" s="25" t="e">
        <f>lc_detailed!BH40</f>
        <v>#DIV/0!</v>
      </c>
      <c r="O39" s="25" t="e">
        <f>lc_detailed!BJ40</f>
        <v>#DIV/0!</v>
      </c>
      <c r="P39" s="25" t="e">
        <f>lc_detailed!BK40</f>
        <v>#DIV/0!</v>
      </c>
      <c r="Q39" s="25" t="e">
        <f>lc_detailed!AS40</f>
        <v>#DIV/0!</v>
      </c>
    </row>
    <row r="40" spans="1:17" x14ac:dyDescent="0.2">
      <c r="A40">
        <f>lc_detailed!AQ41</f>
        <v>0</v>
      </c>
      <c r="B40" s="25" t="e">
        <f>lc_detailed!AV41</f>
        <v>#DIV/0!</v>
      </c>
      <c r="C40" s="25" t="e">
        <f>lc_detailed!AW41</f>
        <v>#DIV/0!</v>
      </c>
      <c r="D40" s="25" t="e">
        <f>lc_detailed!AX41</f>
        <v>#DIV/0!</v>
      </c>
      <c r="E40" s="25" t="e">
        <f>lc_detailed!AY41</f>
        <v>#DIV/0!</v>
      </c>
      <c r="F40" s="25" t="e">
        <f>lc_detailed!AZ41</f>
        <v>#DIV/0!</v>
      </c>
      <c r="G40" s="25" t="e">
        <f>lc_detailed!BA41</f>
        <v>#DIV/0!</v>
      </c>
      <c r="H40" s="25" t="e">
        <f>lc_detailed!BB41</f>
        <v>#DIV/0!</v>
      </c>
      <c r="I40" s="25" t="e">
        <f>lc_detailed!BC41</f>
        <v>#DIV/0!</v>
      </c>
      <c r="J40" s="25" t="e">
        <f>lc_detailed!BD41</f>
        <v>#DIV/0!</v>
      </c>
      <c r="K40" s="25" t="e">
        <f>lc_detailed!BE41</f>
        <v>#DIV/0!</v>
      </c>
      <c r="L40" s="25" t="e">
        <f>lc_detailed!BF41</f>
        <v>#DIV/0!</v>
      </c>
      <c r="M40" s="25" t="e">
        <f>lc_detailed!BG41</f>
        <v>#DIV/0!</v>
      </c>
      <c r="N40" s="25" t="e">
        <f>lc_detailed!BH41</f>
        <v>#DIV/0!</v>
      </c>
      <c r="O40" s="25" t="e">
        <f>lc_detailed!BJ41</f>
        <v>#DIV/0!</v>
      </c>
      <c r="P40" s="25" t="e">
        <f>lc_detailed!BK41</f>
        <v>#DIV/0!</v>
      </c>
      <c r="Q40" s="25" t="e">
        <f>lc_detailed!AS41</f>
        <v>#DIV/0!</v>
      </c>
    </row>
    <row r="41" spans="1:17" x14ac:dyDescent="0.2">
      <c r="A41">
        <f>lc_detailed!AQ42</f>
        <v>0</v>
      </c>
      <c r="B41" s="25" t="e">
        <f>lc_detailed!AV42</f>
        <v>#DIV/0!</v>
      </c>
      <c r="C41" s="25" t="e">
        <f>lc_detailed!AW42</f>
        <v>#DIV/0!</v>
      </c>
      <c r="D41" s="25" t="e">
        <f>lc_detailed!AX42</f>
        <v>#DIV/0!</v>
      </c>
      <c r="E41" s="25" t="e">
        <f>lc_detailed!AY42</f>
        <v>#DIV/0!</v>
      </c>
      <c r="F41" s="25" t="e">
        <f>lc_detailed!AZ42</f>
        <v>#DIV/0!</v>
      </c>
      <c r="G41" s="25" t="e">
        <f>lc_detailed!BA42</f>
        <v>#DIV/0!</v>
      </c>
      <c r="H41" s="25" t="e">
        <f>lc_detailed!BB42</f>
        <v>#DIV/0!</v>
      </c>
      <c r="I41" s="25" t="e">
        <f>lc_detailed!BC42</f>
        <v>#DIV/0!</v>
      </c>
      <c r="J41" s="25" t="e">
        <f>lc_detailed!BD42</f>
        <v>#DIV/0!</v>
      </c>
      <c r="K41" s="25" t="e">
        <f>lc_detailed!BE42</f>
        <v>#DIV/0!</v>
      </c>
      <c r="L41" s="25" t="e">
        <f>lc_detailed!BF42</f>
        <v>#DIV/0!</v>
      </c>
      <c r="M41" s="25" t="e">
        <f>lc_detailed!BG42</f>
        <v>#DIV/0!</v>
      </c>
      <c r="N41" s="25" t="e">
        <f>lc_detailed!BH42</f>
        <v>#DIV/0!</v>
      </c>
      <c r="O41" s="25" t="e">
        <f>lc_detailed!BJ42</f>
        <v>#DIV/0!</v>
      </c>
      <c r="P41" s="25" t="e">
        <f>lc_detailed!BK42</f>
        <v>#DIV/0!</v>
      </c>
      <c r="Q41" s="25" t="e">
        <f>lc_detailed!AS42</f>
        <v>#DIV/0!</v>
      </c>
    </row>
    <row r="42" spans="1:17" x14ac:dyDescent="0.2">
      <c r="A42">
        <f>lc_detailed!AQ43</f>
        <v>0</v>
      </c>
      <c r="B42" s="25" t="e">
        <f>lc_detailed!AV43</f>
        <v>#DIV/0!</v>
      </c>
      <c r="C42" s="25" t="e">
        <f>lc_detailed!AW43</f>
        <v>#DIV/0!</v>
      </c>
      <c r="D42" s="25" t="e">
        <f>lc_detailed!AX43</f>
        <v>#DIV/0!</v>
      </c>
      <c r="E42" s="25" t="e">
        <f>lc_detailed!AY43</f>
        <v>#DIV/0!</v>
      </c>
      <c r="F42" s="25" t="e">
        <f>lc_detailed!AZ43</f>
        <v>#DIV/0!</v>
      </c>
      <c r="G42" s="25" t="e">
        <f>lc_detailed!BA43</f>
        <v>#DIV/0!</v>
      </c>
      <c r="H42" s="25" t="e">
        <f>lc_detailed!BB43</f>
        <v>#DIV/0!</v>
      </c>
      <c r="I42" s="25" t="e">
        <f>lc_detailed!BC43</f>
        <v>#DIV/0!</v>
      </c>
      <c r="J42" s="25" t="e">
        <f>lc_detailed!BD43</f>
        <v>#DIV/0!</v>
      </c>
      <c r="K42" s="25" t="e">
        <f>lc_detailed!BE43</f>
        <v>#DIV/0!</v>
      </c>
      <c r="L42" s="25" t="e">
        <f>lc_detailed!BF43</f>
        <v>#DIV/0!</v>
      </c>
      <c r="M42" s="25" t="e">
        <f>lc_detailed!BG43</f>
        <v>#DIV/0!</v>
      </c>
      <c r="N42" s="25" t="e">
        <f>lc_detailed!BH43</f>
        <v>#DIV/0!</v>
      </c>
      <c r="O42" s="25" t="e">
        <f>lc_detailed!BJ43</f>
        <v>#DIV/0!</v>
      </c>
      <c r="P42" s="25" t="e">
        <f>lc_detailed!BK43</f>
        <v>#DIV/0!</v>
      </c>
      <c r="Q42" s="25" t="e">
        <f>lc_detailed!AS43</f>
        <v>#DIV/0!</v>
      </c>
    </row>
    <row r="43" spans="1:17" x14ac:dyDescent="0.2">
      <c r="A43">
        <f>lc_detailed!AQ44</f>
        <v>0</v>
      </c>
      <c r="B43" s="25" t="e">
        <f>lc_detailed!AV44</f>
        <v>#DIV/0!</v>
      </c>
      <c r="C43" s="25" t="e">
        <f>lc_detailed!AW44</f>
        <v>#DIV/0!</v>
      </c>
      <c r="D43" s="25" t="e">
        <f>lc_detailed!AX44</f>
        <v>#DIV/0!</v>
      </c>
      <c r="E43" s="25" t="e">
        <f>lc_detailed!AY44</f>
        <v>#DIV/0!</v>
      </c>
      <c r="F43" s="25" t="e">
        <f>lc_detailed!AZ44</f>
        <v>#DIV/0!</v>
      </c>
      <c r="G43" s="25" t="e">
        <f>lc_detailed!BA44</f>
        <v>#DIV/0!</v>
      </c>
      <c r="H43" s="25" t="e">
        <f>lc_detailed!BB44</f>
        <v>#DIV/0!</v>
      </c>
      <c r="I43" s="25" t="e">
        <f>lc_detailed!BC44</f>
        <v>#DIV/0!</v>
      </c>
      <c r="J43" s="25" t="e">
        <f>lc_detailed!BD44</f>
        <v>#DIV/0!</v>
      </c>
      <c r="K43" s="25" t="e">
        <f>lc_detailed!BE44</f>
        <v>#DIV/0!</v>
      </c>
      <c r="L43" s="25" t="e">
        <f>lc_detailed!BF44</f>
        <v>#DIV/0!</v>
      </c>
      <c r="M43" s="25" t="e">
        <f>lc_detailed!BG44</f>
        <v>#DIV/0!</v>
      </c>
      <c r="N43" s="25" t="e">
        <f>lc_detailed!BH44</f>
        <v>#DIV/0!</v>
      </c>
      <c r="O43" s="25" t="e">
        <f>lc_detailed!BJ44</f>
        <v>#DIV/0!</v>
      </c>
      <c r="P43" s="25" t="e">
        <f>lc_detailed!BK44</f>
        <v>#DIV/0!</v>
      </c>
      <c r="Q43" s="25" t="e">
        <f>lc_detailed!AS44</f>
        <v>#DIV/0!</v>
      </c>
    </row>
    <row r="44" spans="1:17" x14ac:dyDescent="0.2">
      <c r="A44">
        <f>lc_detailed!AQ45</f>
        <v>0</v>
      </c>
      <c r="B44" s="25" t="e">
        <f>lc_detailed!AV45</f>
        <v>#DIV/0!</v>
      </c>
      <c r="C44" s="25" t="e">
        <f>lc_detailed!AW45</f>
        <v>#DIV/0!</v>
      </c>
      <c r="D44" s="25" t="e">
        <f>lc_detailed!AX45</f>
        <v>#DIV/0!</v>
      </c>
      <c r="E44" s="25" t="e">
        <f>lc_detailed!AY45</f>
        <v>#DIV/0!</v>
      </c>
      <c r="F44" s="25" t="e">
        <f>lc_detailed!AZ45</f>
        <v>#DIV/0!</v>
      </c>
      <c r="G44" s="25" t="e">
        <f>lc_detailed!BA45</f>
        <v>#DIV/0!</v>
      </c>
      <c r="H44" s="25" t="e">
        <f>lc_detailed!BB45</f>
        <v>#DIV/0!</v>
      </c>
      <c r="I44" s="25" t="e">
        <f>lc_detailed!BC45</f>
        <v>#DIV/0!</v>
      </c>
      <c r="J44" s="25" t="e">
        <f>lc_detailed!BD45</f>
        <v>#DIV/0!</v>
      </c>
      <c r="K44" s="25" t="e">
        <f>lc_detailed!BE45</f>
        <v>#DIV/0!</v>
      </c>
      <c r="L44" s="25" t="e">
        <f>lc_detailed!BF45</f>
        <v>#DIV/0!</v>
      </c>
      <c r="M44" s="25" t="e">
        <f>lc_detailed!BG45</f>
        <v>#DIV/0!</v>
      </c>
      <c r="N44" s="25" t="e">
        <f>lc_detailed!BH45</f>
        <v>#DIV/0!</v>
      </c>
      <c r="O44" s="25" t="e">
        <f>lc_detailed!BJ45</f>
        <v>#DIV/0!</v>
      </c>
      <c r="P44" s="25" t="e">
        <f>lc_detailed!BK45</f>
        <v>#DIV/0!</v>
      </c>
      <c r="Q44" s="25" t="e">
        <f>lc_detailed!AS45</f>
        <v>#DIV/0!</v>
      </c>
    </row>
    <row r="45" spans="1:17" x14ac:dyDescent="0.2">
      <c r="A45">
        <f>lc_detailed!AQ46</f>
        <v>0</v>
      </c>
      <c r="B45" s="25" t="e">
        <f>lc_detailed!AV46</f>
        <v>#DIV/0!</v>
      </c>
      <c r="C45" s="25" t="e">
        <f>lc_detailed!AW46</f>
        <v>#DIV/0!</v>
      </c>
      <c r="D45" s="25" t="e">
        <f>lc_detailed!AX46</f>
        <v>#DIV/0!</v>
      </c>
      <c r="E45" s="25" t="e">
        <f>lc_detailed!AY46</f>
        <v>#DIV/0!</v>
      </c>
      <c r="F45" s="25" t="e">
        <f>lc_detailed!AZ46</f>
        <v>#DIV/0!</v>
      </c>
      <c r="G45" s="25" t="e">
        <f>lc_detailed!BA46</f>
        <v>#DIV/0!</v>
      </c>
      <c r="H45" s="25" t="e">
        <f>lc_detailed!BB46</f>
        <v>#DIV/0!</v>
      </c>
      <c r="I45" s="25" t="e">
        <f>lc_detailed!BC46</f>
        <v>#DIV/0!</v>
      </c>
      <c r="J45" s="25" t="e">
        <f>lc_detailed!BD46</f>
        <v>#DIV/0!</v>
      </c>
      <c r="K45" s="25" t="e">
        <f>lc_detailed!BE46</f>
        <v>#DIV/0!</v>
      </c>
      <c r="L45" s="25" t="e">
        <f>lc_detailed!BF46</f>
        <v>#DIV/0!</v>
      </c>
      <c r="M45" s="25" t="e">
        <f>lc_detailed!BG46</f>
        <v>#DIV/0!</v>
      </c>
      <c r="N45" s="25" t="e">
        <f>lc_detailed!BH46</f>
        <v>#DIV/0!</v>
      </c>
      <c r="O45" s="25" t="e">
        <f>lc_detailed!BJ46</f>
        <v>#DIV/0!</v>
      </c>
      <c r="P45" s="25" t="e">
        <f>lc_detailed!BK46</f>
        <v>#DIV/0!</v>
      </c>
      <c r="Q45" s="25" t="e">
        <f>lc_detailed!AS46</f>
        <v>#DIV/0!</v>
      </c>
    </row>
    <row r="46" spans="1:17" x14ac:dyDescent="0.2">
      <c r="A46">
        <f>lc_detailed!AQ47</f>
        <v>0</v>
      </c>
      <c r="B46" s="25" t="e">
        <f>lc_detailed!AV47</f>
        <v>#DIV/0!</v>
      </c>
      <c r="C46" s="25" t="e">
        <f>lc_detailed!AW47</f>
        <v>#DIV/0!</v>
      </c>
      <c r="D46" s="25" t="e">
        <f>lc_detailed!AX47</f>
        <v>#DIV/0!</v>
      </c>
      <c r="E46" s="25" t="e">
        <f>lc_detailed!AY47</f>
        <v>#DIV/0!</v>
      </c>
      <c r="F46" s="25" t="e">
        <f>lc_detailed!AZ47</f>
        <v>#DIV/0!</v>
      </c>
      <c r="G46" s="25" t="e">
        <f>lc_detailed!BA47</f>
        <v>#DIV/0!</v>
      </c>
      <c r="H46" s="25" t="e">
        <f>lc_detailed!BB47</f>
        <v>#DIV/0!</v>
      </c>
      <c r="I46" s="25" t="e">
        <f>lc_detailed!BC47</f>
        <v>#DIV/0!</v>
      </c>
      <c r="J46" s="25" t="e">
        <f>lc_detailed!BD47</f>
        <v>#DIV/0!</v>
      </c>
      <c r="K46" s="25" t="e">
        <f>lc_detailed!BE47</f>
        <v>#DIV/0!</v>
      </c>
      <c r="L46" s="25" t="e">
        <f>lc_detailed!BF47</f>
        <v>#DIV/0!</v>
      </c>
      <c r="M46" s="25" t="e">
        <f>lc_detailed!BG47</f>
        <v>#DIV/0!</v>
      </c>
      <c r="N46" s="25" t="e">
        <f>lc_detailed!BH47</f>
        <v>#DIV/0!</v>
      </c>
      <c r="O46" s="25" t="e">
        <f>lc_detailed!BJ47</f>
        <v>#DIV/0!</v>
      </c>
      <c r="P46" s="25" t="e">
        <f>lc_detailed!BK47</f>
        <v>#DIV/0!</v>
      </c>
      <c r="Q46" s="25" t="e">
        <f>lc_detailed!AS47</f>
        <v>#DIV/0!</v>
      </c>
    </row>
    <row r="47" spans="1:17" x14ac:dyDescent="0.2">
      <c r="A47">
        <f>lc_detailed!AQ48</f>
        <v>0</v>
      </c>
      <c r="B47" s="25" t="e">
        <f>lc_detailed!AV48</f>
        <v>#DIV/0!</v>
      </c>
      <c r="C47" s="25" t="e">
        <f>lc_detailed!AW48</f>
        <v>#DIV/0!</v>
      </c>
      <c r="D47" s="25" t="e">
        <f>lc_detailed!AX48</f>
        <v>#DIV/0!</v>
      </c>
      <c r="E47" s="25" t="e">
        <f>lc_detailed!AY48</f>
        <v>#DIV/0!</v>
      </c>
      <c r="F47" s="25" t="e">
        <f>lc_detailed!AZ48</f>
        <v>#DIV/0!</v>
      </c>
      <c r="G47" s="25" t="e">
        <f>lc_detailed!BA48</f>
        <v>#DIV/0!</v>
      </c>
      <c r="H47" s="25" t="e">
        <f>lc_detailed!BB48</f>
        <v>#DIV/0!</v>
      </c>
      <c r="I47" s="25" t="e">
        <f>lc_detailed!BC48</f>
        <v>#DIV/0!</v>
      </c>
      <c r="J47" s="25" t="e">
        <f>lc_detailed!BD48</f>
        <v>#DIV/0!</v>
      </c>
      <c r="K47" s="25" t="e">
        <f>lc_detailed!BE48</f>
        <v>#DIV/0!</v>
      </c>
      <c r="L47" s="25" t="e">
        <f>lc_detailed!BF48</f>
        <v>#DIV/0!</v>
      </c>
      <c r="M47" s="25" t="e">
        <f>lc_detailed!BG48</f>
        <v>#DIV/0!</v>
      </c>
      <c r="N47" s="25" t="e">
        <f>lc_detailed!BH48</f>
        <v>#DIV/0!</v>
      </c>
      <c r="O47" s="25" t="e">
        <f>lc_detailed!BJ48</f>
        <v>#DIV/0!</v>
      </c>
      <c r="P47" s="25" t="e">
        <f>lc_detailed!BK48</f>
        <v>#DIV/0!</v>
      </c>
      <c r="Q47" s="25" t="e">
        <f>lc_detailed!AS48</f>
        <v>#DIV/0!</v>
      </c>
    </row>
    <row r="48" spans="1:17" x14ac:dyDescent="0.2">
      <c r="A48">
        <f>lc_detailed!AQ49</f>
        <v>0</v>
      </c>
      <c r="B48" s="25" t="e">
        <f>lc_detailed!AV49</f>
        <v>#DIV/0!</v>
      </c>
      <c r="C48" s="25" t="e">
        <f>lc_detailed!AW49</f>
        <v>#DIV/0!</v>
      </c>
      <c r="D48" s="25" t="e">
        <f>lc_detailed!AX49</f>
        <v>#DIV/0!</v>
      </c>
      <c r="E48" s="25" t="e">
        <f>lc_detailed!AY49</f>
        <v>#DIV/0!</v>
      </c>
      <c r="F48" s="25" t="e">
        <f>lc_detailed!AZ49</f>
        <v>#DIV/0!</v>
      </c>
      <c r="G48" s="25" t="e">
        <f>lc_detailed!BA49</f>
        <v>#DIV/0!</v>
      </c>
      <c r="H48" s="25" t="e">
        <f>lc_detailed!BB49</f>
        <v>#DIV/0!</v>
      </c>
      <c r="I48" s="25" t="e">
        <f>lc_detailed!BC49</f>
        <v>#DIV/0!</v>
      </c>
      <c r="J48" s="25" t="e">
        <f>lc_detailed!BD49</f>
        <v>#DIV/0!</v>
      </c>
      <c r="K48" s="25" t="e">
        <f>lc_detailed!BE49</f>
        <v>#DIV/0!</v>
      </c>
      <c r="L48" s="25" t="e">
        <f>lc_detailed!BF49</f>
        <v>#DIV/0!</v>
      </c>
      <c r="M48" s="25" t="e">
        <f>lc_detailed!BG49</f>
        <v>#DIV/0!</v>
      </c>
      <c r="N48" s="25" t="e">
        <f>lc_detailed!BH49</f>
        <v>#DIV/0!</v>
      </c>
      <c r="O48" s="25" t="e">
        <f>lc_detailed!BJ49</f>
        <v>#DIV/0!</v>
      </c>
      <c r="P48" s="25" t="e">
        <f>lc_detailed!BK49</f>
        <v>#DIV/0!</v>
      </c>
      <c r="Q48" s="25" t="e">
        <f>lc_detailed!AS49</f>
        <v>#DIV/0!</v>
      </c>
    </row>
    <row r="49" spans="1:17" x14ac:dyDescent="0.2">
      <c r="A49">
        <f>lc_detailed!AQ50</f>
        <v>0</v>
      </c>
      <c r="B49" s="25" t="e">
        <f>lc_detailed!AV50</f>
        <v>#DIV/0!</v>
      </c>
      <c r="C49" s="25" t="e">
        <f>lc_detailed!AW50</f>
        <v>#DIV/0!</v>
      </c>
      <c r="D49" s="25" t="e">
        <f>lc_detailed!AX50</f>
        <v>#DIV/0!</v>
      </c>
      <c r="E49" s="25" t="e">
        <f>lc_detailed!AY50</f>
        <v>#DIV/0!</v>
      </c>
      <c r="F49" s="25" t="e">
        <f>lc_detailed!AZ50</f>
        <v>#DIV/0!</v>
      </c>
      <c r="G49" s="25" t="e">
        <f>lc_detailed!BA50</f>
        <v>#DIV/0!</v>
      </c>
      <c r="H49" s="25" t="e">
        <f>lc_detailed!BB50</f>
        <v>#DIV/0!</v>
      </c>
      <c r="I49" s="25" t="e">
        <f>lc_detailed!BC50</f>
        <v>#DIV/0!</v>
      </c>
      <c r="J49" s="25" t="e">
        <f>lc_detailed!BD50</f>
        <v>#DIV/0!</v>
      </c>
      <c r="K49" s="25" t="e">
        <f>lc_detailed!BE50</f>
        <v>#DIV/0!</v>
      </c>
      <c r="L49" s="25" t="e">
        <f>lc_detailed!BF50</f>
        <v>#DIV/0!</v>
      </c>
      <c r="M49" s="25" t="e">
        <f>lc_detailed!BG50</f>
        <v>#DIV/0!</v>
      </c>
      <c r="N49" s="25" t="e">
        <f>lc_detailed!BH50</f>
        <v>#DIV/0!</v>
      </c>
      <c r="O49" s="25" t="e">
        <f>lc_detailed!BJ50</f>
        <v>#DIV/0!</v>
      </c>
      <c r="P49" s="25" t="e">
        <f>lc_detailed!BK50</f>
        <v>#DIV/0!</v>
      </c>
      <c r="Q49" s="25" t="e">
        <f>lc_detailed!AS50</f>
        <v>#DIV/0!</v>
      </c>
    </row>
    <row r="50" spans="1:17" x14ac:dyDescent="0.2">
      <c r="A50">
        <f>lc_detailed!AQ51</f>
        <v>0</v>
      </c>
      <c r="B50" s="25" t="e">
        <f>lc_detailed!AV51</f>
        <v>#DIV/0!</v>
      </c>
      <c r="C50" s="25" t="e">
        <f>lc_detailed!AW51</f>
        <v>#DIV/0!</v>
      </c>
      <c r="D50" s="25" t="e">
        <f>lc_detailed!AX51</f>
        <v>#DIV/0!</v>
      </c>
      <c r="E50" s="25" t="e">
        <f>lc_detailed!AY51</f>
        <v>#DIV/0!</v>
      </c>
      <c r="F50" s="25" t="e">
        <f>lc_detailed!AZ51</f>
        <v>#DIV/0!</v>
      </c>
      <c r="G50" s="25" t="e">
        <f>lc_detailed!BA51</f>
        <v>#DIV/0!</v>
      </c>
      <c r="H50" s="25" t="e">
        <f>lc_detailed!BB51</f>
        <v>#DIV/0!</v>
      </c>
      <c r="I50" s="25" t="e">
        <f>lc_detailed!BC51</f>
        <v>#DIV/0!</v>
      </c>
      <c r="J50" s="25" t="e">
        <f>lc_detailed!BD51</f>
        <v>#DIV/0!</v>
      </c>
      <c r="K50" s="25" t="e">
        <f>lc_detailed!BE51</f>
        <v>#DIV/0!</v>
      </c>
      <c r="L50" s="25" t="e">
        <f>lc_detailed!BF51</f>
        <v>#DIV/0!</v>
      </c>
      <c r="M50" s="25" t="e">
        <f>lc_detailed!BG51</f>
        <v>#DIV/0!</v>
      </c>
      <c r="N50" s="25" t="e">
        <f>lc_detailed!BH51</f>
        <v>#DIV/0!</v>
      </c>
      <c r="O50" s="25" t="e">
        <f>lc_detailed!BJ51</f>
        <v>#DIV/0!</v>
      </c>
      <c r="P50" s="25" t="e">
        <f>lc_detailed!BK51</f>
        <v>#DIV/0!</v>
      </c>
      <c r="Q50" s="25" t="e">
        <f>lc_detailed!AS51</f>
        <v>#DIV/0!</v>
      </c>
    </row>
    <row r="51" spans="1:17" x14ac:dyDescent="0.2">
      <c r="A51">
        <f>lc_detailed!AQ52</f>
        <v>0</v>
      </c>
      <c r="B51" s="25" t="e">
        <f>lc_detailed!AV52</f>
        <v>#DIV/0!</v>
      </c>
      <c r="C51" s="25" t="e">
        <f>lc_detailed!AW52</f>
        <v>#DIV/0!</v>
      </c>
      <c r="D51" s="25" t="e">
        <f>lc_detailed!AX52</f>
        <v>#DIV/0!</v>
      </c>
      <c r="E51" s="25" t="e">
        <f>lc_detailed!AY52</f>
        <v>#DIV/0!</v>
      </c>
      <c r="F51" s="25" t="e">
        <f>lc_detailed!AZ52</f>
        <v>#DIV/0!</v>
      </c>
      <c r="G51" s="25" t="e">
        <f>lc_detailed!BA52</f>
        <v>#DIV/0!</v>
      </c>
      <c r="H51" s="25" t="e">
        <f>lc_detailed!BB52</f>
        <v>#DIV/0!</v>
      </c>
      <c r="I51" s="25" t="e">
        <f>lc_detailed!BC52</f>
        <v>#DIV/0!</v>
      </c>
      <c r="J51" s="25" t="e">
        <f>lc_detailed!BD52</f>
        <v>#DIV/0!</v>
      </c>
      <c r="K51" s="25" t="e">
        <f>lc_detailed!BE52</f>
        <v>#DIV/0!</v>
      </c>
      <c r="L51" s="25" t="e">
        <f>lc_detailed!BF52</f>
        <v>#DIV/0!</v>
      </c>
      <c r="M51" s="25" t="e">
        <f>lc_detailed!BG52</f>
        <v>#DIV/0!</v>
      </c>
      <c r="N51" s="25" t="e">
        <f>lc_detailed!BH52</f>
        <v>#DIV/0!</v>
      </c>
      <c r="O51" s="25" t="e">
        <f>lc_detailed!BJ52</f>
        <v>#DIV/0!</v>
      </c>
      <c r="P51" s="25" t="e">
        <f>lc_detailed!BK52</f>
        <v>#DIV/0!</v>
      </c>
      <c r="Q51" s="25" t="e">
        <f>lc_detailed!AS52</f>
        <v>#DIV/0!</v>
      </c>
    </row>
    <row r="52" spans="1:17" x14ac:dyDescent="0.2">
      <c r="A52">
        <f>lc_detailed!AQ53</f>
        <v>0</v>
      </c>
      <c r="B52" s="25" t="e">
        <f>lc_detailed!AV53</f>
        <v>#DIV/0!</v>
      </c>
      <c r="C52" s="25" t="e">
        <f>lc_detailed!AW53</f>
        <v>#DIV/0!</v>
      </c>
      <c r="D52" s="25" t="e">
        <f>lc_detailed!AX53</f>
        <v>#DIV/0!</v>
      </c>
      <c r="E52" s="25" t="e">
        <f>lc_detailed!AY53</f>
        <v>#DIV/0!</v>
      </c>
      <c r="F52" s="25" t="e">
        <f>lc_detailed!AZ53</f>
        <v>#DIV/0!</v>
      </c>
      <c r="G52" s="25" t="e">
        <f>lc_detailed!BA53</f>
        <v>#DIV/0!</v>
      </c>
      <c r="H52" s="25" t="e">
        <f>lc_detailed!BB53</f>
        <v>#DIV/0!</v>
      </c>
      <c r="I52" s="25" t="e">
        <f>lc_detailed!BC53</f>
        <v>#DIV/0!</v>
      </c>
      <c r="J52" s="25" t="e">
        <f>lc_detailed!BD53</f>
        <v>#DIV/0!</v>
      </c>
      <c r="K52" s="25" t="e">
        <f>lc_detailed!BE53</f>
        <v>#DIV/0!</v>
      </c>
      <c r="L52" s="25" t="e">
        <f>lc_detailed!BF53</f>
        <v>#DIV/0!</v>
      </c>
      <c r="M52" s="25" t="e">
        <f>lc_detailed!BG53</f>
        <v>#DIV/0!</v>
      </c>
      <c r="N52" s="25" t="e">
        <f>lc_detailed!BH53</f>
        <v>#DIV/0!</v>
      </c>
      <c r="O52" s="25" t="e">
        <f>lc_detailed!BJ53</f>
        <v>#DIV/0!</v>
      </c>
      <c r="P52" s="25" t="e">
        <f>lc_detailed!BK53</f>
        <v>#DIV/0!</v>
      </c>
      <c r="Q52" s="25" t="e">
        <f>lc_detailed!AS53</f>
        <v>#DIV/0!</v>
      </c>
    </row>
    <row r="53" spans="1:17" x14ac:dyDescent="0.2">
      <c r="A53">
        <f>lc_detailed!AQ54</f>
        <v>0</v>
      </c>
      <c r="B53" s="25" t="e">
        <f>lc_detailed!AV54</f>
        <v>#DIV/0!</v>
      </c>
      <c r="C53" s="25" t="e">
        <f>lc_detailed!AW54</f>
        <v>#DIV/0!</v>
      </c>
      <c r="D53" s="25" t="e">
        <f>lc_detailed!AX54</f>
        <v>#DIV/0!</v>
      </c>
      <c r="E53" s="25" t="e">
        <f>lc_detailed!AY54</f>
        <v>#DIV/0!</v>
      </c>
      <c r="F53" s="25" t="e">
        <f>lc_detailed!AZ54</f>
        <v>#DIV/0!</v>
      </c>
      <c r="G53" s="25" t="e">
        <f>lc_detailed!BA54</f>
        <v>#DIV/0!</v>
      </c>
      <c r="H53" s="25" t="e">
        <f>lc_detailed!BB54</f>
        <v>#DIV/0!</v>
      </c>
      <c r="I53" s="25" t="e">
        <f>lc_detailed!BC54</f>
        <v>#DIV/0!</v>
      </c>
      <c r="J53" s="25" t="e">
        <f>lc_detailed!BD54</f>
        <v>#DIV/0!</v>
      </c>
      <c r="K53" s="25" t="e">
        <f>lc_detailed!BE54</f>
        <v>#DIV/0!</v>
      </c>
      <c r="L53" s="25" t="e">
        <f>lc_detailed!BF54</f>
        <v>#DIV/0!</v>
      </c>
      <c r="M53" s="25" t="e">
        <f>lc_detailed!BG54</f>
        <v>#DIV/0!</v>
      </c>
      <c r="N53" s="25" t="e">
        <f>lc_detailed!BH54</f>
        <v>#DIV/0!</v>
      </c>
      <c r="O53" s="25" t="e">
        <f>lc_detailed!BJ54</f>
        <v>#DIV/0!</v>
      </c>
      <c r="P53" s="25" t="e">
        <f>lc_detailed!BK54</f>
        <v>#DIV/0!</v>
      </c>
      <c r="Q53" s="25" t="e">
        <f>lc_detailed!AS54</f>
        <v>#DIV/0!</v>
      </c>
    </row>
    <row r="54" spans="1:17" x14ac:dyDescent="0.2">
      <c r="A54">
        <f>lc_detailed!AQ55</f>
        <v>0</v>
      </c>
      <c r="B54" s="25" t="e">
        <f>lc_detailed!AV55</f>
        <v>#DIV/0!</v>
      </c>
      <c r="C54" s="25" t="e">
        <f>lc_detailed!AW55</f>
        <v>#DIV/0!</v>
      </c>
      <c r="D54" s="25" t="e">
        <f>lc_detailed!AX55</f>
        <v>#DIV/0!</v>
      </c>
      <c r="E54" s="25" t="e">
        <f>lc_detailed!AY55</f>
        <v>#DIV/0!</v>
      </c>
      <c r="F54" s="25" t="e">
        <f>lc_detailed!AZ55</f>
        <v>#DIV/0!</v>
      </c>
      <c r="G54" s="25" t="e">
        <f>lc_detailed!BA55</f>
        <v>#DIV/0!</v>
      </c>
      <c r="H54" s="25" t="e">
        <f>lc_detailed!BB55</f>
        <v>#DIV/0!</v>
      </c>
      <c r="I54" s="25" t="e">
        <f>lc_detailed!BC55</f>
        <v>#DIV/0!</v>
      </c>
      <c r="J54" s="25" t="e">
        <f>lc_detailed!BD55</f>
        <v>#DIV/0!</v>
      </c>
      <c r="K54" s="25" t="e">
        <f>lc_detailed!BE55</f>
        <v>#DIV/0!</v>
      </c>
      <c r="L54" s="25" t="e">
        <f>lc_detailed!BF55</f>
        <v>#DIV/0!</v>
      </c>
      <c r="M54" s="25" t="e">
        <f>lc_detailed!BG55</f>
        <v>#DIV/0!</v>
      </c>
      <c r="N54" s="25" t="e">
        <f>lc_detailed!BH55</f>
        <v>#DIV/0!</v>
      </c>
      <c r="O54" s="25" t="e">
        <f>lc_detailed!BJ55</f>
        <v>#DIV/0!</v>
      </c>
      <c r="P54" s="25" t="e">
        <f>lc_detailed!BK55</f>
        <v>#DIV/0!</v>
      </c>
      <c r="Q54" s="25" t="e">
        <f>lc_detailed!AS55</f>
        <v>#DIV/0!</v>
      </c>
    </row>
    <row r="55" spans="1:17" x14ac:dyDescent="0.2">
      <c r="A55">
        <f>lc_detailed!AQ56</f>
        <v>0</v>
      </c>
      <c r="B55" s="25" t="e">
        <f>lc_detailed!AV56</f>
        <v>#DIV/0!</v>
      </c>
      <c r="C55" s="25" t="e">
        <f>lc_detailed!AW56</f>
        <v>#DIV/0!</v>
      </c>
      <c r="D55" s="25" t="e">
        <f>lc_detailed!AX56</f>
        <v>#DIV/0!</v>
      </c>
      <c r="E55" s="25" t="e">
        <f>lc_detailed!AY56</f>
        <v>#DIV/0!</v>
      </c>
      <c r="F55" s="25" t="e">
        <f>lc_detailed!AZ56</f>
        <v>#DIV/0!</v>
      </c>
      <c r="G55" s="25" t="e">
        <f>lc_detailed!BA56</f>
        <v>#DIV/0!</v>
      </c>
      <c r="H55" s="25" t="e">
        <f>lc_detailed!BB56</f>
        <v>#DIV/0!</v>
      </c>
      <c r="I55" s="25" t="e">
        <f>lc_detailed!BC56</f>
        <v>#DIV/0!</v>
      </c>
      <c r="J55" s="25" t="e">
        <f>lc_detailed!BD56</f>
        <v>#DIV/0!</v>
      </c>
      <c r="K55" s="25" t="e">
        <f>lc_detailed!BE56</f>
        <v>#DIV/0!</v>
      </c>
      <c r="L55" s="25" t="e">
        <f>lc_detailed!BF56</f>
        <v>#DIV/0!</v>
      </c>
      <c r="M55" s="25" t="e">
        <f>lc_detailed!BG56</f>
        <v>#DIV/0!</v>
      </c>
      <c r="N55" s="25" t="e">
        <f>lc_detailed!BH56</f>
        <v>#DIV/0!</v>
      </c>
      <c r="O55" s="25" t="e">
        <f>lc_detailed!BJ56</f>
        <v>#DIV/0!</v>
      </c>
      <c r="P55" s="25" t="e">
        <f>lc_detailed!BK56</f>
        <v>#DIV/0!</v>
      </c>
      <c r="Q55" s="25" t="e">
        <f>lc_detailed!AS56</f>
        <v>#DIV/0!</v>
      </c>
    </row>
    <row r="56" spans="1:17" x14ac:dyDescent="0.2">
      <c r="A56">
        <f>lc_detailed!AQ57</f>
        <v>0</v>
      </c>
      <c r="B56" s="25" t="e">
        <f>lc_detailed!AV57</f>
        <v>#DIV/0!</v>
      </c>
      <c r="C56" s="25" t="e">
        <f>lc_detailed!AW57</f>
        <v>#DIV/0!</v>
      </c>
      <c r="D56" s="25" t="e">
        <f>lc_detailed!AX57</f>
        <v>#DIV/0!</v>
      </c>
      <c r="E56" s="25" t="e">
        <f>lc_detailed!AY57</f>
        <v>#DIV/0!</v>
      </c>
      <c r="F56" s="25" t="e">
        <f>lc_detailed!AZ57</f>
        <v>#DIV/0!</v>
      </c>
      <c r="G56" s="25" t="e">
        <f>lc_detailed!BA57</f>
        <v>#DIV/0!</v>
      </c>
      <c r="H56" s="25" t="e">
        <f>lc_detailed!BB57</f>
        <v>#DIV/0!</v>
      </c>
      <c r="I56" s="25" t="e">
        <f>lc_detailed!BC57</f>
        <v>#DIV/0!</v>
      </c>
      <c r="J56" s="25" t="e">
        <f>lc_detailed!BD57</f>
        <v>#DIV/0!</v>
      </c>
      <c r="K56" s="25" t="e">
        <f>lc_detailed!BE57</f>
        <v>#DIV/0!</v>
      </c>
      <c r="L56" s="25" t="e">
        <f>lc_detailed!BF57</f>
        <v>#DIV/0!</v>
      </c>
      <c r="M56" s="25" t="e">
        <f>lc_detailed!BG57</f>
        <v>#DIV/0!</v>
      </c>
      <c r="N56" s="25" t="e">
        <f>lc_detailed!BH57</f>
        <v>#DIV/0!</v>
      </c>
      <c r="O56" s="25" t="e">
        <f>lc_detailed!BJ57</f>
        <v>#DIV/0!</v>
      </c>
      <c r="P56" s="25" t="e">
        <f>lc_detailed!BK57</f>
        <v>#DIV/0!</v>
      </c>
      <c r="Q56" s="25" t="e">
        <f>lc_detailed!AS57</f>
        <v>#DIV/0!</v>
      </c>
    </row>
    <row r="57" spans="1:17" x14ac:dyDescent="0.2">
      <c r="A57">
        <f>lc_detailed!AQ58</f>
        <v>0</v>
      </c>
      <c r="B57" s="25" t="e">
        <f>lc_detailed!AV58</f>
        <v>#DIV/0!</v>
      </c>
      <c r="C57" s="25" t="e">
        <f>lc_detailed!AW58</f>
        <v>#DIV/0!</v>
      </c>
      <c r="D57" s="25" t="e">
        <f>lc_detailed!AX58</f>
        <v>#DIV/0!</v>
      </c>
      <c r="E57" s="25" t="e">
        <f>lc_detailed!AY58</f>
        <v>#DIV/0!</v>
      </c>
      <c r="F57" s="25" t="e">
        <f>lc_detailed!AZ58</f>
        <v>#DIV/0!</v>
      </c>
      <c r="G57" s="25" t="e">
        <f>lc_detailed!BA58</f>
        <v>#DIV/0!</v>
      </c>
      <c r="H57" s="25" t="e">
        <f>lc_detailed!BB58</f>
        <v>#DIV/0!</v>
      </c>
      <c r="I57" s="25" t="e">
        <f>lc_detailed!BC58</f>
        <v>#DIV/0!</v>
      </c>
      <c r="J57" s="25" t="e">
        <f>lc_detailed!BD58</f>
        <v>#DIV/0!</v>
      </c>
      <c r="K57" s="25" t="e">
        <f>lc_detailed!BE58</f>
        <v>#DIV/0!</v>
      </c>
      <c r="L57" s="25" t="e">
        <f>lc_detailed!BF58</f>
        <v>#DIV/0!</v>
      </c>
      <c r="M57" s="25" t="e">
        <f>lc_detailed!BG58</f>
        <v>#DIV/0!</v>
      </c>
      <c r="N57" s="25" t="e">
        <f>lc_detailed!BH58</f>
        <v>#DIV/0!</v>
      </c>
      <c r="O57" s="25" t="e">
        <f>lc_detailed!BJ58</f>
        <v>#DIV/0!</v>
      </c>
      <c r="P57" s="25" t="e">
        <f>lc_detailed!BK58</f>
        <v>#DIV/0!</v>
      </c>
      <c r="Q57" s="25" t="e">
        <f>lc_detailed!AS58</f>
        <v>#DIV/0!</v>
      </c>
    </row>
    <row r="58" spans="1:17" x14ac:dyDescent="0.2">
      <c r="A58">
        <f>lc_detailed!AQ59</f>
        <v>0</v>
      </c>
      <c r="B58" s="25" t="e">
        <f>lc_detailed!AV59</f>
        <v>#DIV/0!</v>
      </c>
      <c r="C58" s="25" t="e">
        <f>lc_detailed!AW59</f>
        <v>#DIV/0!</v>
      </c>
      <c r="D58" s="25" t="e">
        <f>lc_detailed!AX59</f>
        <v>#DIV/0!</v>
      </c>
      <c r="E58" s="25" t="e">
        <f>lc_detailed!AY59</f>
        <v>#DIV/0!</v>
      </c>
      <c r="F58" s="25" t="e">
        <f>lc_detailed!AZ59</f>
        <v>#DIV/0!</v>
      </c>
      <c r="G58" s="25" t="e">
        <f>lc_detailed!BA59</f>
        <v>#DIV/0!</v>
      </c>
      <c r="H58" s="25" t="e">
        <f>lc_detailed!BB59</f>
        <v>#DIV/0!</v>
      </c>
      <c r="I58" s="25" t="e">
        <f>lc_detailed!BC59</f>
        <v>#DIV/0!</v>
      </c>
      <c r="J58" s="25" t="e">
        <f>lc_detailed!BD59</f>
        <v>#DIV/0!</v>
      </c>
      <c r="K58" s="25" t="e">
        <f>lc_detailed!BE59</f>
        <v>#DIV/0!</v>
      </c>
      <c r="L58" s="25" t="e">
        <f>lc_detailed!BF59</f>
        <v>#DIV/0!</v>
      </c>
      <c r="M58" s="25" t="e">
        <f>lc_detailed!BG59</f>
        <v>#DIV/0!</v>
      </c>
      <c r="N58" s="25" t="e">
        <f>lc_detailed!BH59</f>
        <v>#DIV/0!</v>
      </c>
      <c r="O58" s="25" t="e">
        <f>lc_detailed!BJ59</f>
        <v>#DIV/0!</v>
      </c>
      <c r="P58" s="25" t="e">
        <f>lc_detailed!BK59</f>
        <v>#DIV/0!</v>
      </c>
      <c r="Q58" s="25" t="e">
        <f>lc_detailed!AS59</f>
        <v>#DIV/0!</v>
      </c>
    </row>
    <row r="59" spans="1:17" x14ac:dyDescent="0.2">
      <c r="A59">
        <f>lc_detailed!AQ60</f>
        <v>0</v>
      </c>
      <c r="B59" s="25" t="e">
        <f>lc_detailed!AV60</f>
        <v>#DIV/0!</v>
      </c>
      <c r="C59" s="25" t="e">
        <f>lc_detailed!AW60</f>
        <v>#DIV/0!</v>
      </c>
      <c r="D59" s="25" t="e">
        <f>lc_detailed!AX60</f>
        <v>#DIV/0!</v>
      </c>
      <c r="E59" s="25" t="e">
        <f>lc_detailed!AY60</f>
        <v>#DIV/0!</v>
      </c>
      <c r="F59" s="25" t="e">
        <f>lc_detailed!AZ60</f>
        <v>#DIV/0!</v>
      </c>
      <c r="G59" s="25" t="e">
        <f>lc_detailed!BA60</f>
        <v>#DIV/0!</v>
      </c>
      <c r="H59" s="25" t="e">
        <f>lc_detailed!BB60</f>
        <v>#DIV/0!</v>
      </c>
      <c r="I59" s="25" t="e">
        <f>lc_detailed!BC60</f>
        <v>#DIV/0!</v>
      </c>
      <c r="J59" s="25" t="e">
        <f>lc_detailed!BD60</f>
        <v>#DIV/0!</v>
      </c>
      <c r="K59" s="25" t="e">
        <f>lc_detailed!BE60</f>
        <v>#DIV/0!</v>
      </c>
      <c r="L59" s="25" t="e">
        <f>lc_detailed!BF60</f>
        <v>#DIV/0!</v>
      </c>
      <c r="M59" s="25" t="e">
        <f>lc_detailed!BG60</f>
        <v>#DIV/0!</v>
      </c>
      <c r="N59" s="25" t="e">
        <f>lc_detailed!BH60</f>
        <v>#DIV/0!</v>
      </c>
      <c r="O59" s="25" t="e">
        <f>lc_detailed!BJ60</f>
        <v>#DIV/0!</v>
      </c>
      <c r="P59" s="25" t="e">
        <f>lc_detailed!BK60</f>
        <v>#DIV/0!</v>
      </c>
      <c r="Q59" s="25" t="e">
        <f>lc_detailed!AS60</f>
        <v>#DIV/0!</v>
      </c>
    </row>
    <row r="60" spans="1:17" x14ac:dyDescent="0.2">
      <c r="A60">
        <f>lc_detailed!AQ61</f>
        <v>0</v>
      </c>
      <c r="B60" s="25" t="e">
        <f>lc_detailed!AV61</f>
        <v>#DIV/0!</v>
      </c>
      <c r="C60" s="25" t="e">
        <f>lc_detailed!AW61</f>
        <v>#DIV/0!</v>
      </c>
      <c r="D60" s="25" t="e">
        <f>lc_detailed!AX61</f>
        <v>#DIV/0!</v>
      </c>
      <c r="E60" s="25" t="e">
        <f>lc_detailed!AY61</f>
        <v>#DIV/0!</v>
      </c>
      <c r="F60" s="25" t="e">
        <f>lc_detailed!AZ61</f>
        <v>#DIV/0!</v>
      </c>
      <c r="G60" s="25" t="e">
        <f>lc_detailed!BA61</f>
        <v>#DIV/0!</v>
      </c>
      <c r="H60" s="25" t="e">
        <f>lc_detailed!BB61</f>
        <v>#DIV/0!</v>
      </c>
      <c r="I60" s="25" t="e">
        <f>lc_detailed!BC61</f>
        <v>#DIV/0!</v>
      </c>
      <c r="J60" s="25" t="e">
        <f>lc_detailed!BD61</f>
        <v>#DIV/0!</v>
      </c>
      <c r="K60" s="25" t="e">
        <f>lc_detailed!BE61</f>
        <v>#DIV/0!</v>
      </c>
      <c r="L60" s="25" t="e">
        <f>lc_detailed!BF61</f>
        <v>#DIV/0!</v>
      </c>
      <c r="M60" s="25" t="e">
        <f>lc_detailed!BG61</f>
        <v>#DIV/0!</v>
      </c>
      <c r="N60" s="25" t="e">
        <f>lc_detailed!BH61</f>
        <v>#DIV/0!</v>
      </c>
      <c r="O60" s="25" t="e">
        <f>lc_detailed!BJ61</f>
        <v>#DIV/0!</v>
      </c>
      <c r="P60" s="25" t="e">
        <f>lc_detailed!BK61</f>
        <v>#DIV/0!</v>
      </c>
      <c r="Q60" s="25" t="e">
        <f>lc_detailed!AS61</f>
        <v>#DIV/0!</v>
      </c>
    </row>
    <row r="61" spans="1:17" x14ac:dyDescent="0.2">
      <c r="A61">
        <f>lc_detailed!AQ62</f>
        <v>0</v>
      </c>
      <c r="B61" s="25" t="e">
        <f>lc_detailed!AV62</f>
        <v>#DIV/0!</v>
      </c>
      <c r="C61" s="25" t="e">
        <f>lc_detailed!AW62</f>
        <v>#DIV/0!</v>
      </c>
      <c r="D61" s="25" t="e">
        <f>lc_detailed!AX62</f>
        <v>#DIV/0!</v>
      </c>
      <c r="E61" s="25" t="e">
        <f>lc_detailed!AY62</f>
        <v>#DIV/0!</v>
      </c>
      <c r="F61" s="25" t="e">
        <f>lc_detailed!AZ62</f>
        <v>#DIV/0!</v>
      </c>
      <c r="G61" s="25" t="e">
        <f>lc_detailed!BA62</f>
        <v>#DIV/0!</v>
      </c>
      <c r="H61" s="25" t="e">
        <f>lc_detailed!BB62</f>
        <v>#DIV/0!</v>
      </c>
      <c r="I61" s="25" t="e">
        <f>lc_detailed!BC62</f>
        <v>#DIV/0!</v>
      </c>
      <c r="J61" s="25" t="e">
        <f>lc_detailed!BD62</f>
        <v>#DIV/0!</v>
      </c>
      <c r="K61" s="25" t="e">
        <f>lc_detailed!BE62</f>
        <v>#DIV/0!</v>
      </c>
      <c r="L61" s="25" t="e">
        <f>lc_detailed!BF62</f>
        <v>#DIV/0!</v>
      </c>
      <c r="M61" s="25" t="e">
        <f>lc_detailed!BG62</f>
        <v>#DIV/0!</v>
      </c>
      <c r="N61" s="25" t="e">
        <f>lc_detailed!BH62</f>
        <v>#DIV/0!</v>
      </c>
      <c r="O61" s="25" t="e">
        <f>lc_detailed!BJ62</f>
        <v>#DIV/0!</v>
      </c>
      <c r="P61" s="25" t="e">
        <f>lc_detailed!BK62</f>
        <v>#DIV/0!</v>
      </c>
      <c r="Q61" s="25" t="e">
        <f>lc_detailed!AS62</f>
        <v>#DIV/0!</v>
      </c>
    </row>
    <row r="62" spans="1:17" x14ac:dyDescent="0.2">
      <c r="A62">
        <f>lc_detailed!AQ63</f>
        <v>0</v>
      </c>
      <c r="B62" s="25" t="e">
        <f>lc_detailed!AV63</f>
        <v>#DIV/0!</v>
      </c>
      <c r="C62" s="25" t="e">
        <f>lc_detailed!AW63</f>
        <v>#DIV/0!</v>
      </c>
      <c r="D62" s="25" t="e">
        <f>lc_detailed!AX63</f>
        <v>#DIV/0!</v>
      </c>
      <c r="E62" s="25" t="e">
        <f>lc_detailed!AY63</f>
        <v>#DIV/0!</v>
      </c>
      <c r="F62" s="25" t="e">
        <f>lc_detailed!AZ63</f>
        <v>#DIV/0!</v>
      </c>
      <c r="G62" s="25" t="e">
        <f>lc_detailed!BA63</f>
        <v>#DIV/0!</v>
      </c>
      <c r="H62" s="25" t="e">
        <f>lc_detailed!BB63</f>
        <v>#DIV/0!</v>
      </c>
      <c r="I62" s="25" t="e">
        <f>lc_detailed!BC63</f>
        <v>#DIV/0!</v>
      </c>
      <c r="J62" s="25" t="e">
        <f>lc_detailed!BD63</f>
        <v>#DIV/0!</v>
      </c>
      <c r="K62" s="25" t="e">
        <f>lc_detailed!BE63</f>
        <v>#DIV/0!</v>
      </c>
      <c r="L62" s="25" t="e">
        <f>lc_detailed!BF63</f>
        <v>#DIV/0!</v>
      </c>
      <c r="M62" s="25" t="e">
        <f>lc_detailed!BG63</f>
        <v>#DIV/0!</v>
      </c>
      <c r="N62" s="25" t="e">
        <f>lc_detailed!BH63</f>
        <v>#DIV/0!</v>
      </c>
      <c r="O62" s="25" t="e">
        <f>lc_detailed!BJ63</f>
        <v>#DIV/0!</v>
      </c>
      <c r="P62" s="25" t="e">
        <f>lc_detailed!BK63</f>
        <v>#DIV/0!</v>
      </c>
      <c r="Q62" s="25" t="e">
        <f>lc_detailed!AS63</f>
        <v>#DIV/0!</v>
      </c>
    </row>
    <row r="63" spans="1:17" x14ac:dyDescent="0.2">
      <c r="A63">
        <f>lc_detailed!AQ64</f>
        <v>0</v>
      </c>
      <c r="B63" s="25" t="e">
        <f>lc_detailed!AV64</f>
        <v>#DIV/0!</v>
      </c>
      <c r="C63" s="25" t="e">
        <f>lc_detailed!AW64</f>
        <v>#DIV/0!</v>
      </c>
      <c r="D63" s="25" t="e">
        <f>lc_detailed!AX64</f>
        <v>#DIV/0!</v>
      </c>
      <c r="E63" s="25" t="e">
        <f>lc_detailed!AY64</f>
        <v>#DIV/0!</v>
      </c>
      <c r="F63" s="25" t="e">
        <f>lc_detailed!AZ64</f>
        <v>#DIV/0!</v>
      </c>
      <c r="G63" s="25" t="e">
        <f>lc_detailed!BA64</f>
        <v>#DIV/0!</v>
      </c>
      <c r="H63" s="25" t="e">
        <f>lc_detailed!BB64</f>
        <v>#DIV/0!</v>
      </c>
      <c r="I63" s="25" t="e">
        <f>lc_detailed!BC64</f>
        <v>#DIV/0!</v>
      </c>
      <c r="J63" s="25" t="e">
        <f>lc_detailed!BD64</f>
        <v>#DIV/0!</v>
      </c>
      <c r="K63" s="25" t="e">
        <f>lc_detailed!BE64</f>
        <v>#DIV/0!</v>
      </c>
      <c r="L63" s="25" t="e">
        <f>lc_detailed!BF64</f>
        <v>#DIV/0!</v>
      </c>
      <c r="M63" s="25" t="e">
        <f>lc_detailed!BG64</f>
        <v>#DIV/0!</v>
      </c>
      <c r="N63" s="25" t="e">
        <f>lc_detailed!BH64</f>
        <v>#DIV/0!</v>
      </c>
      <c r="O63" s="25" t="e">
        <f>lc_detailed!BJ64</f>
        <v>#DIV/0!</v>
      </c>
      <c r="P63" s="25" t="e">
        <f>lc_detailed!BK64</f>
        <v>#DIV/0!</v>
      </c>
      <c r="Q63" s="25" t="e">
        <f>lc_detailed!AS64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2026-06-29T23:57:30Z</dcterms:modified>
</cp:coreProperties>
</file>