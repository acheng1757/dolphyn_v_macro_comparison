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bio_ethylene_lcoe/"/>
    </mc:Choice>
  </mc:AlternateContent>
  <xr:revisionPtr revIDLastSave="0" documentId="13_ncr:1_{49BEF9DE-7E69-C546-8A54-D7920BCFE9FC}" xr6:coauthVersionLast="47" xr6:coauthVersionMax="47" xr10:uidLastSave="{00000000-0000-0000-0000-000000000000}"/>
  <bookViews>
    <workbookView xWindow="0" yWindow="740" windowWidth="29400" windowHeight="17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66" i="1" l="1"/>
  <c r="CG66" i="1"/>
  <c r="CF66" i="1"/>
  <c r="BY66" i="1"/>
  <c r="CK66" i="1" s="1"/>
  <c r="BG66" i="1"/>
  <c r="BE66" i="1"/>
  <c r="BC66" i="1"/>
  <c r="BA66" i="1"/>
  <c r="AW66" i="1"/>
  <c r="AV66" i="1"/>
  <c r="AR66" i="1"/>
  <c r="AQ66" i="1"/>
  <c r="R66" i="1" a="1"/>
  <c r="Y66" i="1" s="1"/>
  <c r="CL65" i="1"/>
  <c r="CG65" i="1"/>
  <c r="CF65" i="1"/>
  <c r="BY65" i="1"/>
  <c r="CK65" i="1" s="1"/>
  <c r="BG65" i="1"/>
  <c r="BE65" i="1"/>
  <c r="BC65" i="1"/>
  <c r="BA65" i="1"/>
  <c r="AW65" i="1"/>
  <c r="AV65" i="1"/>
  <c r="AR65" i="1"/>
  <c r="AQ65" i="1"/>
  <c r="AC65" i="1"/>
  <c r="U65" i="1"/>
  <c r="R65" i="1" a="1"/>
  <c r="AB65" i="1" s="1"/>
  <c r="CL64" i="1"/>
  <c r="CG64" i="1"/>
  <c r="CF64" i="1"/>
  <c r="BY64" i="1"/>
  <c r="CK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C64" i="1"/>
  <c r="X64" i="1"/>
  <c r="BZ64" i="1" s="1"/>
  <c r="U64" i="1"/>
  <c r="R64" i="1" a="1"/>
  <c r="AE64" i="1" s="1"/>
  <c r="CL63" i="1"/>
  <c r="CG63" i="1"/>
  <c r="CF63" i="1"/>
  <c r="BY63" i="1"/>
  <c r="CK63" i="1" s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C63" i="1"/>
  <c r="AA63" i="1"/>
  <c r="X63" i="1"/>
  <c r="BZ63" i="1" s="1"/>
  <c r="U63" i="1"/>
  <c r="S63" i="1"/>
  <c r="R63" i="1" a="1"/>
  <c r="Z63" i="1" s="1"/>
  <c r="CL62" i="1"/>
  <c r="CG62" i="1"/>
  <c r="CF62" i="1"/>
  <c r="BY62" i="1"/>
  <c r="CK62" i="1" s="1"/>
  <c r="BU62" i="1"/>
  <c r="BG62" i="1"/>
  <c r="M61" i="2" s="1"/>
  <c r="BE62" i="1"/>
  <c r="K61" i="2" s="1"/>
  <c r="BD62" i="1"/>
  <c r="J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AD62" i="1"/>
  <c r="AC62" i="1"/>
  <c r="AA62" i="1"/>
  <c r="X62" i="1"/>
  <c r="BZ62" i="1" s="1"/>
  <c r="V62" i="1"/>
  <c r="CD62" i="1" s="1"/>
  <c r="U62" i="1"/>
  <c r="BR62" i="1" s="1"/>
  <c r="AX62" i="1" s="1"/>
  <c r="D61" i="2" s="1"/>
  <c r="S62" i="1"/>
  <c r="BS62" i="1" s="1" a="1"/>
  <c r="BS62" i="1" s="1"/>
  <c r="AZ62" i="1" s="1"/>
  <c r="F61" i="2" s="1"/>
  <c r="R62" i="1" a="1"/>
  <c r="AB62" i="1" s="1"/>
  <c r="CL61" i="1"/>
  <c r="CG61" i="1"/>
  <c r="CF61" i="1"/>
  <c r="CD61" i="1"/>
  <c r="BY61" i="1"/>
  <c r="CK61" i="1" s="1"/>
  <c r="BP61" i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D61" i="1"/>
  <c r="AC61" i="1"/>
  <c r="BU61" i="1" s="1"/>
  <c r="BD61" i="1" s="1"/>
  <c r="J60" i="2" s="1"/>
  <c r="AA61" i="1"/>
  <c r="Y61" i="1"/>
  <c r="CJ61" i="1" s="1"/>
  <c r="X61" i="1"/>
  <c r="BZ61" i="1" s="1"/>
  <c r="V61" i="1"/>
  <c r="U61" i="1"/>
  <c r="BR61" i="1" s="1"/>
  <c r="AX61" i="1" s="1"/>
  <c r="D60" i="2" s="1"/>
  <c r="S61" i="1"/>
  <c r="BS61" i="1" s="1" a="1"/>
  <c r="BS61" i="1" s="1"/>
  <c r="AZ61" i="1" s="1"/>
  <c r="F60" i="2" s="1"/>
  <c r="R61" i="1" a="1"/>
  <c r="AE61" i="1" s="1"/>
  <c r="BW61" i="1" s="1"/>
  <c r="BH61" i="1" s="1"/>
  <c r="N60" i="2" s="1"/>
  <c r="R61" i="1"/>
  <c r="CL60" i="1"/>
  <c r="CK60" i="1"/>
  <c r="CG60" i="1"/>
  <c r="CF60" i="1"/>
  <c r="BY60" i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D60" i="1"/>
  <c r="BV60" i="1" s="1"/>
  <c r="BF60" i="1" s="1"/>
  <c r="L59" i="2" s="1"/>
  <c r="AC60" i="1"/>
  <c r="BU60" i="1" s="1"/>
  <c r="BD60" i="1" s="1"/>
  <c r="J59" i="2" s="1"/>
  <c r="AB60" i="1"/>
  <c r="AA60" i="1"/>
  <c r="CJ60" i="1" s="1"/>
  <c r="Y60" i="1"/>
  <c r="X60" i="1"/>
  <c r="BZ60" i="1" s="1"/>
  <c r="V60" i="1"/>
  <c r="CD60" i="1" s="1"/>
  <c r="U60" i="1"/>
  <c r="T60" i="1"/>
  <c r="BQ60" i="1" s="1"/>
  <c r="AY60" i="1" s="1"/>
  <c r="E59" i="2" s="1"/>
  <c r="S60" i="1"/>
  <c r="BS60" i="1" s="1" a="1"/>
  <c r="BS60" i="1" s="1"/>
  <c r="AZ60" i="1" s="1"/>
  <c r="F59" i="2" s="1"/>
  <c r="R60" i="1" a="1"/>
  <c r="Z60" i="1" s="1"/>
  <c r="CI60" i="1" s="1"/>
  <c r="R60" i="1"/>
  <c r="BP60" i="1" s="1"/>
  <c r="CL59" i="1"/>
  <c r="CG59" i="1"/>
  <c r="CF59" i="1"/>
  <c r="BY59" i="1"/>
  <c r="CK59" i="1" s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E59" i="1"/>
  <c r="BW59" i="1" s="1"/>
  <c r="BH59" i="1" s="1"/>
  <c r="N58" i="2" s="1"/>
  <c r="AD59" i="1"/>
  <c r="BV59" i="1" s="1"/>
  <c r="BF59" i="1" s="1"/>
  <c r="L58" i="2" s="1"/>
  <c r="AC59" i="1"/>
  <c r="AB59" i="1"/>
  <c r="AA59" i="1"/>
  <c r="Y59" i="1"/>
  <c r="CJ59" i="1" s="1"/>
  <c r="X59" i="1"/>
  <c r="BZ59" i="1" s="1"/>
  <c r="CD59" i="1" s="1"/>
  <c r="W59" i="1"/>
  <c r="BT59" i="1" s="1"/>
  <c r="BB59" i="1" s="1"/>
  <c r="H58" i="2" s="1"/>
  <c r="V59" i="1"/>
  <c r="BU59" i="1" s="1"/>
  <c r="BD59" i="1" s="1"/>
  <c r="J58" i="2" s="1"/>
  <c r="U59" i="1"/>
  <c r="BR59" i="1" s="1"/>
  <c r="AX59" i="1" s="1"/>
  <c r="D58" i="2" s="1"/>
  <c r="T59" i="1"/>
  <c r="BQ59" i="1" s="1"/>
  <c r="AY59" i="1" s="1"/>
  <c r="E58" i="2" s="1"/>
  <c r="S59" i="1"/>
  <c r="R59" i="1" a="1"/>
  <c r="Z59" i="1" s="1"/>
  <c r="CI59" i="1" s="1"/>
  <c r="R59" i="1"/>
  <c r="BP59" i="1" s="1"/>
  <c r="CL58" i="1"/>
  <c r="CG58" i="1"/>
  <c r="CF58" i="1"/>
  <c r="BY58" i="1"/>
  <c r="CK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Y58" i="1"/>
  <c r="X58" i="1"/>
  <c r="BZ58" i="1" s="1"/>
  <c r="R58" i="1" a="1"/>
  <c r="AD58" i="1" s="1"/>
  <c r="R58" i="1"/>
  <c r="BP58" i="1" s="1"/>
  <c r="CL57" i="1"/>
  <c r="CG57" i="1"/>
  <c r="CF57" i="1"/>
  <c r="BY57" i="1"/>
  <c r="CK57" i="1" s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C57" i="1"/>
  <c r="AB57" i="1"/>
  <c r="AA57" i="1"/>
  <c r="X57" i="1"/>
  <c r="BZ57" i="1" s="1"/>
  <c r="U57" i="1"/>
  <c r="T57" i="1"/>
  <c r="S57" i="1"/>
  <c r="R57" i="1" a="1"/>
  <c r="Y57" i="1" s="1"/>
  <c r="CL56" i="1"/>
  <c r="CG56" i="1"/>
  <c r="CF56" i="1"/>
  <c r="BY56" i="1"/>
  <c r="CK56" i="1" s="1"/>
  <c r="BG56" i="1"/>
  <c r="M55" i="2" s="1"/>
  <c r="BE56" i="1"/>
  <c r="K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AE56" i="1"/>
  <c r="BW56" i="1" s="1"/>
  <c r="BH56" i="1" s="1"/>
  <c r="N55" i="2" s="1"/>
  <c r="AD56" i="1"/>
  <c r="BV56" i="1" s="1"/>
  <c r="BF56" i="1" s="1"/>
  <c r="L55" i="2" s="1"/>
  <c r="AC56" i="1"/>
  <c r="AA56" i="1"/>
  <c r="X56" i="1"/>
  <c r="BZ56" i="1" s="1"/>
  <c r="CD56" i="1" s="1"/>
  <c r="W56" i="1"/>
  <c r="CE56" i="1" s="1"/>
  <c r="V56" i="1"/>
  <c r="BU56" i="1" s="1"/>
  <c r="BD56" i="1" s="1"/>
  <c r="J55" i="2" s="1"/>
  <c r="U56" i="1"/>
  <c r="BR56" i="1" s="1"/>
  <c r="AX56" i="1" s="1"/>
  <c r="D55" i="2" s="1"/>
  <c r="S56" i="1"/>
  <c r="BS56" i="1" s="1" a="1"/>
  <c r="BS56" i="1" s="1"/>
  <c r="AZ56" i="1" s="1"/>
  <c r="F55" i="2" s="1"/>
  <c r="R56" i="1" a="1"/>
  <c r="AB56" i="1" s="1"/>
  <c r="CL55" i="1"/>
  <c r="CG55" i="1"/>
  <c r="CF55" i="1"/>
  <c r="BY55" i="1"/>
  <c r="CK55" i="1" s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AD55" i="1"/>
  <c r="BV55" i="1" s="1"/>
  <c r="BF55" i="1" s="1"/>
  <c r="L54" i="2" s="1"/>
  <c r="Y55" i="1"/>
  <c r="V55" i="1"/>
  <c r="R55" i="1" a="1"/>
  <c r="AE55" i="1" s="1"/>
  <c r="BW55" i="1" s="1"/>
  <c r="BH55" i="1" s="1"/>
  <c r="N54" i="2" s="1"/>
  <c r="R55" i="1"/>
  <c r="BP55" i="1" s="1"/>
  <c r="CL54" i="1"/>
  <c r="CG54" i="1"/>
  <c r="CF54" i="1"/>
  <c r="BY54" i="1"/>
  <c r="CK54" i="1" s="1"/>
  <c r="BS54" i="1" a="1"/>
  <c r="BS54" i="1" s="1"/>
  <c r="AZ54" i="1" s="1"/>
  <c r="F53" i="2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D54" i="1"/>
  <c r="BV54" i="1" s="1"/>
  <c r="BF54" i="1" s="1"/>
  <c r="L53" i="2" s="1"/>
  <c r="AC54" i="1"/>
  <c r="BU54" i="1" s="1"/>
  <c r="BD54" i="1" s="1"/>
  <c r="J53" i="2" s="1"/>
  <c r="AB54" i="1"/>
  <c r="AA54" i="1"/>
  <c r="Y54" i="1"/>
  <c r="CJ54" i="1" s="1"/>
  <c r="X54" i="1"/>
  <c r="BZ54" i="1" s="1"/>
  <c r="CD54" i="1" s="1"/>
  <c r="V54" i="1"/>
  <c r="U54" i="1"/>
  <c r="BR54" i="1" s="1"/>
  <c r="AX54" i="1" s="1"/>
  <c r="D53" i="2" s="1"/>
  <c r="T54" i="1"/>
  <c r="BQ54" i="1" s="1"/>
  <c r="AY54" i="1" s="1"/>
  <c r="E53" i="2" s="1"/>
  <c r="S54" i="1"/>
  <c r="R54" i="1" a="1"/>
  <c r="Z54" i="1" s="1"/>
  <c r="CI54" i="1" s="1"/>
  <c r="R54" i="1"/>
  <c r="BP54" i="1" s="1"/>
  <c r="CL53" i="1"/>
  <c r="CJ53" i="1"/>
  <c r="CG53" i="1"/>
  <c r="CF53" i="1"/>
  <c r="BY53" i="1"/>
  <c r="CK53" i="1" s="1"/>
  <c r="BW53" i="1"/>
  <c r="BH53" i="1" s="1"/>
  <c r="N52" i="2" s="1"/>
  <c r="BV53" i="1"/>
  <c r="BS53" i="1" a="1"/>
  <c r="BS53" i="1" s="1"/>
  <c r="AZ53" i="1" s="1"/>
  <c r="F52" i="2" s="1"/>
  <c r="BP53" i="1"/>
  <c r="BG53" i="1"/>
  <c r="M52" i="2" s="1"/>
  <c r="BF53" i="1"/>
  <c r="L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E53" i="1"/>
  <c r="AD53" i="1"/>
  <c r="AC53" i="1"/>
  <c r="AB53" i="1"/>
  <c r="AA53" i="1"/>
  <c r="Y53" i="1"/>
  <c r="X53" i="1"/>
  <c r="BZ53" i="1" s="1"/>
  <c r="CD53" i="1" s="1"/>
  <c r="W53" i="1"/>
  <c r="BT53" i="1" s="1"/>
  <c r="BB53" i="1" s="1"/>
  <c r="H52" i="2" s="1"/>
  <c r="V53" i="1"/>
  <c r="BU53" i="1" s="1"/>
  <c r="BD53" i="1" s="1"/>
  <c r="J52" i="2" s="1"/>
  <c r="U53" i="1"/>
  <c r="BR53" i="1" s="1"/>
  <c r="AX53" i="1" s="1"/>
  <c r="D52" i="2" s="1"/>
  <c r="T53" i="1"/>
  <c r="BQ53" i="1" s="1"/>
  <c r="AY53" i="1" s="1"/>
  <c r="E52" i="2" s="1"/>
  <c r="S53" i="1"/>
  <c r="R53" i="1" a="1"/>
  <c r="Z53" i="1" s="1"/>
  <c r="CI53" i="1" s="1"/>
  <c r="BL53" i="1" s="1"/>
  <c r="BN53" i="1" s="1"/>
  <c r="R53" i="1"/>
  <c r="CL52" i="1"/>
  <c r="CG52" i="1"/>
  <c r="CF52" i="1"/>
  <c r="BY52" i="1"/>
  <c r="CK52" i="1" s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A52" i="1"/>
  <c r="S52" i="1"/>
  <c r="R52" i="1" a="1"/>
  <c r="X52" i="1" s="1"/>
  <c r="BZ52" i="1" s="1"/>
  <c r="CL51" i="1"/>
  <c r="CG51" i="1"/>
  <c r="CF51" i="1"/>
  <c r="BY51" i="1"/>
  <c r="CK51" i="1" s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D51" i="1"/>
  <c r="BV51" i="1" s="1"/>
  <c r="BF51" i="1" s="1"/>
  <c r="L50" i="2" s="1"/>
  <c r="AC51" i="1"/>
  <c r="BU51" i="1" s="1"/>
  <c r="BD51" i="1" s="1"/>
  <c r="J50" i="2" s="1"/>
  <c r="V51" i="1"/>
  <c r="U51" i="1"/>
  <c r="BR51" i="1" s="1"/>
  <c r="AX51" i="1" s="1"/>
  <c r="D50" i="2" s="1"/>
  <c r="R51" i="1" a="1"/>
  <c r="AA51" i="1" s="1"/>
  <c r="CL50" i="1"/>
  <c r="CK50" i="1"/>
  <c r="CG50" i="1"/>
  <c r="CF50" i="1"/>
  <c r="BY50" i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AC50" i="1"/>
  <c r="Y50" i="1"/>
  <c r="X50" i="1"/>
  <c r="BZ50" i="1" s="1"/>
  <c r="U50" i="1"/>
  <c r="R50" i="1" a="1"/>
  <c r="AD50" i="1" s="1"/>
  <c r="R50" i="1"/>
  <c r="BP50" i="1" s="1"/>
  <c r="CL49" i="1"/>
  <c r="CG49" i="1"/>
  <c r="CF49" i="1"/>
  <c r="BY49" i="1"/>
  <c r="CK49" i="1" s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B49" i="1"/>
  <c r="Z49" i="1"/>
  <c r="T49" i="1"/>
  <c r="R49" i="1" a="1"/>
  <c r="CL48" i="1"/>
  <c r="CG48" i="1"/>
  <c r="CF48" i="1"/>
  <c r="BY48" i="1"/>
  <c r="CK48" i="1" s="1"/>
  <c r="BV48" i="1"/>
  <c r="BG48" i="1"/>
  <c r="M47" i="2" s="1"/>
  <c r="BF48" i="1"/>
  <c r="L47" i="2" s="1"/>
  <c r="BE48" i="1"/>
  <c r="K47" i="2" s="1"/>
  <c r="BC48" i="1"/>
  <c r="I47" i="2" s="1"/>
  <c r="BA48" i="1"/>
  <c r="G47" i="2" s="1"/>
  <c r="AX48" i="1"/>
  <c r="D47" i="2" s="1"/>
  <c r="AW48" i="1"/>
  <c r="C47" i="2" s="1"/>
  <c r="AV48" i="1"/>
  <c r="B47" i="2" s="1"/>
  <c r="AR48" i="1"/>
  <c r="AQ48" i="1"/>
  <c r="A47" i="2" s="1"/>
  <c r="AE48" i="1"/>
  <c r="AD48" i="1"/>
  <c r="AC48" i="1"/>
  <c r="BU48" i="1" s="1"/>
  <c r="BD48" i="1" s="1"/>
  <c r="J47" i="2" s="1"/>
  <c r="AB48" i="1"/>
  <c r="AA48" i="1"/>
  <c r="Y48" i="1"/>
  <c r="X48" i="1"/>
  <c r="BZ48" i="1" s="1"/>
  <c r="CD48" i="1" s="1"/>
  <c r="W48" i="1"/>
  <c r="CE48" i="1" s="1"/>
  <c r="V48" i="1"/>
  <c r="BQ48" i="1" s="1"/>
  <c r="AY48" i="1" s="1"/>
  <c r="E47" i="2" s="1"/>
  <c r="U48" i="1"/>
  <c r="BR48" i="1" s="1"/>
  <c r="T48" i="1"/>
  <c r="S48" i="1"/>
  <c r="BS48" i="1" s="1" a="1"/>
  <c r="BS48" i="1" s="1"/>
  <c r="AZ48" i="1" s="1"/>
  <c r="F47" i="2" s="1"/>
  <c r="R48" i="1" a="1"/>
  <c r="Z48" i="1" s="1"/>
  <c r="CI48" i="1" s="1"/>
  <c r="BL48" i="1" s="1"/>
  <c r="BN48" i="1" s="1"/>
  <c r="R48" i="1"/>
  <c r="BP48" i="1" s="1"/>
  <c r="CL47" i="1"/>
  <c r="CK47" i="1"/>
  <c r="CG47" i="1"/>
  <c r="CF47" i="1"/>
  <c r="BY47" i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Z47" i="1"/>
  <c r="Y47" i="1"/>
  <c r="R47" i="1" a="1"/>
  <c r="R47" i="1"/>
  <c r="BP47" i="1" s="1"/>
  <c r="CL46" i="1"/>
  <c r="CG46" i="1"/>
  <c r="CF46" i="1"/>
  <c r="BY46" i="1"/>
  <c r="CK46" i="1" s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E46" i="1"/>
  <c r="AC46" i="1"/>
  <c r="AB46" i="1"/>
  <c r="AA46" i="1"/>
  <c r="Y46" i="1"/>
  <c r="X46" i="1"/>
  <c r="BZ46" i="1" s="1"/>
  <c r="W46" i="1"/>
  <c r="U46" i="1"/>
  <c r="T46" i="1"/>
  <c r="S46" i="1"/>
  <c r="R46" i="1" a="1"/>
  <c r="Z46" i="1" s="1"/>
  <c r="R46" i="1"/>
  <c r="BP46" i="1" s="1"/>
  <c r="CL45" i="1"/>
  <c r="CG45" i="1"/>
  <c r="CF45" i="1"/>
  <c r="BY45" i="1"/>
  <c r="CK45" i="1" s="1"/>
  <c r="BW45" i="1"/>
  <c r="BH45" i="1" s="1"/>
  <c r="N44" i="2" s="1"/>
  <c r="BV45" i="1"/>
  <c r="BF45" i="1" s="1"/>
  <c r="L44" i="2" s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AE45" i="1"/>
  <c r="AD45" i="1"/>
  <c r="AB45" i="1"/>
  <c r="X45" i="1"/>
  <c r="BZ45" i="1" s="1"/>
  <c r="CD45" i="1" s="1"/>
  <c r="W45" i="1"/>
  <c r="V45" i="1"/>
  <c r="T45" i="1"/>
  <c r="R45" i="1" a="1"/>
  <c r="AC45" i="1" s="1"/>
  <c r="BU45" i="1" s="1"/>
  <c r="BD45" i="1" s="1"/>
  <c r="J44" i="2" s="1"/>
  <c r="CL44" i="1"/>
  <c r="CG44" i="1"/>
  <c r="CF44" i="1"/>
  <c r="BY44" i="1"/>
  <c r="CK44" i="1" s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A44" i="1"/>
  <c r="Z44" i="1"/>
  <c r="Y44" i="1"/>
  <c r="S44" i="1"/>
  <c r="R44" i="1" a="1"/>
  <c r="R44" i="1"/>
  <c r="BP44" i="1" s="1"/>
  <c r="CL43" i="1"/>
  <c r="CG43" i="1"/>
  <c r="CF43" i="1"/>
  <c r="BY43" i="1"/>
  <c r="CK43" i="1" s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AD43" i="1"/>
  <c r="AC43" i="1"/>
  <c r="BU43" i="1" s="1"/>
  <c r="BD43" i="1" s="1"/>
  <c r="J42" i="2" s="1"/>
  <c r="AB43" i="1"/>
  <c r="V43" i="1"/>
  <c r="U43" i="1"/>
  <c r="T43" i="1"/>
  <c r="R43" i="1" a="1"/>
  <c r="AA43" i="1" s="1"/>
  <c r="CL42" i="1"/>
  <c r="CK42" i="1"/>
  <c r="CG42" i="1"/>
  <c r="CF42" i="1"/>
  <c r="BY42" i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AE42" i="1"/>
  <c r="AB42" i="1"/>
  <c r="X42" i="1"/>
  <c r="BZ42" i="1" s="1"/>
  <c r="R42" i="1" a="1"/>
  <c r="Z42" i="1" s="1"/>
  <c r="R42" i="1"/>
  <c r="BP42" i="1" s="1"/>
  <c r="CL41" i="1"/>
  <c r="CG41" i="1"/>
  <c r="CF41" i="1"/>
  <c r="BY41" i="1"/>
  <c r="CK41" i="1" s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W41" i="1"/>
  <c r="R41" i="1" a="1"/>
  <c r="AB41" i="1" s="1"/>
  <c r="CL40" i="1"/>
  <c r="CG40" i="1"/>
  <c r="CF40" i="1"/>
  <c r="BY40" i="1"/>
  <c r="CK40" i="1" s="1"/>
  <c r="BR40" i="1"/>
  <c r="AX40" i="1" s="1"/>
  <c r="D39" i="2" s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AD40" i="1"/>
  <c r="BV40" i="1" s="1"/>
  <c r="BF40" i="1" s="1"/>
  <c r="L39" i="2" s="1"/>
  <c r="AC40" i="1"/>
  <c r="BU40" i="1" s="1"/>
  <c r="BD40" i="1" s="1"/>
  <c r="J39" i="2" s="1"/>
  <c r="Z40" i="1"/>
  <c r="X40" i="1"/>
  <c r="BZ40" i="1" s="1"/>
  <c r="CD40" i="1" s="1"/>
  <c r="W40" i="1"/>
  <c r="V40" i="1"/>
  <c r="U40" i="1"/>
  <c r="R40" i="1" a="1"/>
  <c r="CL39" i="1"/>
  <c r="CG39" i="1"/>
  <c r="CF39" i="1"/>
  <c r="BY39" i="1"/>
  <c r="CK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Y39" i="1"/>
  <c r="R39" i="1" a="1"/>
  <c r="AC39" i="1" s="1"/>
  <c r="CL38" i="1"/>
  <c r="CG38" i="1"/>
  <c r="CF38" i="1"/>
  <c r="BY38" i="1"/>
  <c r="CK38" i="1" s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B38" i="1"/>
  <c r="R38" i="1" a="1"/>
  <c r="CL37" i="1"/>
  <c r="CG37" i="1"/>
  <c r="CF37" i="1"/>
  <c r="BY37" i="1"/>
  <c r="CK37" i="1" s="1"/>
  <c r="BP37" i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AE37" i="1"/>
  <c r="BW37" i="1" s="1"/>
  <c r="BH37" i="1" s="1"/>
  <c r="N36" i="2" s="1"/>
  <c r="AD37" i="1"/>
  <c r="AC37" i="1"/>
  <c r="AA37" i="1"/>
  <c r="Y37" i="1"/>
  <c r="X37" i="1"/>
  <c r="BZ37" i="1" s="1"/>
  <c r="W37" i="1"/>
  <c r="V37" i="1"/>
  <c r="U37" i="1"/>
  <c r="S37" i="1"/>
  <c r="R37" i="1" a="1"/>
  <c r="AB37" i="1" s="1"/>
  <c r="R37" i="1"/>
  <c r="CL36" i="1"/>
  <c r="CK36" i="1"/>
  <c r="CJ36" i="1"/>
  <c r="BM36" i="1" s="1"/>
  <c r="CG36" i="1"/>
  <c r="CF36" i="1"/>
  <c r="BY36" i="1"/>
  <c r="BQ36" i="1"/>
  <c r="AY36" i="1" s="1"/>
  <c r="E35" i="2" s="1"/>
  <c r="BP36" i="1"/>
  <c r="BJ36" i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D36" i="1"/>
  <c r="BV36" i="1" s="1"/>
  <c r="BF36" i="1" s="1"/>
  <c r="L35" i="2" s="1"/>
  <c r="AA36" i="1"/>
  <c r="Z36" i="1"/>
  <c r="Y36" i="1"/>
  <c r="V36" i="1"/>
  <c r="T36" i="1"/>
  <c r="S36" i="1"/>
  <c r="BS36" i="1" s="1" a="1"/>
  <c r="BS36" i="1" s="1"/>
  <c r="AZ36" i="1" s="1"/>
  <c r="F35" i="2" s="1"/>
  <c r="R36" i="1" a="1"/>
  <c r="X36" i="1" s="1"/>
  <c r="BZ36" i="1" s="1"/>
  <c r="CD36" i="1" s="1"/>
  <c r="R36" i="1"/>
  <c r="CL35" i="1"/>
  <c r="CG35" i="1"/>
  <c r="CF35" i="1"/>
  <c r="BY35" i="1"/>
  <c r="CK35" i="1" s="1"/>
  <c r="BS35" i="1" a="1"/>
  <c r="BS35" i="1" s="1"/>
  <c r="BG35" i="1"/>
  <c r="M34" i="2" s="1"/>
  <c r="BE35" i="1"/>
  <c r="K34" i="2" s="1"/>
  <c r="BC35" i="1"/>
  <c r="I34" i="2" s="1"/>
  <c r="BA35" i="1"/>
  <c r="G34" i="2" s="1"/>
  <c r="AZ35" i="1"/>
  <c r="F34" i="2" s="1"/>
  <c r="AW35" i="1"/>
  <c r="C34" i="2" s="1"/>
  <c r="AV35" i="1"/>
  <c r="B34" i="2" s="1"/>
  <c r="AR35" i="1"/>
  <c r="AQ35" i="1"/>
  <c r="A34" i="2" s="1"/>
  <c r="AE35" i="1"/>
  <c r="AD35" i="1"/>
  <c r="AC35" i="1"/>
  <c r="BU35" i="1" s="1"/>
  <c r="BD35" i="1" s="1"/>
  <c r="J34" i="2" s="1"/>
  <c r="AB35" i="1"/>
  <c r="AA35" i="1"/>
  <c r="Y35" i="1"/>
  <c r="X35" i="1"/>
  <c r="BZ35" i="1" s="1"/>
  <c r="W35" i="1"/>
  <c r="V35" i="1"/>
  <c r="U35" i="1"/>
  <c r="T35" i="1"/>
  <c r="BQ35" i="1" s="1"/>
  <c r="AY35" i="1" s="1"/>
  <c r="E34" i="2" s="1"/>
  <c r="S35" i="1"/>
  <c r="R35" i="1" a="1"/>
  <c r="Z35" i="1" s="1"/>
  <c r="R35" i="1"/>
  <c r="BP35" i="1" s="1"/>
  <c r="CL34" i="1"/>
  <c r="CK34" i="1"/>
  <c r="CG34" i="1"/>
  <c r="CF34" i="1"/>
  <c r="CE34" i="1"/>
  <c r="BY34" i="1"/>
  <c r="BP34" i="1"/>
  <c r="BG34" i="1"/>
  <c r="M33" i="2" s="1"/>
  <c r="BE34" i="1"/>
  <c r="K33" i="2" s="1"/>
  <c r="BC34" i="1"/>
  <c r="I33" i="2" s="1"/>
  <c r="BA34" i="1"/>
  <c r="G33" i="2" s="1"/>
  <c r="AW34" i="1"/>
  <c r="C33" i="2" s="1"/>
  <c r="AV34" i="1"/>
  <c r="B33" i="2" s="1"/>
  <c r="AR34" i="1"/>
  <c r="AQ34" i="1"/>
  <c r="A33" i="2" s="1"/>
  <c r="AE34" i="1"/>
  <c r="BW34" i="1" s="1"/>
  <c r="BH34" i="1" s="1"/>
  <c r="N33" i="2" s="1"/>
  <c r="AB34" i="1"/>
  <c r="Z34" i="1"/>
  <c r="Y34" i="1"/>
  <c r="W34" i="1"/>
  <c r="V34" i="1"/>
  <c r="BQ34" i="1" s="1"/>
  <c r="AY34" i="1" s="1"/>
  <c r="E33" i="2" s="1"/>
  <c r="T34" i="1"/>
  <c r="R34" i="1" a="1"/>
  <c r="X34" i="1" s="1"/>
  <c r="BZ34" i="1" s="1"/>
  <c r="CD34" i="1" s="1"/>
  <c r="R34" i="1"/>
  <c r="CL33" i="1"/>
  <c r="CG33" i="1"/>
  <c r="CF33" i="1"/>
  <c r="BZ33" i="1"/>
  <c r="BY33" i="1"/>
  <c r="CK33" i="1" s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B33" i="1"/>
  <c r="X33" i="1"/>
  <c r="S33" i="1"/>
  <c r="R33" i="1" a="1"/>
  <c r="Z33" i="1" s="1"/>
  <c r="CL32" i="1"/>
  <c r="CG32" i="1"/>
  <c r="CF32" i="1"/>
  <c r="BY32" i="1"/>
  <c r="CK32" i="1" s="1"/>
  <c r="BG32" i="1"/>
  <c r="M31" i="2" s="1"/>
  <c r="BE32" i="1"/>
  <c r="K31" i="2" s="1"/>
  <c r="BC32" i="1"/>
  <c r="I31" i="2" s="1"/>
  <c r="BA32" i="1"/>
  <c r="G31" i="2" s="1"/>
  <c r="AW32" i="1"/>
  <c r="C31" i="2" s="1"/>
  <c r="AV32" i="1"/>
  <c r="B31" i="2" s="1"/>
  <c r="AR32" i="1"/>
  <c r="AQ32" i="1"/>
  <c r="A31" i="2" s="1"/>
  <c r="AD32" i="1"/>
  <c r="AC32" i="1"/>
  <c r="Z32" i="1"/>
  <c r="X32" i="1"/>
  <c r="BZ32" i="1" s="1"/>
  <c r="U32" i="1"/>
  <c r="T32" i="1"/>
  <c r="R32" i="1" a="1"/>
  <c r="W32" i="1" s="1"/>
  <c r="CL31" i="1"/>
  <c r="CG31" i="1"/>
  <c r="CF31" i="1"/>
  <c r="BY31" i="1"/>
  <c r="CK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AE31" i="1"/>
  <c r="AD31" i="1"/>
  <c r="Z31" i="1"/>
  <c r="Y31" i="1"/>
  <c r="W31" i="1"/>
  <c r="V31" i="1"/>
  <c r="BT31" i="1" s="1"/>
  <c r="BB31" i="1" s="1"/>
  <c r="H30" i="2" s="1"/>
  <c r="U31" i="1"/>
  <c r="R31" i="1" a="1"/>
  <c r="R31" i="1"/>
  <c r="BP31" i="1" s="1"/>
  <c r="CL30" i="1"/>
  <c r="CJ30" i="1"/>
  <c r="CG30" i="1"/>
  <c r="CF30" i="1"/>
  <c r="CE30" i="1"/>
  <c r="BY30" i="1"/>
  <c r="CK30" i="1" s="1"/>
  <c r="BW30" i="1"/>
  <c r="BH30" i="1" s="1"/>
  <c r="N29" i="2" s="1"/>
  <c r="BV30" i="1"/>
  <c r="BS30" i="1" a="1"/>
  <c r="BS30" i="1" s="1"/>
  <c r="AZ30" i="1" s="1"/>
  <c r="F29" i="2" s="1"/>
  <c r="BP30" i="1"/>
  <c r="BG30" i="1"/>
  <c r="M29" i="2" s="1"/>
  <c r="BF30" i="1"/>
  <c r="L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E30" i="1"/>
  <c r="AD30" i="1"/>
  <c r="AC30" i="1"/>
  <c r="BU30" i="1" s="1"/>
  <c r="BD30" i="1" s="1"/>
  <c r="J29" i="2" s="1"/>
  <c r="AB30" i="1"/>
  <c r="AA30" i="1"/>
  <c r="Y30" i="1"/>
  <c r="X30" i="1"/>
  <c r="BZ30" i="1" s="1"/>
  <c r="CD30" i="1" s="1"/>
  <c r="W30" i="1"/>
  <c r="BT30" i="1" s="1"/>
  <c r="BB30" i="1" s="1"/>
  <c r="H29" i="2" s="1"/>
  <c r="V30" i="1"/>
  <c r="U30" i="1"/>
  <c r="BR30" i="1" s="1"/>
  <c r="AX30" i="1" s="1"/>
  <c r="D29" i="2" s="1"/>
  <c r="T30" i="1"/>
  <c r="BQ30" i="1" s="1"/>
  <c r="AY30" i="1" s="1"/>
  <c r="E29" i="2" s="1"/>
  <c r="S30" i="1"/>
  <c r="R30" i="1" a="1"/>
  <c r="Z30" i="1" s="1"/>
  <c r="R30" i="1"/>
  <c r="CL29" i="1"/>
  <c r="CG29" i="1"/>
  <c r="CF29" i="1"/>
  <c r="BY29" i="1"/>
  <c r="CK29" i="1" s="1"/>
  <c r="BV29" i="1"/>
  <c r="BF29" i="1" s="1"/>
  <c r="L28" i="2" s="1"/>
  <c r="BS29" i="1"/>
  <c r="AZ29" i="1" s="1"/>
  <c r="F28" i="2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AE29" i="1"/>
  <c r="BW29" i="1" s="1"/>
  <c r="BH29" i="1" s="1"/>
  <c r="N28" i="2" s="1"/>
  <c r="AD29" i="1"/>
  <c r="AA29" i="1"/>
  <c r="W29" i="1"/>
  <c r="V29" i="1"/>
  <c r="S29" i="1"/>
  <c r="BS29" i="1" s="1" a="1"/>
  <c r="R29" i="1" a="1"/>
  <c r="AC29" i="1" s="1"/>
  <c r="BU29" i="1" s="1"/>
  <c r="BD29" i="1" s="1"/>
  <c r="J28" i="2" s="1"/>
  <c r="CL28" i="1"/>
  <c r="CG28" i="1"/>
  <c r="CF28" i="1"/>
  <c r="BY28" i="1"/>
  <c r="CK28" i="1" s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D28" i="1"/>
  <c r="R28" i="1" a="1"/>
  <c r="AC28" i="1" s="1"/>
  <c r="CL27" i="1"/>
  <c r="CK27" i="1"/>
  <c r="CJ27" i="1"/>
  <c r="CG27" i="1"/>
  <c r="CF27" i="1"/>
  <c r="CE27" i="1"/>
  <c r="BY27" i="1"/>
  <c r="BW27" i="1"/>
  <c r="BH27" i="1" s="1"/>
  <c r="N26" i="2" s="1"/>
  <c r="BV27" i="1"/>
  <c r="BT27" i="1"/>
  <c r="BB27" i="1" s="1"/>
  <c r="H26" i="2" s="1"/>
  <c r="BS27" i="1" a="1"/>
  <c r="BS27" i="1" s="1"/>
  <c r="AZ27" i="1" s="1"/>
  <c r="F26" i="2" s="1"/>
  <c r="BQ27" i="1"/>
  <c r="AY27" i="1" s="1"/>
  <c r="E26" i="2" s="1"/>
  <c r="BP27" i="1"/>
  <c r="BG27" i="1"/>
  <c r="M26" i="2" s="1"/>
  <c r="BF27" i="1"/>
  <c r="L26" i="2" s="1"/>
  <c r="BE27" i="1"/>
  <c r="K26" i="2" s="1"/>
  <c r="BD27" i="1"/>
  <c r="J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AE27" i="1"/>
  <c r="AD27" i="1"/>
  <c r="AC27" i="1"/>
  <c r="BU27" i="1" s="1"/>
  <c r="AB27" i="1"/>
  <c r="AA27" i="1"/>
  <c r="Y27" i="1"/>
  <c r="X27" i="1"/>
  <c r="BZ27" i="1" s="1"/>
  <c r="CD27" i="1" s="1"/>
  <c r="W27" i="1"/>
  <c r="V27" i="1"/>
  <c r="U27" i="1"/>
  <c r="BR27" i="1" s="1"/>
  <c r="AX27" i="1" s="1"/>
  <c r="D26" i="2" s="1"/>
  <c r="T27" i="1"/>
  <c r="S27" i="1"/>
  <c r="R27" i="1" a="1"/>
  <c r="Z27" i="1" s="1"/>
  <c r="CI27" i="1" s="1"/>
  <c r="BL27" i="1" s="1"/>
  <c r="BN27" i="1" s="1"/>
  <c r="R27" i="1"/>
  <c r="CL26" i="1"/>
  <c r="CG26" i="1"/>
  <c r="CF26" i="1"/>
  <c r="BY26" i="1"/>
  <c r="CK26" i="1" s="1"/>
  <c r="BS26" i="1" a="1"/>
  <c r="BS26" i="1" s="1"/>
  <c r="AZ26" i="1" s="1"/>
  <c r="F25" i="2" s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AE26" i="1"/>
  <c r="AD26" i="1"/>
  <c r="AB26" i="1"/>
  <c r="AA26" i="1"/>
  <c r="X26" i="1"/>
  <c r="BZ26" i="1" s="1"/>
  <c r="CD26" i="1" s="1"/>
  <c r="W26" i="1"/>
  <c r="V26" i="1"/>
  <c r="CE26" i="1" s="1"/>
  <c r="T26" i="1"/>
  <c r="BQ26" i="1" s="1"/>
  <c r="AY26" i="1" s="1"/>
  <c r="E25" i="2" s="1"/>
  <c r="S26" i="1"/>
  <c r="R26" i="1" a="1"/>
  <c r="AC26" i="1" s="1"/>
  <c r="CL25" i="1"/>
  <c r="CK25" i="1"/>
  <c r="CG25" i="1"/>
  <c r="CF25" i="1"/>
  <c r="BY25" i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AE25" i="1"/>
  <c r="Y25" i="1"/>
  <c r="W25" i="1"/>
  <c r="V25" i="1"/>
  <c r="S25" i="1"/>
  <c r="R25" i="1" a="1"/>
  <c r="CL24" i="1"/>
  <c r="CG24" i="1"/>
  <c r="CF24" i="1"/>
  <c r="BY24" i="1"/>
  <c r="CK24" i="1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C24" i="1"/>
  <c r="BU24" i="1" s="1"/>
  <c r="BD24" i="1" s="1"/>
  <c r="J23" i="2" s="1"/>
  <c r="AA24" i="1"/>
  <c r="V24" i="1"/>
  <c r="S24" i="1"/>
  <c r="BS24" i="1" s="1" a="1"/>
  <c r="BS24" i="1" s="1"/>
  <c r="AZ24" i="1" s="1"/>
  <c r="F23" i="2" s="1"/>
  <c r="R24" i="1" a="1"/>
  <c r="R24" i="1"/>
  <c r="BP24" i="1" s="1"/>
  <c r="CL23" i="1"/>
  <c r="CG23" i="1"/>
  <c r="CF23" i="1"/>
  <c r="BY23" i="1"/>
  <c r="CK23" i="1" s="1"/>
  <c r="BQ23" i="1"/>
  <c r="AY23" i="1" s="1"/>
  <c r="E22" i="2" s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E23" i="1"/>
  <c r="BW23" i="1" s="1"/>
  <c r="BH23" i="1" s="1"/>
  <c r="N22" i="2" s="1"/>
  <c r="AD23" i="1"/>
  <c r="AC23" i="1"/>
  <c r="AB23" i="1"/>
  <c r="AA23" i="1"/>
  <c r="Y23" i="1"/>
  <c r="CJ23" i="1" s="1"/>
  <c r="X23" i="1"/>
  <c r="BZ23" i="1" s="1"/>
  <c r="W23" i="1"/>
  <c r="BT23" i="1" s="1"/>
  <c r="BB23" i="1" s="1"/>
  <c r="H22" i="2" s="1"/>
  <c r="V23" i="1"/>
  <c r="BV23" i="1" s="1"/>
  <c r="BF23" i="1" s="1"/>
  <c r="L22" i="2" s="1"/>
  <c r="U23" i="1"/>
  <c r="T23" i="1"/>
  <c r="S23" i="1"/>
  <c r="R23" i="1" a="1"/>
  <c r="Z23" i="1" s="1"/>
  <c r="CI23" i="1" s="1"/>
  <c r="R23" i="1"/>
  <c r="BP23" i="1" s="1"/>
  <c r="CL22" i="1"/>
  <c r="CG22" i="1"/>
  <c r="CF22" i="1"/>
  <c r="BY22" i="1"/>
  <c r="CK22" i="1" s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E22" i="1"/>
  <c r="AB22" i="1"/>
  <c r="Y22" i="1"/>
  <c r="X22" i="1"/>
  <c r="BZ22" i="1" s="1"/>
  <c r="W22" i="1"/>
  <c r="T22" i="1"/>
  <c r="R22" i="1" a="1"/>
  <c r="AD22" i="1" s="1"/>
  <c r="R22" i="1"/>
  <c r="BP22" i="1" s="1"/>
  <c r="CL21" i="1"/>
  <c r="CG21" i="1"/>
  <c r="CF21" i="1"/>
  <c r="BY21" i="1"/>
  <c r="CK21" i="1" s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B21" i="1"/>
  <c r="T21" i="1"/>
  <c r="R21" i="1" a="1"/>
  <c r="Y21" i="1" s="1"/>
  <c r="CL20" i="1"/>
  <c r="CG20" i="1"/>
  <c r="CF20" i="1"/>
  <c r="BY20" i="1"/>
  <c r="CK20" i="1" s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E20" i="1"/>
  <c r="AC20" i="1"/>
  <c r="X20" i="1"/>
  <c r="BZ20" i="1" s="1"/>
  <c r="W20" i="1"/>
  <c r="U20" i="1"/>
  <c r="R20" i="1" a="1"/>
  <c r="AB20" i="1" s="1"/>
  <c r="CL19" i="1"/>
  <c r="CG19" i="1"/>
  <c r="CF19" i="1"/>
  <c r="BY19" i="1"/>
  <c r="CK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R19" i="1" a="1"/>
  <c r="AE19" i="1" s="1"/>
  <c r="CL18" i="1"/>
  <c r="CG18" i="1"/>
  <c r="CF18" i="1"/>
  <c r="BY18" i="1"/>
  <c r="CK18" i="1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D18" i="1"/>
  <c r="BV18" i="1" s="1"/>
  <c r="BF18" i="1" s="1"/>
  <c r="L17" i="2" s="1"/>
  <c r="AC18" i="1"/>
  <c r="BU18" i="1" s="1"/>
  <c r="BD18" i="1" s="1"/>
  <c r="J17" i="2" s="1"/>
  <c r="AB18" i="1"/>
  <c r="AA18" i="1"/>
  <c r="X18" i="1"/>
  <c r="BZ18" i="1" s="1"/>
  <c r="CD18" i="1" s="1"/>
  <c r="V18" i="1"/>
  <c r="U18" i="1"/>
  <c r="BR18" i="1" s="1"/>
  <c r="AX18" i="1" s="1"/>
  <c r="D17" i="2" s="1"/>
  <c r="T18" i="1"/>
  <c r="BQ18" i="1" s="1"/>
  <c r="AY18" i="1" s="1"/>
  <c r="E17" i="2" s="1"/>
  <c r="S18" i="1"/>
  <c r="BS18" i="1" s="1" a="1"/>
  <c r="BS18" i="1" s="1"/>
  <c r="AZ18" i="1" s="1"/>
  <c r="F17" i="2" s="1"/>
  <c r="R18" i="1" a="1"/>
  <c r="Z18" i="1" s="1"/>
  <c r="CI18" i="1" s="1"/>
  <c r="BL18" i="1" s="1"/>
  <c r="BN18" i="1" s="1"/>
  <c r="CL17" i="1"/>
  <c r="CJ17" i="1"/>
  <c r="CG17" i="1"/>
  <c r="CF17" i="1"/>
  <c r="BY17" i="1"/>
  <c r="CK17" i="1" s="1"/>
  <c r="BW17" i="1"/>
  <c r="BH17" i="1" s="1"/>
  <c r="N16" i="2" s="1"/>
  <c r="BP17" i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E17" i="1"/>
  <c r="AD17" i="1"/>
  <c r="BV17" i="1" s="1"/>
  <c r="BF17" i="1" s="1"/>
  <c r="L16" i="2" s="1"/>
  <c r="AC17" i="1"/>
  <c r="AB17" i="1"/>
  <c r="AA17" i="1"/>
  <c r="Y17" i="1"/>
  <c r="X17" i="1"/>
  <c r="BZ17" i="1" s="1"/>
  <c r="CD17" i="1" s="1"/>
  <c r="W17" i="1"/>
  <c r="BT17" i="1" s="1"/>
  <c r="BB17" i="1" s="1"/>
  <c r="H16" i="2" s="1"/>
  <c r="V17" i="1"/>
  <c r="BQ17" i="1" s="1"/>
  <c r="AY17" i="1" s="1"/>
  <c r="E16" i="2" s="1"/>
  <c r="U17" i="1"/>
  <c r="BR17" i="1" s="1"/>
  <c r="AX17" i="1" s="1"/>
  <c r="D16" i="2" s="1"/>
  <c r="T17" i="1"/>
  <c r="S17" i="1"/>
  <c r="BS17" i="1" s="1" a="1"/>
  <c r="BS17" i="1" s="1"/>
  <c r="AZ17" i="1" s="1"/>
  <c r="F16" i="2" s="1"/>
  <c r="R17" i="1" a="1"/>
  <c r="Z17" i="1" s="1"/>
  <c r="CI17" i="1" s="1"/>
  <c r="R17" i="1"/>
  <c r="CL16" i="1"/>
  <c r="CG16" i="1"/>
  <c r="CF16" i="1"/>
  <c r="BY16" i="1"/>
  <c r="CK16" i="1" s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D16" i="1"/>
  <c r="BV16" i="1" s="1"/>
  <c r="BF16" i="1" s="1"/>
  <c r="L15" i="2" s="1"/>
  <c r="AB16" i="1"/>
  <c r="AA16" i="1"/>
  <c r="Y16" i="1"/>
  <c r="CJ16" i="1" s="1"/>
  <c r="X16" i="1"/>
  <c r="BZ16" i="1" s="1"/>
  <c r="CD16" i="1" s="1"/>
  <c r="V16" i="1"/>
  <c r="T16" i="1"/>
  <c r="BQ16" i="1" s="1"/>
  <c r="AY16" i="1" s="1"/>
  <c r="E15" i="2" s="1"/>
  <c r="S16" i="1"/>
  <c r="BS16" i="1" s="1" a="1"/>
  <c r="BS16" i="1" s="1"/>
  <c r="AZ16" i="1" s="1"/>
  <c r="F15" i="2" s="1"/>
  <c r="R16" i="1" a="1"/>
  <c r="AE16" i="1" s="1"/>
  <c r="BW16" i="1" s="1"/>
  <c r="BH16" i="1" s="1"/>
  <c r="N15" i="2" s="1"/>
  <c r="R16" i="1"/>
  <c r="BP16" i="1" s="1"/>
  <c r="CL15" i="1"/>
  <c r="CG15" i="1"/>
  <c r="CF15" i="1"/>
  <c r="BY15" i="1"/>
  <c r="CK15" i="1" s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E15" i="1"/>
  <c r="BW15" i="1" s="1"/>
  <c r="BH15" i="1" s="1"/>
  <c r="N14" i="2" s="1"/>
  <c r="AD15" i="1"/>
  <c r="BV15" i="1" s="1"/>
  <c r="BF15" i="1" s="1"/>
  <c r="L14" i="2" s="1"/>
  <c r="AC15" i="1"/>
  <c r="AB15" i="1"/>
  <c r="AA15" i="1"/>
  <c r="Y15" i="1"/>
  <c r="CJ15" i="1" s="1"/>
  <c r="W15" i="1"/>
  <c r="BT15" i="1" s="1"/>
  <c r="BB15" i="1" s="1"/>
  <c r="H14" i="2" s="1"/>
  <c r="V15" i="1"/>
  <c r="BU15" i="1" s="1"/>
  <c r="BD15" i="1" s="1"/>
  <c r="J14" i="2" s="1"/>
  <c r="U15" i="1"/>
  <c r="BR15" i="1" s="1"/>
  <c r="AX15" i="1" s="1"/>
  <c r="D14" i="2" s="1"/>
  <c r="T15" i="1"/>
  <c r="BQ15" i="1" s="1"/>
  <c r="AY15" i="1" s="1"/>
  <c r="E14" i="2" s="1"/>
  <c r="S15" i="1"/>
  <c r="R15" i="1" a="1"/>
  <c r="Z15" i="1" s="1"/>
  <c r="CI15" i="1" s="1"/>
  <c r="R15" i="1"/>
  <c r="BP15" i="1" s="1"/>
  <c r="CL14" i="1"/>
  <c r="CG14" i="1"/>
  <c r="CF14" i="1"/>
  <c r="BY14" i="1"/>
  <c r="CK14" i="1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AE14" i="1"/>
  <c r="Y14" i="1"/>
  <c r="W14" i="1"/>
  <c r="R14" i="1" a="1"/>
  <c r="AD14" i="1" s="1"/>
  <c r="R14" i="1"/>
  <c r="BP14" i="1" s="1"/>
  <c r="CL13" i="1"/>
  <c r="CG13" i="1"/>
  <c r="CF13" i="1"/>
  <c r="BY13" i="1"/>
  <c r="CK13" i="1" s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AB13" i="1"/>
  <c r="T13" i="1"/>
  <c r="R13" i="1" a="1"/>
  <c r="Y13" i="1" s="1"/>
  <c r="CL12" i="1"/>
  <c r="CG12" i="1"/>
  <c r="CF12" i="1"/>
  <c r="BY12" i="1"/>
  <c r="CK12" i="1" s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E12" i="1"/>
  <c r="BW12" i="1" s="1"/>
  <c r="BH12" i="1" s="1"/>
  <c r="N11" i="2" s="1"/>
  <c r="AD12" i="1"/>
  <c r="BV12" i="1" s="1"/>
  <c r="BF12" i="1" s="1"/>
  <c r="L11" i="2" s="1"/>
  <c r="AC12" i="1"/>
  <c r="BU12" i="1" s="1"/>
  <c r="BD12" i="1" s="1"/>
  <c r="J11" i="2" s="1"/>
  <c r="X12" i="1"/>
  <c r="BZ12" i="1" s="1"/>
  <c r="CD12" i="1" s="1"/>
  <c r="W12" i="1"/>
  <c r="CE12" i="1" s="1"/>
  <c r="V12" i="1"/>
  <c r="U12" i="1"/>
  <c r="BR12" i="1" s="1"/>
  <c r="AX12" i="1" s="1"/>
  <c r="D11" i="2" s="1"/>
  <c r="R12" i="1" a="1"/>
  <c r="AB12" i="1" s="1"/>
  <c r="CL11" i="1"/>
  <c r="CK11" i="1"/>
  <c r="CG11" i="1"/>
  <c r="CF11" i="1"/>
  <c r="BY11" i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Y11" i="1"/>
  <c r="X11" i="1"/>
  <c r="BZ11" i="1" s="1"/>
  <c r="R11" i="1" a="1"/>
  <c r="AE11" i="1" s="1"/>
  <c r="R11" i="1"/>
  <c r="BP11" i="1" s="1"/>
  <c r="CL10" i="1"/>
  <c r="CG10" i="1"/>
  <c r="CF10" i="1"/>
  <c r="BY10" i="1"/>
  <c r="CK10" i="1" s="1"/>
  <c r="BS10" i="1"/>
  <c r="AZ10" i="1" s="1"/>
  <c r="F9" i="2" s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AD10" i="1"/>
  <c r="BV10" i="1" s="1"/>
  <c r="BF10" i="1" s="1"/>
  <c r="L9" i="2" s="1"/>
  <c r="AC10" i="1"/>
  <c r="BU10" i="1" s="1"/>
  <c r="BD10" i="1" s="1"/>
  <c r="J9" i="2" s="1"/>
  <c r="AB10" i="1"/>
  <c r="AA10" i="1"/>
  <c r="X10" i="1"/>
  <c r="BZ10" i="1" s="1"/>
  <c r="CD10" i="1" s="1"/>
  <c r="V10" i="1"/>
  <c r="U10" i="1"/>
  <c r="BR10" i="1" s="1"/>
  <c r="AX10" i="1" s="1"/>
  <c r="D9" i="2" s="1"/>
  <c r="T10" i="1"/>
  <c r="BQ10" i="1" s="1"/>
  <c r="AY10" i="1" s="1"/>
  <c r="E9" i="2" s="1"/>
  <c r="S10" i="1"/>
  <c r="BS10" i="1" s="1" a="1"/>
  <c r="R10" i="1" a="1"/>
  <c r="Z10" i="1" s="1"/>
  <c r="CI10" i="1" s="1"/>
  <c r="CL9" i="1"/>
  <c r="CG9" i="1"/>
  <c r="CF9" i="1"/>
  <c r="BY9" i="1"/>
  <c r="CK9" i="1" s="1"/>
  <c r="BU9" i="1"/>
  <c r="BD9" i="1" s="1"/>
  <c r="J8" i="2" s="1"/>
  <c r="BP9" i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E9" i="1"/>
  <c r="AD9" i="1"/>
  <c r="BV9" i="1" s="1"/>
  <c r="BF9" i="1" s="1"/>
  <c r="L8" i="2" s="1"/>
  <c r="AC9" i="1"/>
  <c r="AB9" i="1"/>
  <c r="AA9" i="1"/>
  <c r="Y9" i="1"/>
  <c r="X9" i="1"/>
  <c r="BZ9" i="1" s="1"/>
  <c r="W9" i="1"/>
  <c r="V9" i="1"/>
  <c r="U9" i="1"/>
  <c r="BR9" i="1" s="1"/>
  <c r="AX9" i="1" s="1"/>
  <c r="D8" i="2" s="1"/>
  <c r="T9" i="1"/>
  <c r="S9" i="1"/>
  <c r="BS9" i="1" s="1" a="1"/>
  <c r="BS9" i="1" s="1"/>
  <c r="AZ9" i="1" s="1"/>
  <c r="F8" i="2" s="1"/>
  <c r="R9" i="1" a="1"/>
  <c r="Z9" i="1" s="1"/>
  <c r="CI9" i="1" s="1"/>
  <c r="R9" i="1"/>
  <c r="CL8" i="1"/>
  <c r="CG8" i="1"/>
  <c r="CF8" i="1"/>
  <c r="BY8" i="1"/>
  <c r="CK8" i="1" s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Y8" i="1"/>
  <c r="X8" i="1"/>
  <c r="BZ8" i="1" s="1"/>
  <c r="R8" i="1" a="1"/>
  <c r="AE8" i="1" s="1"/>
  <c r="R8" i="1"/>
  <c r="BP8" i="1" s="1"/>
  <c r="CL7" i="1"/>
  <c r="CG7" i="1"/>
  <c r="CF7" i="1"/>
  <c r="CE7" i="1"/>
  <c r="BY7" i="1"/>
  <c r="CK7" i="1" s="1"/>
  <c r="BT7" i="1"/>
  <c r="BG7" i="1"/>
  <c r="M6" i="2" s="1"/>
  <c r="BE7" i="1"/>
  <c r="K6" i="2" s="1"/>
  <c r="BC7" i="1"/>
  <c r="I6" i="2" s="1"/>
  <c r="BB7" i="1"/>
  <c r="H6" i="2" s="1"/>
  <c r="BA7" i="1"/>
  <c r="G6" i="2" s="1"/>
  <c r="AW7" i="1"/>
  <c r="C6" i="2" s="1"/>
  <c r="AV7" i="1"/>
  <c r="B6" i="2" s="1"/>
  <c r="AR7" i="1"/>
  <c r="AQ7" i="1"/>
  <c r="A6" i="2" s="1"/>
  <c r="AE7" i="1"/>
  <c r="BW7" i="1" s="1"/>
  <c r="BH7" i="1" s="1"/>
  <c r="N6" i="2" s="1"/>
  <c r="AD7" i="1"/>
  <c r="BV7" i="1" s="1"/>
  <c r="BF7" i="1" s="1"/>
  <c r="L6" i="2" s="1"/>
  <c r="AC7" i="1"/>
  <c r="BU7" i="1" s="1"/>
  <c r="BD7" i="1" s="1"/>
  <c r="J6" i="2" s="1"/>
  <c r="AB7" i="1"/>
  <c r="AA7" i="1"/>
  <c r="Y7" i="1"/>
  <c r="W7" i="1"/>
  <c r="V7" i="1"/>
  <c r="U7" i="1"/>
  <c r="BR7" i="1" s="1"/>
  <c r="AX7" i="1" s="1"/>
  <c r="D6" i="2" s="1"/>
  <c r="T7" i="1"/>
  <c r="BQ7" i="1" s="1"/>
  <c r="AY7" i="1" s="1"/>
  <c r="E6" i="2" s="1"/>
  <c r="S7" i="1"/>
  <c r="BS7" i="1" s="1" a="1"/>
  <c r="BS7" i="1" s="1"/>
  <c r="AZ7" i="1" s="1"/>
  <c r="F6" i="2" s="1"/>
  <c r="R7" i="1" a="1"/>
  <c r="Z7" i="1" s="1"/>
  <c r="CI7" i="1" s="1"/>
  <c r="R7" i="1"/>
  <c r="BP7" i="1" s="1"/>
  <c r="CL6" i="1"/>
  <c r="CG6" i="1"/>
  <c r="CF6" i="1"/>
  <c r="BY6" i="1"/>
  <c r="CK6" i="1" s="1"/>
  <c r="BP6" i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E6" i="1"/>
  <c r="Y6" i="1"/>
  <c r="X6" i="1"/>
  <c r="BZ6" i="1" s="1"/>
  <c r="W6" i="1"/>
  <c r="R6" i="1" a="1"/>
  <c r="AD6" i="1" s="1"/>
  <c r="R6" i="1"/>
  <c r="E6" i="1"/>
  <c r="CL5" i="1"/>
  <c r="CG5" i="1"/>
  <c r="CF5" i="1"/>
  <c r="CE5" i="1"/>
  <c r="BY5" i="1"/>
  <c r="CK5" i="1" s="1"/>
  <c r="BT5" i="1"/>
  <c r="BG5" i="1"/>
  <c r="M4" i="2" s="1"/>
  <c r="BE5" i="1"/>
  <c r="K4" i="2" s="1"/>
  <c r="BC5" i="1"/>
  <c r="I4" i="2" s="1"/>
  <c r="BB5" i="1"/>
  <c r="H4" i="2" s="1"/>
  <c r="BA5" i="1"/>
  <c r="G4" i="2" s="1"/>
  <c r="AW5" i="1"/>
  <c r="C4" i="2" s="1"/>
  <c r="AV5" i="1"/>
  <c r="B4" i="2" s="1"/>
  <c r="AR5" i="1"/>
  <c r="AQ5" i="1"/>
  <c r="A4" i="2" s="1"/>
  <c r="AE5" i="1"/>
  <c r="BW5" i="1" s="1"/>
  <c r="BH5" i="1" s="1"/>
  <c r="N4" i="2" s="1"/>
  <c r="AD5" i="1"/>
  <c r="BV5" i="1" s="1"/>
  <c r="BF5" i="1" s="1"/>
  <c r="L4" i="2" s="1"/>
  <c r="AC5" i="1"/>
  <c r="BU5" i="1" s="1"/>
  <c r="BD5" i="1" s="1"/>
  <c r="J4" i="2" s="1"/>
  <c r="AB5" i="1"/>
  <c r="AA5" i="1"/>
  <c r="Y5" i="1"/>
  <c r="W5" i="1"/>
  <c r="V5" i="1"/>
  <c r="U5" i="1"/>
  <c r="BR5" i="1" s="1"/>
  <c r="AX5" i="1" s="1"/>
  <c r="D4" i="2" s="1"/>
  <c r="T5" i="1"/>
  <c r="BQ5" i="1" s="1"/>
  <c r="AY5" i="1" s="1"/>
  <c r="E4" i="2" s="1"/>
  <c r="S5" i="1"/>
  <c r="BS5" i="1" s="1" a="1"/>
  <c r="BS5" i="1" s="1"/>
  <c r="AZ5" i="1" s="1"/>
  <c r="F4" i="2" s="1"/>
  <c r="R5" i="1" a="1"/>
  <c r="Z5" i="1" s="1"/>
  <c r="CI5" i="1" s="1"/>
  <c r="R5" i="1"/>
  <c r="BP5" i="1" s="1"/>
  <c r="CL4" i="1"/>
  <c r="CG4" i="1"/>
  <c r="CF4" i="1"/>
  <c r="BY4" i="1"/>
  <c r="CK4" i="1" s="1"/>
  <c r="BP4" i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E4" i="1"/>
  <c r="AC4" i="1"/>
  <c r="Y4" i="1"/>
  <c r="X4" i="1"/>
  <c r="BZ4" i="1" s="1"/>
  <c r="W4" i="1"/>
  <c r="U4" i="1"/>
  <c r="R4" i="1" a="1"/>
  <c r="AD4" i="1" s="1"/>
  <c r="R4" i="1"/>
  <c r="E4" i="1"/>
  <c r="BJ23" i="1" l="1"/>
  <c r="BM23" i="1"/>
  <c r="BI16" i="1"/>
  <c r="BK16" i="1" s="1"/>
  <c r="P15" i="2" s="1"/>
  <c r="BI17" i="1"/>
  <c r="BK17" i="1" s="1"/>
  <c r="P16" i="2" s="1"/>
  <c r="BJ15" i="1"/>
  <c r="BM15" i="1"/>
  <c r="BM16" i="1"/>
  <c r="BJ16" i="1"/>
  <c r="BL10" i="1"/>
  <c r="BN10" i="1" s="1"/>
  <c r="BQ9" i="1"/>
  <c r="AY9" i="1" s="1"/>
  <c r="E8" i="2" s="1"/>
  <c r="CJ9" i="1"/>
  <c r="BW9" i="1"/>
  <c r="BH9" i="1" s="1"/>
  <c r="N8" i="2" s="1"/>
  <c r="BT9" i="1"/>
  <c r="BB9" i="1" s="1"/>
  <c r="H8" i="2" s="1"/>
  <c r="BJ17" i="1"/>
  <c r="BV14" i="1"/>
  <c r="BF14" i="1" s="1"/>
  <c r="L13" i="2" s="1"/>
  <c r="BL17" i="1"/>
  <c r="BN17" i="1" s="1"/>
  <c r="CJ5" i="1"/>
  <c r="CJ7" i="1"/>
  <c r="CD9" i="1"/>
  <c r="BW14" i="1"/>
  <c r="BH14" i="1" s="1"/>
  <c r="N13" i="2" s="1"/>
  <c r="BT12" i="1"/>
  <c r="BB12" i="1" s="1"/>
  <c r="H11" i="2" s="1"/>
  <c r="Z13" i="1"/>
  <c r="BS15" i="1" a="1"/>
  <c r="BS15" i="1" s="1"/>
  <c r="AZ15" i="1" s="1"/>
  <c r="F14" i="2" s="1"/>
  <c r="CE15" i="1"/>
  <c r="BM17" i="1"/>
  <c r="AT17" i="1" s="1"/>
  <c r="BU17" i="1"/>
  <c r="BD17" i="1" s="1"/>
  <c r="J16" i="2" s="1"/>
  <c r="X19" i="1"/>
  <c r="BZ19" i="1" s="1"/>
  <c r="Z21" i="1"/>
  <c r="AC25" i="1"/>
  <c r="BU25" i="1" s="1"/>
  <c r="BD25" i="1" s="1"/>
  <c r="J24" i="2" s="1"/>
  <c r="U25" i="1"/>
  <c r="BR25" i="1" s="1"/>
  <c r="AX25" i="1" s="1"/>
  <c r="D24" i="2" s="1"/>
  <c r="AB25" i="1"/>
  <c r="T25" i="1"/>
  <c r="BQ25" i="1" s="1"/>
  <c r="AY25" i="1" s="1"/>
  <c r="E24" i="2" s="1"/>
  <c r="AD25" i="1"/>
  <c r="BV25" i="1" s="1"/>
  <c r="BF25" i="1" s="1"/>
  <c r="L24" i="2" s="1"/>
  <c r="BU26" i="1"/>
  <c r="BD26" i="1" s="1"/>
  <c r="J25" i="2" s="1"/>
  <c r="BV26" i="1"/>
  <c r="BF26" i="1" s="1"/>
  <c r="L25" i="2" s="1"/>
  <c r="Z28" i="1"/>
  <c r="BT29" i="1"/>
  <c r="BB29" i="1" s="1"/>
  <c r="H28" i="2" s="1"/>
  <c r="CE29" i="1"/>
  <c r="CI34" i="1"/>
  <c r="BL34" i="1" s="1"/>
  <c r="BN34" i="1" s="1"/>
  <c r="S13" i="1"/>
  <c r="AA13" i="1"/>
  <c r="CJ13" i="1" s="1"/>
  <c r="X14" i="1"/>
  <c r="BZ14" i="1" s="1"/>
  <c r="Z16" i="1"/>
  <c r="CI16" i="1" s="1"/>
  <c r="BL16" i="1" s="1"/>
  <c r="BN16" i="1" s="1"/>
  <c r="R19" i="1"/>
  <c r="BP19" i="1" s="1"/>
  <c r="Y19" i="1"/>
  <c r="V20" i="1"/>
  <c r="CD20" i="1" s="1"/>
  <c r="AD20" i="1"/>
  <c r="BV20" i="1" s="1"/>
  <c r="BF20" i="1" s="1"/>
  <c r="L19" i="2" s="1"/>
  <c r="S21" i="1"/>
  <c r="AA21" i="1"/>
  <c r="CJ21" i="1" s="1"/>
  <c r="CE23" i="1"/>
  <c r="X24" i="1"/>
  <c r="BZ24" i="1" s="1"/>
  <c r="CD24" i="1" s="1"/>
  <c r="AE24" i="1"/>
  <c r="BW24" i="1" s="1"/>
  <c r="BH24" i="1" s="1"/>
  <c r="N23" i="2" s="1"/>
  <c r="W24" i="1"/>
  <c r="AB24" i="1"/>
  <c r="BS25" i="1" a="1"/>
  <c r="BS25" i="1" s="1"/>
  <c r="AZ25" i="1" s="1"/>
  <c r="F24" i="2" s="1"/>
  <c r="BW25" i="1"/>
  <c r="BH25" i="1" s="1"/>
  <c r="N24" i="2" s="1"/>
  <c r="BR31" i="1"/>
  <c r="AX31" i="1" s="1"/>
  <c r="D30" i="2" s="1"/>
  <c r="CI35" i="1"/>
  <c r="Y38" i="1"/>
  <c r="R38" i="1"/>
  <c r="BP38" i="1" s="1"/>
  <c r="AE38" i="1"/>
  <c r="W38" i="1"/>
  <c r="AD38" i="1"/>
  <c r="T38" i="1"/>
  <c r="AC38" i="1"/>
  <c r="S38" i="1"/>
  <c r="AA38" i="1"/>
  <c r="Z38" i="1"/>
  <c r="X38" i="1"/>
  <c r="BZ38" i="1" s="1"/>
  <c r="V38" i="1"/>
  <c r="U38" i="1"/>
  <c r="Z6" i="1"/>
  <c r="Z11" i="1"/>
  <c r="BJ27" i="1"/>
  <c r="BM27" i="1"/>
  <c r="AT27" i="1" s="1"/>
  <c r="BV28" i="1"/>
  <c r="BF28" i="1" s="1"/>
  <c r="L27" i="2" s="1"/>
  <c r="BI30" i="1"/>
  <c r="BK30" i="1" s="1"/>
  <c r="P29" i="2" s="1"/>
  <c r="Z8" i="1"/>
  <c r="S8" i="1"/>
  <c r="AA8" i="1"/>
  <c r="CJ8" i="1" s="1"/>
  <c r="Z19" i="1"/>
  <c r="CI19" i="1" s="1"/>
  <c r="S4" i="1"/>
  <c r="AA4" i="1"/>
  <c r="S6" i="1"/>
  <c r="AA6" i="1"/>
  <c r="T8" i="1"/>
  <c r="AB8" i="1"/>
  <c r="S11" i="1"/>
  <c r="AA11" i="1"/>
  <c r="CJ11" i="1" s="1"/>
  <c r="U13" i="1"/>
  <c r="AC13" i="1"/>
  <c r="BU13" i="1" s="1"/>
  <c r="BD13" i="1" s="1"/>
  <c r="J12" i="2" s="1"/>
  <c r="Z14" i="1"/>
  <c r="S19" i="1"/>
  <c r="AA19" i="1"/>
  <c r="U21" i="1"/>
  <c r="AC21" i="1"/>
  <c r="BU21" i="1" s="1"/>
  <c r="BD21" i="1" s="1"/>
  <c r="J20" i="2" s="1"/>
  <c r="Z22" i="1"/>
  <c r="BS23" i="1" a="1"/>
  <c r="BS23" i="1" s="1"/>
  <c r="AZ23" i="1" s="1"/>
  <c r="F22" i="2" s="1"/>
  <c r="T24" i="1"/>
  <c r="BQ24" i="1" s="1"/>
  <c r="AY24" i="1" s="1"/>
  <c r="E23" i="2" s="1"/>
  <c r="AD24" i="1"/>
  <c r="BV24" i="1" s="1"/>
  <c r="BF24" i="1" s="1"/>
  <c r="L23" i="2" s="1"/>
  <c r="BT25" i="1"/>
  <c r="BB25" i="1" s="1"/>
  <c r="H24" i="2" s="1"/>
  <c r="CE25" i="1"/>
  <c r="BW26" i="1"/>
  <c r="BH26" i="1" s="1"/>
  <c r="N25" i="2" s="1"/>
  <c r="CN27" i="1"/>
  <c r="BI27" i="1"/>
  <c r="BK27" i="1" s="1"/>
  <c r="P26" i="2" s="1"/>
  <c r="BV37" i="1"/>
  <c r="BF37" i="1" s="1"/>
  <c r="L36" i="2" s="1"/>
  <c r="BU37" i="1"/>
  <c r="BD37" i="1" s="1"/>
  <c r="J36" i="2" s="1"/>
  <c r="BT37" i="1"/>
  <c r="BB37" i="1" s="1"/>
  <c r="H36" i="2" s="1"/>
  <c r="CE40" i="1"/>
  <c r="BT40" i="1"/>
  <c r="BB40" i="1" s="1"/>
  <c r="H39" i="2" s="1"/>
  <c r="BW42" i="1"/>
  <c r="BH42" i="1" s="1"/>
  <c r="N41" i="2" s="1"/>
  <c r="CN48" i="1"/>
  <c r="BI48" i="1"/>
  <c r="BK48" i="1" s="1"/>
  <c r="P47" i="2" s="1"/>
  <c r="Z4" i="1"/>
  <c r="T4" i="1"/>
  <c r="AB4" i="1"/>
  <c r="E5" i="1"/>
  <c r="X5" i="1"/>
  <c r="BZ5" i="1" s="1"/>
  <c r="CD5" i="1" s="1"/>
  <c r="T6" i="1"/>
  <c r="AB6" i="1"/>
  <c r="E7" i="1"/>
  <c r="X7" i="1"/>
  <c r="BZ7" i="1" s="1"/>
  <c r="CD7" i="1" s="1"/>
  <c r="BL7" i="1" s="1"/>
  <c r="BN7" i="1" s="1"/>
  <c r="U8" i="1"/>
  <c r="AC8" i="1"/>
  <c r="W10" i="1"/>
  <c r="AE10" i="1"/>
  <c r="BW10" i="1" s="1"/>
  <c r="BH10" i="1" s="1"/>
  <c r="N9" i="2" s="1"/>
  <c r="T11" i="1"/>
  <c r="AB11" i="1"/>
  <c r="R12" i="1"/>
  <c r="BP12" i="1" s="1"/>
  <c r="Y12" i="1"/>
  <c r="V13" i="1"/>
  <c r="BQ13" i="1" s="1"/>
  <c r="AY13" i="1" s="1"/>
  <c r="E12" i="2" s="1"/>
  <c r="AD13" i="1"/>
  <c r="BV13" i="1" s="1"/>
  <c r="BF13" i="1" s="1"/>
  <c r="L12" i="2" s="1"/>
  <c r="S14" i="1"/>
  <c r="BS14" i="1" s="1" a="1"/>
  <c r="BS14" i="1" s="1"/>
  <c r="AZ14" i="1" s="1"/>
  <c r="F13" i="2" s="1"/>
  <c r="AA14" i="1"/>
  <c r="CJ14" i="1" s="1"/>
  <c r="X15" i="1"/>
  <c r="BZ15" i="1" s="1"/>
  <c r="CD15" i="1" s="1"/>
  <c r="U16" i="1"/>
  <c r="BR16" i="1" s="1"/>
  <c r="AX16" i="1" s="1"/>
  <c r="D15" i="2" s="1"/>
  <c r="AC16" i="1"/>
  <c r="BU16" i="1" s="1"/>
  <c r="BD16" i="1" s="1"/>
  <c r="J15" i="2" s="1"/>
  <c r="W18" i="1"/>
  <c r="AE18" i="1"/>
  <c r="BW18" i="1" s="1"/>
  <c r="BH18" i="1" s="1"/>
  <c r="N17" i="2" s="1"/>
  <c r="T19" i="1"/>
  <c r="BQ19" i="1" s="1"/>
  <c r="AY19" i="1" s="1"/>
  <c r="E18" i="2" s="1"/>
  <c r="AB19" i="1"/>
  <c r="R20" i="1"/>
  <c r="BP20" i="1" s="1"/>
  <c r="Y20" i="1"/>
  <c r="V21" i="1"/>
  <c r="BQ21" i="1" s="1"/>
  <c r="AY21" i="1" s="1"/>
  <c r="E20" i="2" s="1"/>
  <c r="AD21" i="1"/>
  <c r="S22" i="1"/>
  <c r="AA22" i="1"/>
  <c r="CJ22" i="1" s="1"/>
  <c r="BR23" i="1"/>
  <c r="AX23" i="1" s="1"/>
  <c r="D22" i="2" s="1"/>
  <c r="U24" i="1"/>
  <c r="BR24" i="1" s="1"/>
  <c r="AX24" i="1" s="1"/>
  <c r="D23" i="2" s="1"/>
  <c r="X25" i="1"/>
  <c r="BZ25" i="1" s="1"/>
  <c r="CD25" i="1" s="1"/>
  <c r="BT26" i="1"/>
  <c r="BB26" i="1" s="1"/>
  <c r="H25" i="2" s="1"/>
  <c r="CI30" i="1"/>
  <c r="BL30" i="1" s="1"/>
  <c r="BN30" i="1" s="1"/>
  <c r="O35" i="2"/>
  <c r="CN40" i="1"/>
  <c r="U11" i="1"/>
  <c r="AC11" i="1"/>
  <c r="Z12" i="1"/>
  <c r="CI12" i="1" s="1"/>
  <c r="BL12" i="1" s="1"/>
  <c r="BN12" i="1" s="1"/>
  <c r="W13" i="1"/>
  <c r="AE13" i="1"/>
  <c r="BW13" i="1" s="1"/>
  <c r="BH13" i="1" s="1"/>
  <c r="N12" i="2" s="1"/>
  <c r="T14" i="1"/>
  <c r="BQ14" i="1" s="1"/>
  <c r="AY14" i="1" s="1"/>
  <c r="E13" i="2" s="1"/>
  <c r="AB14" i="1"/>
  <c r="CE14" i="1"/>
  <c r="U19" i="1"/>
  <c r="AC19" i="1"/>
  <c r="Z20" i="1"/>
  <c r="W21" i="1"/>
  <c r="AE21" i="1"/>
  <c r="BW21" i="1" s="1"/>
  <c r="BH21" i="1" s="1"/>
  <c r="N20" i="2" s="1"/>
  <c r="BU23" i="1"/>
  <c r="BD23" i="1" s="1"/>
  <c r="J22" i="2" s="1"/>
  <c r="CJ25" i="1"/>
  <c r="X28" i="1"/>
  <c r="BZ28" i="1" s="1"/>
  <c r="CD28" i="1" s="1"/>
  <c r="AE28" i="1"/>
  <c r="W28" i="1"/>
  <c r="AB28" i="1"/>
  <c r="T28" i="1"/>
  <c r="BQ28" i="1" s="1"/>
  <c r="AY28" i="1" s="1"/>
  <c r="E27" i="2" s="1"/>
  <c r="AA28" i="1"/>
  <c r="S28" i="1"/>
  <c r="BS28" i="1" s="1" a="1"/>
  <c r="BS28" i="1" s="1"/>
  <c r="AZ28" i="1" s="1"/>
  <c r="F27" i="2" s="1"/>
  <c r="Y28" i="1"/>
  <c r="R28" i="1"/>
  <c r="BP28" i="1" s="1"/>
  <c r="BM30" i="1"/>
  <c r="BJ30" i="1"/>
  <c r="CD35" i="1"/>
  <c r="BV35" i="1"/>
  <c r="BF35" i="1" s="1"/>
  <c r="L34" i="2" s="1"/>
  <c r="BW35" i="1"/>
  <c r="BH35" i="1" s="1"/>
  <c r="N34" i="2" s="1"/>
  <c r="CD37" i="1"/>
  <c r="U6" i="1"/>
  <c r="AC6" i="1"/>
  <c r="V8" i="1"/>
  <c r="BW8" i="1" s="1"/>
  <c r="BH8" i="1" s="1"/>
  <c r="N7" i="2" s="1"/>
  <c r="AD8" i="1"/>
  <c r="BV8" i="1" s="1"/>
  <c r="BF8" i="1" s="1"/>
  <c r="L7" i="2" s="1"/>
  <c r="V4" i="1"/>
  <c r="CD4" i="1" s="1"/>
  <c r="V6" i="1"/>
  <c r="W8" i="1"/>
  <c r="CE9" i="1"/>
  <c r="R10" i="1"/>
  <c r="BP10" i="1" s="1"/>
  <c r="Y10" i="1"/>
  <c r="CJ10" i="1" s="1"/>
  <c r="BI10" i="1" s="1"/>
  <c r="BK10" i="1" s="1"/>
  <c r="P9" i="2" s="1"/>
  <c r="V11" i="1"/>
  <c r="BW11" i="1" s="1"/>
  <c r="BH11" i="1" s="1"/>
  <c r="N10" i="2" s="1"/>
  <c r="AD11" i="1"/>
  <c r="BV11" i="1" s="1"/>
  <c r="BF11" i="1" s="1"/>
  <c r="L10" i="2" s="1"/>
  <c r="S12" i="1"/>
  <c r="BS12" i="1" s="1" a="1"/>
  <c r="BS12" i="1" s="1"/>
  <c r="AZ12" i="1" s="1"/>
  <c r="F11" i="2" s="1"/>
  <c r="AA12" i="1"/>
  <c r="X13" i="1"/>
  <c r="BZ13" i="1" s="1"/>
  <c r="CD13" i="1" s="1"/>
  <c r="U14" i="1"/>
  <c r="BR14" i="1" s="1"/>
  <c r="AX14" i="1" s="1"/>
  <c r="D13" i="2" s="1"/>
  <c r="AC14" i="1"/>
  <c r="W16" i="1"/>
  <c r="CE17" i="1"/>
  <c r="CN17" i="1" s="1"/>
  <c r="R18" i="1"/>
  <c r="BP18" i="1" s="1"/>
  <c r="Y18" i="1"/>
  <c r="CJ18" i="1" s="1"/>
  <c r="V19" i="1"/>
  <c r="BW19" i="1" s="1"/>
  <c r="BH19" i="1" s="1"/>
  <c r="N18" i="2" s="1"/>
  <c r="AD19" i="1"/>
  <c r="BV19" i="1" s="1"/>
  <c r="BF19" i="1" s="1"/>
  <c r="L18" i="2" s="1"/>
  <c r="S20" i="1"/>
  <c r="AA20" i="1"/>
  <c r="X21" i="1"/>
  <c r="BZ21" i="1" s="1"/>
  <c r="U22" i="1"/>
  <c r="AC22" i="1"/>
  <c r="Y24" i="1"/>
  <c r="CJ24" i="1" s="1"/>
  <c r="Z25" i="1"/>
  <c r="U28" i="1"/>
  <c r="BR28" i="1" s="1"/>
  <c r="AX28" i="1" s="1"/>
  <c r="D27" i="2" s="1"/>
  <c r="BV31" i="1"/>
  <c r="BF31" i="1" s="1"/>
  <c r="L30" i="2" s="1"/>
  <c r="CE35" i="1"/>
  <c r="CJ37" i="1"/>
  <c r="W11" i="1"/>
  <c r="T12" i="1"/>
  <c r="BQ12" i="1" s="1"/>
  <c r="AY12" i="1" s="1"/>
  <c r="E11" i="2" s="1"/>
  <c r="R13" i="1"/>
  <c r="BP13" i="1" s="1"/>
  <c r="V14" i="1"/>
  <c r="BT14" i="1" s="1"/>
  <c r="BB14" i="1" s="1"/>
  <c r="H13" i="2" s="1"/>
  <c r="W19" i="1"/>
  <c r="T20" i="1"/>
  <c r="BQ20" i="1" s="1"/>
  <c r="AY20" i="1" s="1"/>
  <c r="E19" i="2" s="1"/>
  <c r="R21" i="1"/>
  <c r="BP21" i="1" s="1"/>
  <c r="V22" i="1"/>
  <c r="BT22" i="1" s="1"/>
  <c r="BB22" i="1" s="1"/>
  <c r="H21" i="2" s="1"/>
  <c r="CD23" i="1"/>
  <c r="Z24" i="1"/>
  <c r="R25" i="1"/>
  <c r="BP25" i="1" s="1"/>
  <c r="AA25" i="1"/>
  <c r="V28" i="1"/>
  <c r="BU28" i="1" s="1"/>
  <c r="BD28" i="1" s="1"/>
  <c r="J27" i="2" s="1"/>
  <c r="BW31" i="1"/>
  <c r="BH31" i="1" s="1"/>
  <c r="N30" i="2" s="1"/>
  <c r="CI36" i="1"/>
  <c r="BL36" i="1" s="1"/>
  <c r="BN36" i="1" s="1"/>
  <c r="AT36" i="1" s="1"/>
  <c r="W33" i="1"/>
  <c r="BR35" i="1"/>
  <c r="AX35" i="1" s="1"/>
  <c r="D34" i="2" s="1"/>
  <c r="BR37" i="1"/>
  <c r="AX37" i="1" s="1"/>
  <c r="D36" i="2" s="1"/>
  <c r="R39" i="1"/>
  <c r="BP39" i="1" s="1"/>
  <c r="W42" i="1"/>
  <c r="BT45" i="1"/>
  <c r="BB45" i="1" s="1"/>
  <c r="H44" i="2" s="1"/>
  <c r="CE45" i="1"/>
  <c r="BV50" i="1"/>
  <c r="BF50" i="1" s="1"/>
  <c r="L49" i="2" s="1"/>
  <c r="BI59" i="1"/>
  <c r="BK59" i="1" s="1"/>
  <c r="P58" i="2" s="1"/>
  <c r="BI60" i="1"/>
  <c r="BK60" i="1" s="1"/>
  <c r="P59" i="2" s="1"/>
  <c r="AE39" i="1"/>
  <c r="W39" i="1"/>
  <c r="AD39" i="1"/>
  <c r="V39" i="1"/>
  <c r="BU39" i="1" s="1"/>
  <c r="BD39" i="1" s="1"/>
  <c r="J38" i="2" s="1"/>
  <c r="AB39" i="1"/>
  <c r="T39" i="1"/>
  <c r="Y41" i="1"/>
  <c r="R41" i="1"/>
  <c r="BP41" i="1" s="1"/>
  <c r="X41" i="1"/>
  <c r="BZ41" i="1" s="1"/>
  <c r="AD41" i="1"/>
  <c r="V41" i="1"/>
  <c r="CE41" i="1" s="1"/>
  <c r="AC41" i="1"/>
  <c r="BU41" i="1" s="1"/>
  <c r="BD41" i="1" s="1"/>
  <c r="J40" i="2" s="1"/>
  <c r="CJ55" i="1"/>
  <c r="BJ59" i="1"/>
  <c r="BM59" i="1"/>
  <c r="R26" i="1"/>
  <c r="BP26" i="1" s="1"/>
  <c r="Y26" i="1"/>
  <c r="CJ26" i="1" s="1"/>
  <c r="X29" i="1"/>
  <c r="BZ29" i="1" s="1"/>
  <c r="CD29" i="1" s="1"/>
  <c r="AB31" i="1"/>
  <c r="CI31" i="1" s="1"/>
  <c r="BL31" i="1" s="1"/>
  <c r="BN31" i="1" s="1"/>
  <c r="T31" i="1"/>
  <c r="BQ31" i="1" s="1"/>
  <c r="AY31" i="1" s="1"/>
  <c r="E30" i="2" s="1"/>
  <c r="AA31" i="1"/>
  <c r="CJ31" i="1" s="1"/>
  <c r="V32" i="1"/>
  <c r="BT32" i="1" s="1"/>
  <c r="BB32" i="1" s="1"/>
  <c r="H31" i="2" s="1"/>
  <c r="AE32" i="1"/>
  <c r="Y33" i="1"/>
  <c r="BT34" i="1"/>
  <c r="BB34" i="1" s="1"/>
  <c r="H33" i="2" s="1"/>
  <c r="BT35" i="1"/>
  <c r="BB35" i="1" s="1"/>
  <c r="H34" i="2" s="1"/>
  <c r="CE37" i="1"/>
  <c r="S39" i="1"/>
  <c r="AB40" i="1"/>
  <c r="CI40" i="1" s="1"/>
  <c r="BL40" i="1" s="1"/>
  <c r="BN40" i="1" s="1"/>
  <c r="T40" i="1"/>
  <c r="BQ40" i="1" s="1"/>
  <c r="AY40" i="1" s="1"/>
  <c r="E39" i="2" s="1"/>
  <c r="AA40" i="1"/>
  <c r="S40" i="1"/>
  <c r="BS40" i="1" s="1" a="1"/>
  <c r="BS40" i="1" s="1"/>
  <c r="AZ40" i="1" s="1"/>
  <c r="F39" i="2" s="1"/>
  <c r="Y40" i="1"/>
  <c r="R40" i="1"/>
  <c r="BP40" i="1" s="1"/>
  <c r="AE40" i="1"/>
  <c r="BW40" i="1" s="1"/>
  <c r="BH40" i="1" s="1"/>
  <c r="N39" i="2" s="1"/>
  <c r="S41" i="1"/>
  <c r="AE41" i="1"/>
  <c r="BW41" i="1" s="1"/>
  <c r="BH41" i="1" s="1"/>
  <c r="N40" i="2" s="1"/>
  <c r="Y42" i="1"/>
  <c r="CJ42" i="1" s="1"/>
  <c r="BQ43" i="1"/>
  <c r="AY43" i="1" s="1"/>
  <c r="E42" i="2" s="1"/>
  <c r="AE47" i="1"/>
  <c r="BW47" i="1" s="1"/>
  <c r="BH47" i="1" s="1"/>
  <c r="N46" i="2" s="1"/>
  <c r="W47" i="1"/>
  <c r="AD47" i="1"/>
  <c r="V47" i="1"/>
  <c r="AC47" i="1"/>
  <c r="U47" i="1"/>
  <c r="BR47" i="1" s="1"/>
  <c r="AX47" i="1" s="1"/>
  <c r="D46" i="2" s="1"/>
  <c r="AB47" i="1"/>
  <c r="CI47" i="1" s="1"/>
  <c r="T47" i="1"/>
  <c r="AA47" i="1"/>
  <c r="CJ47" i="1" s="1"/>
  <c r="S47" i="1"/>
  <c r="BT48" i="1"/>
  <c r="BB48" i="1" s="1"/>
  <c r="H47" i="2" s="1"/>
  <c r="Y49" i="1"/>
  <c r="R49" i="1"/>
  <c r="BP49" i="1" s="1"/>
  <c r="X49" i="1"/>
  <c r="BZ49" i="1" s="1"/>
  <c r="CD49" i="1" s="1"/>
  <c r="AE49" i="1"/>
  <c r="BW49" i="1" s="1"/>
  <c r="BH49" i="1" s="1"/>
  <c r="N48" i="2" s="1"/>
  <c r="W49" i="1"/>
  <c r="AD49" i="1"/>
  <c r="BV49" i="1" s="1"/>
  <c r="BF49" i="1" s="1"/>
  <c r="L48" i="2" s="1"/>
  <c r="V49" i="1"/>
  <c r="CI49" i="1" s="1"/>
  <c r="BL49" i="1" s="1"/>
  <c r="BN49" i="1" s="1"/>
  <c r="AC49" i="1"/>
  <c r="U49" i="1"/>
  <c r="BR49" i="1" s="1"/>
  <c r="AX49" i="1" s="1"/>
  <c r="D48" i="2" s="1"/>
  <c r="CD50" i="1"/>
  <c r="BL59" i="1"/>
  <c r="BN59" i="1" s="1"/>
  <c r="BJ61" i="1"/>
  <c r="BM61" i="1"/>
  <c r="Z26" i="1"/>
  <c r="CI26" i="1" s="1"/>
  <c r="BL26" i="1" s="1"/>
  <c r="BN26" i="1" s="1"/>
  <c r="R29" i="1"/>
  <c r="BP29" i="1" s="1"/>
  <c r="Y29" i="1"/>
  <c r="CJ29" i="1" s="1"/>
  <c r="S31" i="1"/>
  <c r="BS31" i="1" s="1" a="1"/>
  <c r="BS31" i="1" s="1"/>
  <c r="AZ31" i="1" s="1"/>
  <c r="F30" i="2" s="1"/>
  <c r="AC31" i="1"/>
  <c r="BU31" i="1" s="1"/>
  <c r="BD31" i="1" s="1"/>
  <c r="J30" i="2" s="1"/>
  <c r="R33" i="1"/>
  <c r="BP33" i="1" s="1"/>
  <c r="U39" i="1"/>
  <c r="T41" i="1"/>
  <c r="BR43" i="1"/>
  <c r="AX43" i="1" s="1"/>
  <c r="D42" i="2" s="1"/>
  <c r="X47" i="1"/>
  <c r="BZ47" i="1" s="1"/>
  <c r="BW48" i="1"/>
  <c r="BH48" i="1" s="1"/>
  <c r="N47" i="2" s="1"/>
  <c r="S49" i="1"/>
  <c r="BS49" i="1" s="1" a="1"/>
  <c r="BS49" i="1" s="1"/>
  <c r="AZ49" i="1" s="1"/>
  <c r="F48" i="2" s="1"/>
  <c r="BI53" i="1"/>
  <c r="BK53" i="1" s="1"/>
  <c r="P52" i="2" s="1"/>
  <c r="BJ53" i="1"/>
  <c r="BM53" i="1"/>
  <c r="AT53" i="1" s="1"/>
  <c r="BI54" i="1"/>
  <c r="BK54" i="1" s="1"/>
  <c r="P53" i="2" s="1"/>
  <c r="BM60" i="1"/>
  <c r="BJ60" i="1"/>
  <c r="Z29" i="1"/>
  <c r="CI29" i="1" s="1"/>
  <c r="BL29" i="1" s="1"/>
  <c r="BN29" i="1" s="1"/>
  <c r="AD33" i="1"/>
  <c r="BV33" i="1" s="1"/>
  <c r="BF33" i="1" s="1"/>
  <c r="L32" i="2" s="1"/>
  <c r="V33" i="1"/>
  <c r="BS33" i="1" s="1" a="1"/>
  <c r="BS33" i="1" s="1"/>
  <c r="AZ33" i="1" s="1"/>
  <c r="F32" i="2" s="1"/>
  <c r="AA33" i="1"/>
  <c r="CJ35" i="1"/>
  <c r="X39" i="1"/>
  <c r="BZ39" i="1" s="1"/>
  <c r="U41" i="1"/>
  <c r="BR41" i="1" s="1"/>
  <c r="AX41" i="1" s="1"/>
  <c r="D40" i="2" s="1"/>
  <c r="BQ49" i="1"/>
  <c r="AY49" i="1" s="1"/>
  <c r="E48" i="2" s="1"/>
  <c r="BU50" i="1"/>
  <c r="BD50" i="1" s="1"/>
  <c r="J49" i="2" s="1"/>
  <c r="BM54" i="1"/>
  <c r="AT54" i="1" s="1"/>
  <c r="BJ54" i="1"/>
  <c r="BI56" i="1"/>
  <c r="BK56" i="1" s="1"/>
  <c r="P55" i="2" s="1"/>
  <c r="BL60" i="1"/>
  <c r="BN60" i="1" s="1"/>
  <c r="U26" i="1"/>
  <c r="BR26" i="1" s="1"/>
  <c r="AX26" i="1" s="1"/>
  <c r="D25" i="2" s="1"/>
  <c r="T29" i="1"/>
  <c r="BQ29" i="1" s="1"/>
  <c r="AY29" i="1" s="1"/>
  <c r="E28" i="2" s="1"/>
  <c r="AB29" i="1"/>
  <c r="CE31" i="1"/>
  <c r="Y32" i="1"/>
  <c r="R32" i="1"/>
  <c r="BP32" i="1" s="1"/>
  <c r="AA32" i="1"/>
  <c r="T33" i="1"/>
  <c r="BQ33" i="1" s="1"/>
  <c r="AY33" i="1" s="1"/>
  <c r="E32" i="2" s="1"/>
  <c r="AC33" i="1"/>
  <c r="BU33" i="1" s="1"/>
  <c r="BD33" i="1" s="1"/>
  <c r="J32" i="2" s="1"/>
  <c r="Z39" i="1"/>
  <c r="Z41" i="1"/>
  <c r="AD42" i="1"/>
  <c r="V42" i="1"/>
  <c r="CI42" i="1" s="1"/>
  <c r="AC42" i="1"/>
  <c r="BU42" i="1" s="1"/>
  <c r="BD42" i="1" s="1"/>
  <c r="J41" i="2" s="1"/>
  <c r="U42" i="1"/>
  <c r="AA42" i="1"/>
  <c r="S42" i="1"/>
  <c r="X44" i="1"/>
  <c r="BZ44" i="1" s="1"/>
  <c r="AE44" i="1"/>
  <c r="W44" i="1"/>
  <c r="AD44" i="1"/>
  <c r="V44" i="1"/>
  <c r="CJ44" i="1" s="1"/>
  <c r="AC44" i="1"/>
  <c r="U44" i="1"/>
  <c r="AB44" i="1"/>
  <c r="CI44" i="1" s="1"/>
  <c r="T44" i="1"/>
  <c r="BQ45" i="1"/>
  <c r="AY45" i="1" s="1"/>
  <c r="E44" i="2" s="1"/>
  <c r="BU46" i="1"/>
  <c r="BD46" i="1" s="1"/>
  <c r="J45" i="2" s="1"/>
  <c r="CJ48" i="1"/>
  <c r="AA49" i="1"/>
  <c r="BL54" i="1"/>
  <c r="BN54" i="1" s="1"/>
  <c r="U29" i="1"/>
  <c r="BR29" i="1" s="1"/>
  <c r="AX29" i="1" s="1"/>
  <c r="D28" i="2" s="1"/>
  <c r="X31" i="1"/>
  <c r="BZ31" i="1" s="1"/>
  <c r="CD31" i="1" s="1"/>
  <c r="S32" i="1"/>
  <c r="AB32" i="1"/>
  <c r="CI32" i="1" s="1"/>
  <c r="U33" i="1"/>
  <c r="BR33" i="1" s="1"/>
  <c r="AX33" i="1" s="1"/>
  <c r="D32" i="2" s="1"/>
  <c r="AE33" i="1"/>
  <c r="BW33" i="1" s="1"/>
  <c r="BH33" i="1" s="1"/>
  <c r="N32" i="2" s="1"/>
  <c r="AC34" i="1"/>
  <c r="BU34" i="1" s="1"/>
  <c r="BD34" i="1" s="1"/>
  <c r="J33" i="2" s="1"/>
  <c r="U34" i="1"/>
  <c r="BR34" i="1" s="1"/>
  <c r="AX34" i="1" s="1"/>
  <c r="D33" i="2" s="1"/>
  <c r="AA34" i="1"/>
  <c r="CJ34" i="1" s="1"/>
  <c r="S34" i="1"/>
  <c r="BS34" i="1" s="1" a="1"/>
  <c r="BS34" i="1" s="1"/>
  <c r="AZ34" i="1" s="1"/>
  <c r="F33" i="2" s="1"/>
  <c r="AD34" i="1"/>
  <c r="BV34" i="1" s="1"/>
  <c r="BF34" i="1" s="1"/>
  <c r="L33" i="2" s="1"/>
  <c r="AE36" i="1"/>
  <c r="BW36" i="1" s="1"/>
  <c r="BH36" i="1" s="1"/>
  <c r="N35" i="2" s="1"/>
  <c r="W36" i="1"/>
  <c r="AC36" i="1"/>
  <c r="BU36" i="1" s="1"/>
  <c r="BD36" i="1" s="1"/>
  <c r="J35" i="2" s="1"/>
  <c r="U36" i="1"/>
  <c r="BR36" i="1" s="1"/>
  <c r="AX36" i="1" s="1"/>
  <c r="D35" i="2" s="1"/>
  <c r="AB36" i="1"/>
  <c r="BS37" i="1" a="1"/>
  <c r="BS37" i="1" s="1"/>
  <c r="AZ37" i="1" s="1"/>
  <c r="F36" i="2" s="1"/>
  <c r="AA39" i="1"/>
  <c r="CJ39" i="1" s="1"/>
  <c r="AA41" i="1"/>
  <c r="T42" i="1"/>
  <c r="BV43" i="1"/>
  <c r="BF43" i="1" s="1"/>
  <c r="L42" i="2" s="1"/>
  <c r="BS44" i="1" a="1"/>
  <c r="BS44" i="1" s="1"/>
  <c r="AZ44" i="1" s="1"/>
  <c r="F43" i="2" s="1"/>
  <c r="BQ46" i="1"/>
  <c r="AY46" i="1" s="1"/>
  <c r="E45" i="2" s="1"/>
  <c r="BW46" i="1"/>
  <c r="BH46" i="1" s="1"/>
  <c r="N45" i="2" s="1"/>
  <c r="W50" i="1"/>
  <c r="AE50" i="1"/>
  <c r="BW50" i="1" s="1"/>
  <c r="BH50" i="1" s="1"/>
  <c r="N49" i="2" s="1"/>
  <c r="T51" i="1"/>
  <c r="BQ51" i="1" s="1"/>
  <c r="AY51" i="1" s="1"/>
  <c r="E50" i="2" s="1"/>
  <c r="AB51" i="1"/>
  <c r="R52" i="1"/>
  <c r="BP52" i="1" s="1"/>
  <c r="Y52" i="1"/>
  <c r="X55" i="1"/>
  <c r="BZ55" i="1" s="1"/>
  <c r="CD55" i="1" s="1"/>
  <c r="BT56" i="1"/>
  <c r="BB56" i="1" s="1"/>
  <c r="H55" i="2" s="1"/>
  <c r="Z57" i="1"/>
  <c r="W58" i="1"/>
  <c r="AE58" i="1"/>
  <c r="BW58" i="1" s="1"/>
  <c r="BH58" i="1" s="1"/>
  <c r="N57" i="2" s="1"/>
  <c r="BS59" i="1" a="1"/>
  <c r="BS59" i="1" s="1"/>
  <c r="AZ59" i="1" s="1"/>
  <c r="F58" i="2" s="1"/>
  <c r="CE59" i="1"/>
  <c r="CN59" i="1" s="1"/>
  <c r="BV61" i="1"/>
  <c r="BF61" i="1" s="1"/>
  <c r="L60" i="2" s="1"/>
  <c r="Z52" i="1"/>
  <c r="Z55" i="1"/>
  <c r="CI55" i="1" s="1"/>
  <c r="BL55" i="1" s="1"/>
  <c r="BN55" i="1" s="1"/>
  <c r="BR65" i="1"/>
  <c r="AX65" i="1" s="1"/>
  <c r="W43" i="1"/>
  <c r="AE43" i="1"/>
  <c r="BW43" i="1" s="1"/>
  <c r="BH43" i="1" s="1"/>
  <c r="N42" i="2" s="1"/>
  <c r="R45" i="1"/>
  <c r="BP45" i="1" s="1"/>
  <c r="Y45" i="1"/>
  <c r="V46" i="1"/>
  <c r="AD46" i="1"/>
  <c r="BV46" i="1" s="1"/>
  <c r="BF46" i="1" s="1"/>
  <c r="L45" i="2" s="1"/>
  <c r="Z50" i="1"/>
  <c r="CI50" i="1" s="1"/>
  <c r="BL50" i="1" s="1"/>
  <c r="BN50" i="1" s="1"/>
  <c r="W51" i="1"/>
  <c r="AE51" i="1"/>
  <c r="BW51" i="1" s="1"/>
  <c r="BH51" i="1" s="1"/>
  <c r="N50" i="2" s="1"/>
  <c r="T52" i="1"/>
  <c r="AB52" i="1"/>
  <c r="S55" i="1"/>
  <c r="BS55" i="1" s="1" a="1"/>
  <c r="BS55" i="1" s="1"/>
  <c r="AZ55" i="1" s="1"/>
  <c r="F54" i="2" s="1"/>
  <c r="AA55" i="1"/>
  <c r="Z58" i="1"/>
  <c r="BR64" i="1"/>
  <c r="AX64" i="1" s="1"/>
  <c r="D63" i="2" s="1"/>
  <c r="BU65" i="1"/>
  <c r="BD65" i="1" s="1"/>
  <c r="Z37" i="1"/>
  <c r="CI37" i="1" s="1"/>
  <c r="BL37" i="1" s="1"/>
  <c r="BN37" i="1" s="1"/>
  <c r="X43" i="1"/>
  <c r="BZ43" i="1" s="1"/>
  <c r="CD43" i="1" s="1"/>
  <c r="Z45" i="1"/>
  <c r="CI45" i="1" s="1"/>
  <c r="BL45" i="1" s="1"/>
  <c r="BN45" i="1" s="1"/>
  <c r="S50" i="1"/>
  <c r="BS50" i="1" s="1" a="1"/>
  <c r="BS50" i="1" s="1"/>
  <c r="AZ50" i="1" s="1"/>
  <c r="F49" i="2" s="1"/>
  <c r="AA50" i="1"/>
  <c r="CJ50" i="1" s="1"/>
  <c r="X51" i="1"/>
  <c r="BZ51" i="1" s="1"/>
  <c r="CD51" i="1" s="1"/>
  <c r="U52" i="1"/>
  <c r="BR52" i="1" s="1"/>
  <c r="AX52" i="1" s="1"/>
  <c r="D51" i="2" s="1"/>
  <c r="AC52" i="1"/>
  <c r="W54" i="1"/>
  <c r="AE54" i="1"/>
  <c r="BW54" i="1" s="1"/>
  <c r="BH54" i="1" s="1"/>
  <c r="N53" i="2" s="1"/>
  <c r="T55" i="1"/>
  <c r="BQ55" i="1" s="1"/>
  <c r="AY55" i="1" s="1"/>
  <c r="E54" i="2" s="1"/>
  <c r="AB55" i="1"/>
  <c r="R56" i="1"/>
  <c r="BP56" i="1" s="1"/>
  <c r="Y56" i="1"/>
  <c r="CJ56" i="1" s="1"/>
  <c r="V57" i="1"/>
  <c r="BQ57" i="1" s="1"/>
  <c r="AY57" i="1" s="1"/>
  <c r="E56" i="2" s="1"/>
  <c r="AD57" i="1"/>
  <c r="S58" i="1"/>
  <c r="AA58" i="1"/>
  <c r="BR60" i="1"/>
  <c r="AX60" i="1" s="1"/>
  <c r="D59" i="2" s="1"/>
  <c r="BS63" i="1" a="1"/>
  <c r="BS63" i="1" s="1"/>
  <c r="AZ63" i="1" s="1"/>
  <c r="F62" i="2" s="1"/>
  <c r="CD64" i="1"/>
  <c r="R43" i="1"/>
  <c r="BP43" i="1" s="1"/>
  <c r="Y43" i="1"/>
  <c r="CJ43" i="1" s="1"/>
  <c r="S45" i="1"/>
  <c r="BS45" i="1" s="1" a="1"/>
  <c r="BS45" i="1" s="1"/>
  <c r="AZ45" i="1" s="1"/>
  <c r="F44" i="2" s="1"/>
  <c r="AA45" i="1"/>
  <c r="T50" i="1"/>
  <c r="AB50" i="1"/>
  <c r="R51" i="1"/>
  <c r="BP51" i="1" s="1"/>
  <c r="Y51" i="1"/>
  <c r="CJ51" i="1" s="1"/>
  <c r="V52" i="1"/>
  <c r="BS52" i="1" s="1" a="1"/>
  <c r="BS52" i="1" s="1"/>
  <c r="AZ52" i="1" s="1"/>
  <c r="F51" i="2" s="1"/>
  <c r="AD52" i="1"/>
  <c r="BV52" i="1" s="1"/>
  <c r="BF52" i="1" s="1"/>
  <c r="L51" i="2" s="1"/>
  <c r="U55" i="1"/>
  <c r="BR55" i="1" s="1"/>
  <c r="AX55" i="1" s="1"/>
  <c r="D54" i="2" s="1"/>
  <c r="AC55" i="1"/>
  <c r="BU55" i="1" s="1"/>
  <c r="BD55" i="1" s="1"/>
  <c r="J54" i="2" s="1"/>
  <c r="Z56" i="1"/>
  <c r="CI56" i="1" s="1"/>
  <c r="BL56" i="1" s="1"/>
  <c r="BN56" i="1" s="1"/>
  <c r="W57" i="1"/>
  <c r="AE57" i="1"/>
  <c r="T58" i="1"/>
  <c r="AB58" i="1"/>
  <c r="BR63" i="1"/>
  <c r="AX63" i="1" s="1"/>
  <c r="D62" i="2" s="1"/>
  <c r="BU64" i="1"/>
  <c r="BD64" i="1" s="1"/>
  <c r="J63" i="2" s="1"/>
  <c r="T37" i="1"/>
  <c r="BQ37" i="1" s="1"/>
  <c r="AY37" i="1" s="1"/>
  <c r="E36" i="2" s="1"/>
  <c r="Z43" i="1"/>
  <c r="CI43" i="1" s="1"/>
  <c r="BL43" i="1" s="1"/>
  <c r="BN43" i="1" s="1"/>
  <c r="Z51" i="1"/>
  <c r="W52" i="1"/>
  <c r="AE52" i="1"/>
  <c r="CE53" i="1"/>
  <c r="CN53" i="1" s="1"/>
  <c r="U58" i="1"/>
  <c r="BR58" i="1" s="1"/>
  <c r="AX58" i="1" s="1"/>
  <c r="D57" i="2" s="1"/>
  <c r="AC58" i="1"/>
  <c r="S43" i="1"/>
  <c r="BS43" i="1" s="1" a="1"/>
  <c r="BS43" i="1" s="1"/>
  <c r="AZ43" i="1" s="1"/>
  <c r="F42" i="2" s="1"/>
  <c r="U45" i="1"/>
  <c r="BR45" i="1" s="1"/>
  <c r="AX45" i="1" s="1"/>
  <c r="D44" i="2" s="1"/>
  <c r="V50" i="1"/>
  <c r="BR50" i="1" s="1"/>
  <c r="AX50" i="1" s="1"/>
  <c r="D49" i="2" s="1"/>
  <c r="S51" i="1"/>
  <c r="BS51" i="1" s="1" a="1"/>
  <c r="BS51" i="1" s="1"/>
  <c r="AZ51" i="1" s="1"/>
  <c r="F50" i="2" s="1"/>
  <c r="W55" i="1"/>
  <c r="T56" i="1"/>
  <c r="BQ56" i="1" s="1"/>
  <c r="AY56" i="1" s="1"/>
  <c r="E55" i="2" s="1"/>
  <c r="R57" i="1"/>
  <c r="BP57" i="1" s="1"/>
  <c r="V58" i="1"/>
  <c r="CJ58" i="1" s="1"/>
  <c r="BV62" i="1"/>
  <c r="BF62" i="1" s="1"/>
  <c r="L61" i="2" s="1"/>
  <c r="Z66" i="1"/>
  <c r="Z61" i="1"/>
  <c r="W62" i="1"/>
  <c r="AE62" i="1"/>
  <c r="BW62" i="1" s="1"/>
  <c r="BH62" i="1" s="1"/>
  <c r="N61" i="2" s="1"/>
  <c r="T63" i="1"/>
  <c r="BQ63" i="1" s="1"/>
  <c r="AY63" i="1" s="1"/>
  <c r="E62" i="2" s="1"/>
  <c r="AB63" i="1"/>
  <c r="CI63" i="1" s="1"/>
  <c r="BL63" i="1" s="1"/>
  <c r="BN63" i="1" s="1"/>
  <c r="R64" i="1"/>
  <c r="BP64" i="1" s="1"/>
  <c r="Y64" i="1"/>
  <c r="V65" i="1"/>
  <c r="AD65" i="1"/>
  <c r="BV65" i="1" s="1"/>
  <c r="BF65" i="1" s="1"/>
  <c r="S66" i="1"/>
  <c r="AA66" i="1"/>
  <c r="CJ66" i="1" s="1"/>
  <c r="Z64" i="1"/>
  <c r="CI64" i="1" s="1"/>
  <c r="BL64" i="1" s="1"/>
  <c r="BN64" i="1" s="1"/>
  <c r="W65" i="1"/>
  <c r="AE65" i="1"/>
  <c r="BW65" i="1" s="1"/>
  <c r="BH65" i="1" s="1"/>
  <c r="T66" i="1"/>
  <c r="AB66" i="1"/>
  <c r="W60" i="1"/>
  <c r="AE60" i="1"/>
  <c r="BW60" i="1" s="1"/>
  <c r="BH60" i="1" s="1"/>
  <c r="N59" i="2" s="1"/>
  <c r="T61" i="1"/>
  <c r="BQ61" i="1" s="1"/>
  <c r="AY61" i="1" s="1"/>
  <c r="E60" i="2" s="1"/>
  <c r="AB61" i="1"/>
  <c r="R62" i="1"/>
  <c r="BP62" i="1" s="1"/>
  <c r="Y62" i="1"/>
  <c r="CJ62" i="1" s="1"/>
  <c r="V63" i="1"/>
  <c r="CD63" i="1" s="1"/>
  <c r="AD63" i="1"/>
  <c r="BV63" i="1" s="1"/>
  <c r="BF63" i="1" s="1"/>
  <c r="L62" i="2" s="1"/>
  <c r="S64" i="1"/>
  <c r="AA64" i="1"/>
  <c r="X65" i="1"/>
  <c r="BZ65" i="1" s="1"/>
  <c r="CD65" i="1" s="1"/>
  <c r="U66" i="1"/>
  <c r="BR66" i="1" s="1"/>
  <c r="AX66" i="1" s="1"/>
  <c r="AC66" i="1"/>
  <c r="Z62" i="1"/>
  <c r="CI62" i="1" s="1"/>
  <c r="BL62" i="1" s="1"/>
  <c r="BN62" i="1" s="1"/>
  <c r="W63" i="1"/>
  <c r="AE63" i="1"/>
  <c r="BW63" i="1" s="1"/>
  <c r="BH63" i="1" s="1"/>
  <c r="N62" i="2" s="1"/>
  <c r="T64" i="1"/>
  <c r="AB64" i="1"/>
  <c r="R65" i="1"/>
  <c r="BP65" i="1" s="1"/>
  <c r="Y65" i="1"/>
  <c r="CJ65" i="1" s="1"/>
  <c r="V66" i="1"/>
  <c r="AD66" i="1"/>
  <c r="Z65" i="1"/>
  <c r="W66" i="1"/>
  <c r="AE66" i="1"/>
  <c r="W61" i="1"/>
  <c r="T62" i="1"/>
  <c r="BQ62" i="1" s="1"/>
  <c r="AY62" i="1" s="1"/>
  <c r="E61" i="2" s="1"/>
  <c r="R63" i="1"/>
  <c r="BP63" i="1" s="1"/>
  <c r="Y63" i="1"/>
  <c r="CJ63" i="1" s="1"/>
  <c r="V64" i="1"/>
  <c r="BW64" i="1" s="1"/>
  <c r="BH64" i="1" s="1"/>
  <c r="N63" i="2" s="1"/>
  <c r="AD64" i="1"/>
  <c r="S65" i="1"/>
  <c r="BS65" i="1" s="1" a="1"/>
  <c r="BS65" i="1" s="1"/>
  <c r="AZ65" i="1" s="1"/>
  <c r="AA65" i="1"/>
  <c r="X66" i="1"/>
  <c r="BZ66" i="1" s="1"/>
  <c r="W64" i="1"/>
  <c r="T65" i="1"/>
  <c r="BQ65" i="1" s="1"/>
  <c r="AY65" i="1" s="1"/>
  <c r="R66" i="1"/>
  <c r="BP66" i="1" s="1"/>
  <c r="BM8" i="1" l="1"/>
  <c r="BJ8" i="1"/>
  <c r="BM31" i="1"/>
  <c r="AT31" i="1" s="1"/>
  <c r="BJ31" i="1"/>
  <c r="BM44" i="1"/>
  <c r="BJ44" i="1"/>
  <c r="BM66" i="1"/>
  <c r="BJ66" i="1"/>
  <c r="BM50" i="1"/>
  <c r="AT50" i="1" s="1"/>
  <c r="BJ50" i="1"/>
  <c r="BM22" i="1"/>
  <c r="BJ22" i="1"/>
  <c r="BM39" i="1"/>
  <c r="BJ39" i="1"/>
  <c r="BM14" i="1"/>
  <c r="BJ14" i="1"/>
  <c r="BM47" i="1"/>
  <c r="BJ47" i="1"/>
  <c r="BM58" i="1"/>
  <c r="BJ58" i="1"/>
  <c r="BM11" i="1"/>
  <c r="BJ11" i="1"/>
  <c r="BM21" i="1"/>
  <c r="BJ21" i="1"/>
  <c r="BM13" i="1"/>
  <c r="BJ13" i="1"/>
  <c r="O58" i="2"/>
  <c r="AS59" i="1"/>
  <c r="BR57" i="1"/>
  <c r="AX57" i="1" s="1"/>
  <c r="D56" i="2" s="1"/>
  <c r="BM63" i="1"/>
  <c r="AT63" i="1" s="1"/>
  <c r="BJ63" i="1"/>
  <c r="BU66" i="1"/>
  <c r="BD66" i="1" s="1"/>
  <c r="CE65" i="1"/>
  <c r="BT65" i="1"/>
  <c r="BB65" i="1" s="1"/>
  <c r="BU58" i="1"/>
  <c r="BD58" i="1" s="1"/>
  <c r="J57" i="2" s="1"/>
  <c r="BV57" i="1"/>
  <c r="BF57" i="1" s="1"/>
  <c r="L56" i="2" s="1"/>
  <c r="BU52" i="1"/>
  <c r="BD52" i="1" s="1"/>
  <c r="J51" i="2" s="1"/>
  <c r="BQ52" i="1"/>
  <c r="AY52" i="1" s="1"/>
  <c r="E51" i="2" s="1"/>
  <c r="BS57" i="1" a="1"/>
  <c r="BS57" i="1" s="1"/>
  <c r="AZ57" i="1" s="1"/>
  <c r="F56" i="2" s="1"/>
  <c r="BR44" i="1"/>
  <c r="AX44" i="1" s="1"/>
  <c r="D43" i="2" s="1"/>
  <c r="CJ57" i="1"/>
  <c r="O52" i="2"/>
  <c r="AS53" i="1"/>
  <c r="BQ41" i="1"/>
  <c r="AY41" i="1" s="1"/>
  <c r="E40" i="2" s="1"/>
  <c r="CJ33" i="1"/>
  <c r="BQ39" i="1"/>
  <c r="AY39" i="1" s="1"/>
  <c r="E38" i="2" s="1"/>
  <c r="BT41" i="1"/>
  <c r="BB41" i="1" s="1"/>
  <c r="H40" i="2" s="1"/>
  <c r="CI24" i="1"/>
  <c r="BL24" i="1" s="1"/>
  <c r="BN24" i="1" s="1"/>
  <c r="BT8" i="1"/>
  <c r="BB8" i="1" s="1"/>
  <c r="H7" i="2" s="1"/>
  <c r="CE8" i="1"/>
  <c r="BI37" i="1"/>
  <c r="BK37" i="1" s="1"/>
  <c r="P36" i="2" s="1"/>
  <c r="CN37" i="1"/>
  <c r="BI34" i="1"/>
  <c r="BK34" i="1" s="1"/>
  <c r="P33" i="2" s="1"/>
  <c r="CJ4" i="1"/>
  <c r="BV32" i="1"/>
  <c r="BF32" i="1" s="1"/>
  <c r="L31" i="2" s="1"/>
  <c r="BQ38" i="1"/>
  <c r="AY38" i="1" s="1"/>
  <c r="E37" i="2" s="1"/>
  <c r="CI21" i="1"/>
  <c r="BM5" i="1"/>
  <c r="BJ5" i="1"/>
  <c r="O16" i="2"/>
  <c r="AS17" i="1"/>
  <c r="BV22" i="1"/>
  <c r="BF22" i="1" s="1"/>
  <c r="L21" i="2" s="1"/>
  <c r="O22" i="2"/>
  <c r="BT43" i="1"/>
  <c r="BB43" i="1" s="1"/>
  <c r="H42" i="2" s="1"/>
  <c r="CE43" i="1"/>
  <c r="BU44" i="1"/>
  <c r="BD44" i="1" s="1"/>
  <c r="J43" i="2" s="1"/>
  <c r="BR42" i="1"/>
  <c r="AX42" i="1" s="1"/>
  <c r="D41" i="2" s="1"/>
  <c r="BR39" i="1"/>
  <c r="AX39" i="1" s="1"/>
  <c r="D38" i="2" s="1"/>
  <c r="O60" i="2"/>
  <c r="BT49" i="1"/>
  <c r="BB49" i="1" s="1"/>
  <c r="H48" i="2" s="1"/>
  <c r="CE49" i="1"/>
  <c r="BQ47" i="1"/>
  <c r="AY47" i="1" s="1"/>
  <c r="E46" i="2" s="1"/>
  <c r="BW32" i="1"/>
  <c r="BH32" i="1" s="1"/>
  <c r="N31" i="2" s="1"/>
  <c r="AT59" i="1"/>
  <c r="CD42" i="1"/>
  <c r="BL42" i="1" s="1"/>
  <c r="BN42" i="1" s="1"/>
  <c r="BT42" i="1"/>
  <c r="BB42" i="1" s="1"/>
  <c r="H41" i="2" s="1"/>
  <c r="CE42" i="1"/>
  <c r="CN23" i="1"/>
  <c r="BI23" i="1"/>
  <c r="BK23" i="1" s="1"/>
  <c r="P22" i="2" s="1"/>
  <c r="BT11" i="1"/>
  <c r="BB11" i="1" s="1"/>
  <c r="H10" i="2" s="1"/>
  <c r="CE11" i="1"/>
  <c r="CI25" i="1"/>
  <c r="BL25" i="1" s="1"/>
  <c r="BN25" i="1" s="1"/>
  <c r="BW6" i="1"/>
  <c r="BH6" i="1" s="1"/>
  <c r="N5" i="2" s="1"/>
  <c r="BV6" i="1"/>
  <c r="BF6" i="1" s="1"/>
  <c r="L5" i="2" s="1"/>
  <c r="CJ28" i="1"/>
  <c r="BM25" i="1"/>
  <c r="BJ25" i="1"/>
  <c r="BI40" i="1"/>
  <c r="BK40" i="1" s="1"/>
  <c r="P39" i="2" s="1"/>
  <c r="CJ20" i="1"/>
  <c r="CN15" i="1"/>
  <c r="BI15" i="1"/>
  <c r="BK15" i="1" s="1"/>
  <c r="P14" i="2" s="1"/>
  <c r="BQ11" i="1"/>
  <c r="AY11" i="1" s="1"/>
  <c r="E10" i="2" s="1"/>
  <c r="BQ6" i="1"/>
  <c r="AY6" i="1" s="1"/>
  <c r="E5" i="2" s="1"/>
  <c r="CN34" i="1"/>
  <c r="BR13" i="1"/>
  <c r="AX13" i="1" s="1"/>
  <c r="D12" i="2" s="1"/>
  <c r="BS4" i="1" a="1"/>
  <c r="BS4" i="1" s="1"/>
  <c r="AZ4" i="1" s="1"/>
  <c r="F3" i="2" s="1"/>
  <c r="CN30" i="1"/>
  <c r="BR38" i="1"/>
  <c r="AX38" i="1" s="1"/>
  <c r="D37" i="2" s="1"/>
  <c r="BV38" i="1"/>
  <c r="BF38" i="1" s="1"/>
  <c r="L37" i="2" s="1"/>
  <c r="BS21" i="1" a="1"/>
  <c r="BS21" i="1" s="1"/>
  <c r="AZ21" i="1" s="1"/>
  <c r="F20" i="2" s="1"/>
  <c r="BS13" i="1" a="1"/>
  <c r="BS13" i="1" s="1"/>
  <c r="AZ13" i="1" s="1"/>
  <c r="F12" i="2" s="1"/>
  <c r="BT20" i="1"/>
  <c r="BB20" i="1" s="1"/>
  <c r="H19" i="2" s="1"/>
  <c r="BU20" i="1"/>
  <c r="BD20" i="1" s="1"/>
  <c r="J19" i="2" s="1"/>
  <c r="BI36" i="1"/>
  <c r="BK36" i="1" s="1"/>
  <c r="BJ9" i="1"/>
  <c r="BM9" i="1"/>
  <c r="AT15" i="1"/>
  <c r="CD22" i="1"/>
  <c r="CE51" i="1"/>
  <c r="BT51" i="1"/>
  <c r="BB51" i="1" s="1"/>
  <c r="H50" i="2" s="1"/>
  <c r="AS60" i="1"/>
  <c r="O59" i="2"/>
  <c r="BM42" i="1"/>
  <c r="BJ42" i="1"/>
  <c r="CD52" i="1"/>
  <c r="BI5" i="1"/>
  <c r="BK5" i="1" s="1"/>
  <c r="P4" i="2" s="1"/>
  <c r="CN5" i="1"/>
  <c r="CI22" i="1"/>
  <c r="CE38" i="1"/>
  <c r="BT38" i="1"/>
  <c r="BB38" i="1" s="1"/>
  <c r="H37" i="2" s="1"/>
  <c r="CD19" i="1"/>
  <c r="BL19" i="1" s="1"/>
  <c r="BN19" i="1" s="1"/>
  <c r="CE20" i="1"/>
  <c r="CN20" i="1" s="1"/>
  <c r="O14" i="2"/>
  <c r="BL23" i="1"/>
  <c r="BN23" i="1" s="1"/>
  <c r="BW20" i="1"/>
  <c r="BH20" i="1" s="1"/>
  <c r="N19" i="2" s="1"/>
  <c r="BI35" i="1"/>
  <c r="BK35" i="1" s="1"/>
  <c r="P34" i="2" s="1"/>
  <c r="CN35" i="1"/>
  <c r="CE10" i="1"/>
  <c r="CN10" i="1" s="1"/>
  <c r="BT10" i="1"/>
  <c r="BB10" i="1" s="1"/>
  <c r="H9" i="2" s="1"/>
  <c r="BS11" i="1" a="1"/>
  <c r="BS11" i="1" s="1"/>
  <c r="AZ11" i="1" s="1"/>
  <c r="F10" i="2" s="1"/>
  <c r="CD38" i="1"/>
  <c r="BW38" i="1"/>
  <c r="BH38" i="1" s="1"/>
  <c r="N37" i="2" s="1"/>
  <c r="CN9" i="1"/>
  <c r="BI9" i="1"/>
  <c r="BK9" i="1" s="1"/>
  <c r="P8" i="2" s="1"/>
  <c r="BR20" i="1"/>
  <c r="AX20" i="1" s="1"/>
  <c r="D19" i="2" s="1"/>
  <c r="CD8" i="1"/>
  <c r="BL9" i="1"/>
  <c r="BN9" i="1" s="1"/>
  <c r="BJ56" i="1"/>
  <c r="BM56" i="1"/>
  <c r="AT56" i="1" s="1"/>
  <c r="BM24" i="1"/>
  <c r="AT24" i="1" s="1"/>
  <c r="BJ24" i="1"/>
  <c r="BM18" i="1"/>
  <c r="BJ18" i="1"/>
  <c r="BV4" i="1"/>
  <c r="BF4" i="1" s="1"/>
  <c r="L3" i="2" s="1"/>
  <c r="BW4" i="1"/>
  <c r="BH4" i="1" s="1"/>
  <c r="N3" i="2" s="1"/>
  <c r="BJ48" i="1"/>
  <c r="BM48" i="1"/>
  <c r="AT48" i="1" s="1"/>
  <c r="BV58" i="1"/>
  <c r="BF58" i="1" s="1"/>
  <c r="L57" i="2" s="1"/>
  <c r="BU22" i="1"/>
  <c r="BD22" i="1" s="1"/>
  <c r="J21" i="2" s="1"/>
  <c r="BV41" i="1"/>
  <c r="BF41" i="1" s="1"/>
  <c r="L40" i="2" s="1"/>
  <c r="BT21" i="1"/>
  <c r="BB21" i="1" s="1"/>
  <c r="H20" i="2" s="1"/>
  <c r="CE21" i="1"/>
  <c r="BT13" i="1"/>
  <c r="BB13" i="1" s="1"/>
  <c r="H12" i="2" s="1"/>
  <c r="CE13" i="1"/>
  <c r="CN13" i="1" s="1"/>
  <c r="BU8" i="1"/>
  <c r="BD8" i="1" s="1"/>
  <c r="J7" i="2" s="1"/>
  <c r="BR21" i="1"/>
  <c r="AX21" i="1" s="1"/>
  <c r="D20" i="2" s="1"/>
  <c r="BS8" i="1" a="1"/>
  <c r="BS8" i="1" s="1"/>
  <c r="AZ8" i="1" s="1"/>
  <c r="F7" i="2" s="1"/>
  <c r="CI38" i="1"/>
  <c r="BT24" i="1"/>
  <c r="BB24" i="1" s="1"/>
  <c r="H23" i="2" s="1"/>
  <c r="CE24" i="1"/>
  <c r="CJ19" i="1"/>
  <c r="BQ22" i="1"/>
  <c r="AY22" i="1" s="1"/>
  <c r="E21" i="2" s="1"/>
  <c r="CE4" i="1"/>
  <c r="CN4" i="1" s="1"/>
  <c r="BI18" i="1"/>
  <c r="BK18" i="1" s="1"/>
  <c r="P17" i="2" s="1"/>
  <c r="BR4" i="1"/>
  <c r="AX4" i="1" s="1"/>
  <c r="D3" i="2" s="1"/>
  <c r="CD11" i="1"/>
  <c r="CE64" i="1"/>
  <c r="BT64" i="1"/>
  <c r="BB64" i="1" s="1"/>
  <c r="H63" i="2" s="1"/>
  <c r="BI65" i="1"/>
  <c r="BK65" i="1" s="1"/>
  <c r="BW66" i="1"/>
  <c r="BH66" i="1" s="1"/>
  <c r="BQ64" i="1"/>
  <c r="AY64" i="1" s="1"/>
  <c r="E63" i="2" s="1"/>
  <c r="BS64" i="1" a="1"/>
  <c r="BS64" i="1" s="1"/>
  <c r="AZ64" i="1" s="1"/>
  <c r="F63" i="2" s="1"/>
  <c r="BT60" i="1"/>
  <c r="BB60" i="1" s="1"/>
  <c r="H59" i="2" s="1"/>
  <c r="CE60" i="1"/>
  <c r="CN60" i="1" s="1"/>
  <c r="CI61" i="1"/>
  <c r="BT52" i="1"/>
  <c r="BB52" i="1" s="1"/>
  <c r="H51" i="2" s="1"/>
  <c r="CE52" i="1"/>
  <c r="BW57" i="1"/>
  <c r="BH57" i="1" s="1"/>
  <c r="N56" i="2" s="1"/>
  <c r="CI58" i="1"/>
  <c r="BL58" i="1" s="1"/>
  <c r="BN58" i="1" s="1"/>
  <c r="CI57" i="1"/>
  <c r="BT50" i="1"/>
  <c r="BB50" i="1" s="1"/>
  <c r="H49" i="2" s="1"/>
  <c r="CE50" i="1"/>
  <c r="CN50" i="1" s="1"/>
  <c r="BT4" i="1"/>
  <c r="BB4" i="1" s="1"/>
  <c r="H3" i="2" s="1"/>
  <c r="BL15" i="1"/>
  <c r="BN15" i="1" s="1"/>
  <c r="BL5" i="1"/>
  <c r="BN5" i="1" s="1"/>
  <c r="BJ65" i="1"/>
  <c r="BM65" i="1"/>
  <c r="BJ43" i="1"/>
  <c r="BM43" i="1"/>
  <c r="AT43" i="1" s="1"/>
  <c r="BS66" i="1" a="1"/>
  <c r="BS66" i="1" s="1"/>
  <c r="AZ66" i="1" s="1"/>
  <c r="CE62" i="1"/>
  <c r="CN62" i="1" s="1"/>
  <c r="BT62" i="1"/>
  <c r="BB62" i="1" s="1"/>
  <c r="H61" i="2" s="1"/>
  <c r="BT55" i="1"/>
  <c r="BB55" i="1" s="1"/>
  <c r="H54" i="2" s="1"/>
  <c r="CE55" i="1"/>
  <c r="BW52" i="1"/>
  <c r="BH52" i="1" s="1"/>
  <c r="N51" i="2" s="1"/>
  <c r="BQ58" i="1"/>
  <c r="AY58" i="1" s="1"/>
  <c r="E57" i="2" s="1"/>
  <c r="BJ51" i="1"/>
  <c r="BM51" i="1"/>
  <c r="AT51" i="1" s="1"/>
  <c r="CN64" i="1"/>
  <c r="BI64" i="1"/>
  <c r="BK64" i="1" s="1"/>
  <c r="P63" i="2" s="1"/>
  <c r="BI49" i="1"/>
  <c r="BK49" i="1" s="1"/>
  <c r="P48" i="2" s="1"/>
  <c r="CN49" i="1"/>
  <c r="CD57" i="1"/>
  <c r="BV39" i="1"/>
  <c r="BF39" i="1" s="1"/>
  <c r="L38" i="2" s="1"/>
  <c r="CD32" i="1"/>
  <c r="BL32" i="1" s="1"/>
  <c r="BN32" i="1" s="1"/>
  <c r="BQ42" i="1"/>
  <c r="AY42" i="1" s="1"/>
  <c r="E41" i="2" s="1"/>
  <c r="BT44" i="1"/>
  <c r="BB44" i="1" s="1"/>
  <c r="H43" i="2" s="1"/>
  <c r="CE44" i="1"/>
  <c r="BV42" i="1"/>
  <c r="BF42" i="1" s="1"/>
  <c r="L41" i="2" s="1"/>
  <c r="BU57" i="1"/>
  <c r="BD57" i="1" s="1"/>
  <c r="J56" i="2" s="1"/>
  <c r="CD39" i="1"/>
  <c r="CD58" i="1"/>
  <c r="BI50" i="1"/>
  <c r="BK50" i="1" s="1"/>
  <c r="P49" i="2" s="1"/>
  <c r="BU47" i="1"/>
  <c r="BD47" i="1" s="1"/>
  <c r="J46" i="2" s="1"/>
  <c r="BS41" i="1" a="1"/>
  <c r="BS41" i="1" s="1"/>
  <c r="AZ41" i="1" s="1"/>
  <c r="F40" i="2" s="1"/>
  <c r="BS39" i="1" a="1"/>
  <c r="BS39" i="1" s="1"/>
  <c r="AZ39" i="1" s="1"/>
  <c r="F38" i="2" s="1"/>
  <c r="BM55" i="1"/>
  <c r="AT55" i="1" s="1"/>
  <c r="BJ55" i="1"/>
  <c r="CE39" i="1"/>
  <c r="BT39" i="1"/>
  <c r="BB39" i="1" s="1"/>
  <c r="H38" i="2" s="1"/>
  <c r="BM37" i="1"/>
  <c r="AT37" i="1" s="1"/>
  <c r="BJ37" i="1"/>
  <c r="BR22" i="1"/>
  <c r="AX22" i="1" s="1"/>
  <c r="D21" i="2" s="1"/>
  <c r="CD33" i="1"/>
  <c r="BT66" i="1"/>
  <c r="BB66" i="1" s="1"/>
  <c r="CE66" i="1"/>
  <c r="CI66" i="1"/>
  <c r="CI51" i="1"/>
  <c r="BL51" i="1" s="1"/>
  <c r="BN51" i="1" s="1"/>
  <c r="BT57" i="1"/>
  <c r="BB57" i="1" s="1"/>
  <c r="H56" i="2" s="1"/>
  <c r="CE57" i="1"/>
  <c r="CE46" i="1"/>
  <c r="BT46" i="1"/>
  <c r="BB46" i="1" s="1"/>
  <c r="H45" i="2" s="1"/>
  <c r="BS46" i="1" a="1"/>
  <c r="BS46" i="1" s="1"/>
  <c r="AZ46" i="1" s="1"/>
  <c r="F45" i="2" s="1"/>
  <c r="CI52" i="1"/>
  <c r="BS32" i="1" a="1"/>
  <c r="BS32" i="1" s="1"/>
  <c r="AZ32" i="1" s="1"/>
  <c r="F31" i="2" s="1"/>
  <c r="BW44" i="1"/>
  <c r="BH44" i="1" s="1"/>
  <c r="N43" i="2" s="1"/>
  <c r="CI41" i="1"/>
  <c r="BL41" i="1" s="1"/>
  <c r="BN41" i="1" s="1"/>
  <c r="BJ35" i="1"/>
  <c r="BM35" i="1"/>
  <c r="CD47" i="1"/>
  <c r="BM29" i="1"/>
  <c r="AT29" i="1" s="1"/>
  <c r="BJ29" i="1"/>
  <c r="CJ49" i="1"/>
  <c r="CD41" i="1"/>
  <c r="BW39" i="1"/>
  <c r="BH39" i="1" s="1"/>
  <c r="N38" i="2" s="1"/>
  <c r="BR46" i="1"/>
  <c r="AX46" i="1" s="1"/>
  <c r="D45" i="2" s="1"/>
  <c r="CE33" i="1"/>
  <c r="BT33" i="1"/>
  <c r="BB33" i="1" s="1"/>
  <c r="H32" i="2" s="1"/>
  <c r="BT19" i="1"/>
  <c r="BB19" i="1" s="1"/>
  <c r="H18" i="2" s="1"/>
  <c r="CE19" i="1"/>
  <c r="CD21" i="1"/>
  <c r="BT16" i="1"/>
  <c r="BB16" i="1" s="1"/>
  <c r="H15" i="2" s="1"/>
  <c r="CE16" i="1"/>
  <c r="CN16" i="1" s="1"/>
  <c r="BM10" i="1"/>
  <c r="AT10" i="1" s="1"/>
  <c r="BJ10" i="1"/>
  <c r="BU6" i="1"/>
  <c r="BD6" i="1" s="1"/>
  <c r="J5" i="2" s="1"/>
  <c r="CI33" i="1"/>
  <c r="BL33" i="1" s="1"/>
  <c r="BN33" i="1" s="1"/>
  <c r="CI20" i="1"/>
  <c r="BL20" i="1" s="1"/>
  <c r="BN20" i="1" s="1"/>
  <c r="BR8" i="1"/>
  <c r="AX8" i="1" s="1"/>
  <c r="D7" i="2" s="1"/>
  <c r="BQ4" i="1"/>
  <c r="AY4" i="1" s="1"/>
  <c r="E3" i="2" s="1"/>
  <c r="BQ8" i="1"/>
  <c r="AY8" i="1" s="1"/>
  <c r="E7" i="2" s="1"/>
  <c r="CI8" i="1"/>
  <c r="BL8" i="1" s="1"/>
  <c r="BN8" i="1" s="1"/>
  <c r="O26" i="2"/>
  <c r="AS27" i="1"/>
  <c r="CJ38" i="1"/>
  <c r="BM7" i="1"/>
  <c r="AT7" i="1" s="1"/>
  <c r="BJ7" i="1"/>
  <c r="BV64" i="1"/>
  <c r="BF64" i="1" s="1"/>
  <c r="L63" i="2" s="1"/>
  <c r="CI65" i="1"/>
  <c r="BL65" i="1" s="1"/>
  <c r="BN65" i="1" s="1"/>
  <c r="CE63" i="1"/>
  <c r="CN63" i="1" s="1"/>
  <c r="BT63" i="1"/>
  <c r="BB63" i="1" s="1"/>
  <c r="H62" i="2" s="1"/>
  <c r="BI63" i="1"/>
  <c r="BK63" i="1" s="1"/>
  <c r="P62" i="2" s="1"/>
  <c r="BQ66" i="1"/>
  <c r="AY66" i="1" s="1"/>
  <c r="CJ64" i="1"/>
  <c r="BQ50" i="1"/>
  <c r="AY50" i="1" s="1"/>
  <c r="E49" i="2" s="1"/>
  <c r="CN43" i="1"/>
  <c r="BI43" i="1"/>
  <c r="BK43" i="1" s="1"/>
  <c r="P42" i="2" s="1"/>
  <c r="CJ45" i="1"/>
  <c r="BU63" i="1"/>
  <c r="BD63" i="1" s="1"/>
  <c r="J62" i="2" s="1"/>
  <c r="CN55" i="1"/>
  <c r="BI55" i="1"/>
  <c r="BK55" i="1" s="1"/>
  <c r="P54" i="2" s="1"/>
  <c r="BI62" i="1"/>
  <c r="BK62" i="1" s="1"/>
  <c r="P61" i="2" s="1"/>
  <c r="BI31" i="1"/>
  <c r="BK31" i="1" s="1"/>
  <c r="P30" i="2" s="1"/>
  <c r="CN31" i="1"/>
  <c r="BQ44" i="1"/>
  <c r="AY44" i="1" s="1"/>
  <c r="E43" i="2" s="1"/>
  <c r="CD44" i="1"/>
  <c r="CI39" i="1"/>
  <c r="BL39" i="1" s="1"/>
  <c r="BN39" i="1" s="1"/>
  <c r="CN56" i="1"/>
  <c r="CJ46" i="1"/>
  <c r="BU49" i="1"/>
  <c r="BD49" i="1" s="1"/>
  <c r="J48" i="2" s="1"/>
  <c r="BV47" i="1"/>
  <c r="BF47" i="1" s="1"/>
  <c r="L46" i="2" s="1"/>
  <c r="BI29" i="1"/>
  <c r="BK29" i="1" s="1"/>
  <c r="P28" i="2" s="1"/>
  <c r="CN29" i="1"/>
  <c r="BI45" i="1"/>
  <c r="BK45" i="1" s="1"/>
  <c r="P44" i="2" s="1"/>
  <c r="BQ32" i="1"/>
  <c r="AY32" i="1" s="1"/>
  <c r="E31" i="2" s="1"/>
  <c r="BR32" i="1"/>
  <c r="AX32" i="1" s="1"/>
  <c r="D31" i="2" s="1"/>
  <c r="BU14" i="1"/>
  <c r="BD14" i="1" s="1"/>
  <c r="J13" i="2" s="1"/>
  <c r="BR6" i="1"/>
  <c r="AX6" i="1" s="1"/>
  <c r="D5" i="2" s="1"/>
  <c r="O29" i="2"/>
  <c r="AS30" i="1"/>
  <c r="BT28" i="1"/>
  <c r="BB28" i="1" s="1"/>
  <c r="H27" i="2" s="1"/>
  <c r="CE28" i="1"/>
  <c r="CN28" i="1" s="1"/>
  <c r="BU19" i="1"/>
  <c r="BD19" i="1" s="1"/>
  <c r="J18" i="2" s="1"/>
  <c r="BU11" i="1"/>
  <c r="BD11" i="1" s="1"/>
  <c r="J10" i="2" s="1"/>
  <c r="CE32" i="1"/>
  <c r="BS22" i="1" a="1"/>
  <c r="BS22" i="1" s="1"/>
  <c r="AZ22" i="1" s="1"/>
  <c r="F21" i="2" s="1"/>
  <c r="BT18" i="1"/>
  <c r="BB18" i="1" s="1"/>
  <c r="H17" i="2" s="1"/>
  <c r="CE18" i="1"/>
  <c r="CN18" i="1" s="1"/>
  <c r="CJ12" i="1"/>
  <c r="BI7" i="1"/>
  <c r="BK7" i="1" s="1"/>
  <c r="P6" i="2" s="1"/>
  <c r="CN7" i="1"/>
  <c r="CI4" i="1"/>
  <c r="BL4" i="1" s="1"/>
  <c r="BN4" i="1" s="1"/>
  <c r="BS19" i="1" a="1"/>
  <c r="BS19" i="1" s="1"/>
  <c r="AZ19" i="1" s="1"/>
  <c r="F18" i="2" s="1"/>
  <c r="CJ6" i="1"/>
  <c r="CI46" i="1"/>
  <c r="CI11" i="1"/>
  <c r="BL11" i="1" s="1"/>
  <c r="BN11" i="1" s="1"/>
  <c r="BS38" i="1" a="1"/>
  <c r="BS38" i="1" s="1"/>
  <c r="AZ38" i="1" s="1"/>
  <c r="F37" i="2" s="1"/>
  <c r="BL35" i="1"/>
  <c r="BN35" i="1" s="1"/>
  <c r="CN24" i="1"/>
  <c r="BI24" i="1"/>
  <c r="BK24" i="1" s="1"/>
  <c r="P23" i="2" s="1"/>
  <c r="CI28" i="1"/>
  <c r="BL28" i="1" s="1"/>
  <c r="BN28" i="1" s="1"/>
  <c r="CE22" i="1"/>
  <c r="CE6" i="1"/>
  <c r="CN26" i="1"/>
  <c r="BW22" i="1"/>
  <c r="BH22" i="1" s="1"/>
  <c r="N21" i="2" s="1"/>
  <c r="BU4" i="1"/>
  <c r="BD4" i="1" s="1"/>
  <c r="J3" i="2" s="1"/>
  <c r="BI25" i="1"/>
  <c r="BK25" i="1" s="1"/>
  <c r="P24" i="2" s="1"/>
  <c r="CN25" i="1"/>
  <c r="CD66" i="1"/>
  <c r="CE61" i="1"/>
  <c r="BT61" i="1"/>
  <c r="BB61" i="1" s="1"/>
  <c r="H60" i="2" s="1"/>
  <c r="BT58" i="1"/>
  <c r="BB58" i="1" s="1"/>
  <c r="H57" i="2" s="1"/>
  <c r="CE58" i="1"/>
  <c r="BT36" i="1"/>
  <c r="BB36" i="1" s="1"/>
  <c r="H35" i="2" s="1"/>
  <c r="CE36" i="1"/>
  <c r="CN36" i="1" s="1"/>
  <c r="BV44" i="1"/>
  <c r="BF44" i="1" s="1"/>
  <c r="L43" i="2" s="1"/>
  <c r="CJ32" i="1"/>
  <c r="AT60" i="1"/>
  <c r="BV66" i="1"/>
  <c r="BF66" i="1" s="1"/>
  <c r="BM62" i="1"/>
  <c r="AT62" i="1" s="1"/>
  <c r="BJ62" i="1"/>
  <c r="BS58" i="1" a="1"/>
  <c r="BS58" i="1" s="1"/>
  <c r="AZ58" i="1" s="1"/>
  <c r="F57" i="2" s="1"/>
  <c r="BT54" i="1"/>
  <c r="BB54" i="1" s="1"/>
  <c r="H53" i="2" s="1"/>
  <c r="CE54" i="1"/>
  <c r="CN54" i="1" s="1"/>
  <c r="CJ52" i="1"/>
  <c r="BJ34" i="1"/>
  <c r="BM34" i="1"/>
  <c r="AT34" i="1" s="1"/>
  <c r="BS42" i="1" a="1"/>
  <c r="BS42" i="1" s="1"/>
  <c r="AZ42" i="1" s="1"/>
  <c r="F41" i="2" s="1"/>
  <c r="O53" i="2"/>
  <c r="AS54" i="1"/>
  <c r="BS47" i="1" a="1"/>
  <c r="BS47" i="1" s="1"/>
  <c r="AZ47" i="1" s="1"/>
  <c r="F46" i="2" s="1"/>
  <c r="BT47" i="1"/>
  <c r="BB47" i="1" s="1"/>
  <c r="H46" i="2" s="1"/>
  <c r="CE47" i="1"/>
  <c r="CJ40" i="1"/>
  <c r="BM26" i="1"/>
  <c r="AT26" i="1" s="1"/>
  <c r="BJ26" i="1"/>
  <c r="CN45" i="1"/>
  <c r="CJ41" i="1"/>
  <c r="CD46" i="1"/>
  <c r="BS20" i="1" a="1"/>
  <c r="BS20" i="1" s="1"/>
  <c r="AZ20" i="1" s="1"/>
  <c r="F19" i="2" s="1"/>
  <c r="AT30" i="1"/>
  <c r="BW28" i="1"/>
  <c r="BH28" i="1" s="1"/>
  <c r="N27" i="2" s="1"/>
  <c r="BR19" i="1"/>
  <c r="AX19" i="1" s="1"/>
  <c r="D18" i="2" s="1"/>
  <c r="BR11" i="1"/>
  <c r="AX11" i="1" s="1"/>
  <c r="D10" i="2" s="1"/>
  <c r="BV21" i="1"/>
  <c r="BF21" i="1" s="1"/>
  <c r="L20" i="2" s="1"/>
  <c r="CI14" i="1"/>
  <c r="BL14" i="1" s="1"/>
  <c r="BN14" i="1" s="1"/>
  <c r="BS6" i="1" a="1"/>
  <c r="BS6" i="1" s="1"/>
  <c r="AZ6" i="1" s="1"/>
  <c r="F5" i="2" s="1"/>
  <c r="CI6" i="1"/>
  <c r="BL6" i="1" s="1"/>
  <c r="BN6" i="1" s="1"/>
  <c r="BU38" i="1"/>
  <c r="BD38" i="1" s="1"/>
  <c r="J37" i="2" s="1"/>
  <c r="BU32" i="1"/>
  <c r="BD32" i="1" s="1"/>
  <c r="J31" i="2" s="1"/>
  <c r="CD14" i="1"/>
  <c r="CI13" i="1"/>
  <c r="BL13" i="1" s="1"/>
  <c r="BN13" i="1" s="1"/>
  <c r="BT6" i="1"/>
  <c r="BB6" i="1" s="1"/>
  <c r="H5" i="2" s="1"/>
  <c r="BI26" i="1"/>
  <c r="BK26" i="1" s="1"/>
  <c r="P25" i="2" s="1"/>
  <c r="O15" i="2"/>
  <c r="AT23" i="1"/>
  <c r="CD6" i="1"/>
  <c r="O61" i="2" l="1"/>
  <c r="AS62" i="1"/>
  <c r="O34" i="2"/>
  <c r="AS35" i="1"/>
  <c r="BJ38" i="1"/>
  <c r="BM38" i="1"/>
  <c r="AS65" i="1"/>
  <c r="O23" i="2"/>
  <c r="AS24" i="1"/>
  <c r="Q59" i="2"/>
  <c r="AU60" i="1"/>
  <c r="O24" i="2"/>
  <c r="AS25" i="1"/>
  <c r="O4" i="2"/>
  <c r="AS5" i="1"/>
  <c r="O20" i="2"/>
  <c r="O21" i="2"/>
  <c r="BI4" i="1"/>
  <c r="BK4" i="1" s="1"/>
  <c r="P3" i="2" s="1"/>
  <c r="BJ12" i="1"/>
  <c r="BM12" i="1"/>
  <c r="AT12" i="1" s="1"/>
  <c r="BI46" i="1"/>
  <c r="BK46" i="1" s="1"/>
  <c r="P45" i="2" s="1"/>
  <c r="CN46" i="1"/>
  <c r="Q26" i="2"/>
  <c r="AU27" i="1"/>
  <c r="CN47" i="1"/>
  <c r="BI47" i="1"/>
  <c r="BK47" i="1" s="1"/>
  <c r="P46" i="2" s="1"/>
  <c r="CN33" i="1"/>
  <c r="BI33" i="1"/>
  <c r="BK33" i="1" s="1"/>
  <c r="P32" i="2" s="1"/>
  <c r="BI51" i="1"/>
  <c r="BK51" i="1" s="1"/>
  <c r="P50" i="2" s="1"/>
  <c r="BL22" i="1"/>
  <c r="BN22" i="1" s="1"/>
  <c r="AT25" i="1"/>
  <c r="AS23" i="1"/>
  <c r="AT5" i="1"/>
  <c r="O62" i="2"/>
  <c r="AS63" i="1"/>
  <c r="BI20" i="1"/>
  <c r="BK20" i="1" s="1"/>
  <c r="P19" i="2" s="1"/>
  <c r="AT22" i="1"/>
  <c r="BI12" i="1"/>
  <c r="BK12" i="1" s="1"/>
  <c r="P11" i="2" s="1"/>
  <c r="BM41" i="1"/>
  <c r="AT41" i="1" s="1"/>
  <c r="BJ41" i="1"/>
  <c r="Q53" i="2"/>
  <c r="AU54" i="1"/>
  <c r="CN44" i="1"/>
  <c r="BI44" i="1"/>
  <c r="BK44" i="1" s="1"/>
  <c r="P43" i="2" s="1"/>
  <c r="BJ45" i="1"/>
  <c r="BM45" i="1"/>
  <c r="AT45" i="1" s="1"/>
  <c r="O9" i="2"/>
  <c r="AS10" i="1"/>
  <c r="AT35" i="1"/>
  <c r="CN51" i="1"/>
  <c r="BI38" i="1"/>
  <c r="BK38" i="1" s="1"/>
  <c r="P37" i="2" s="1"/>
  <c r="CN38" i="1"/>
  <c r="AS15" i="1"/>
  <c r="BJ28" i="1"/>
  <c r="BM28" i="1"/>
  <c r="AT28" i="1" s="1"/>
  <c r="BL21" i="1"/>
  <c r="BN21" i="1" s="1"/>
  <c r="AT21" i="1" s="1"/>
  <c r="BM33" i="1"/>
  <c r="AT33" i="1" s="1"/>
  <c r="BJ33" i="1"/>
  <c r="O10" i="2"/>
  <c r="AS11" i="1"/>
  <c r="O43" i="2"/>
  <c r="CN22" i="1"/>
  <c r="BI22" i="1"/>
  <c r="BK22" i="1" s="1"/>
  <c r="P21" i="2" s="1"/>
  <c r="AT16" i="1"/>
  <c r="AT11" i="1"/>
  <c r="O13" i="2"/>
  <c r="O49" i="2"/>
  <c r="AS50" i="1"/>
  <c r="AT44" i="1"/>
  <c r="CN65" i="1"/>
  <c r="BM19" i="1"/>
  <c r="AT19" i="1" s="1"/>
  <c r="BJ19" i="1"/>
  <c r="BI52" i="1"/>
  <c r="BK52" i="1" s="1"/>
  <c r="P51" i="2" s="1"/>
  <c r="CN52" i="1"/>
  <c r="CN42" i="1"/>
  <c r="BI42" i="1"/>
  <c r="BK42" i="1" s="1"/>
  <c r="P41" i="2" s="1"/>
  <c r="Q58" i="2"/>
  <c r="AU59" i="1"/>
  <c r="BL47" i="1"/>
  <c r="BN47" i="1" s="1"/>
  <c r="AT47" i="1" s="1"/>
  <c r="AT14" i="1"/>
  <c r="O30" i="2"/>
  <c r="AS31" i="1"/>
  <c r="O36" i="2"/>
  <c r="AS37" i="1"/>
  <c r="BL61" i="1"/>
  <c r="BN61" i="1" s="1"/>
  <c r="AT61" i="1" s="1"/>
  <c r="BI61" i="1"/>
  <c r="BK61" i="1" s="1"/>
  <c r="O47" i="2"/>
  <c r="AS48" i="1"/>
  <c r="O25" i="2"/>
  <c r="AS26" i="1"/>
  <c r="Q29" i="2"/>
  <c r="AU30" i="1"/>
  <c r="BL46" i="1"/>
  <c r="BN46" i="1" s="1"/>
  <c r="BI32" i="1"/>
  <c r="BK32" i="1" s="1"/>
  <c r="P31" i="2" s="1"/>
  <c r="CN32" i="1"/>
  <c r="BI8" i="1"/>
  <c r="BK8" i="1" s="1"/>
  <c r="P7" i="2" s="1"/>
  <c r="CN8" i="1"/>
  <c r="CN19" i="1"/>
  <c r="BI19" i="1"/>
  <c r="BK19" i="1" s="1"/>
  <c r="P18" i="2" s="1"/>
  <c r="O41" i="2"/>
  <c r="AS42" i="1"/>
  <c r="AT9" i="1"/>
  <c r="Q16" i="2"/>
  <c r="AU17" i="1"/>
  <c r="BM4" i="1"/>
  <c r="AT4" i="1" s="1"/>
  <c r="BJ4" i="1"/>
  <c r="BI13" i="1"/>
  <c r="BK13" i="1" s="1"/>
  <c r="P12" i="2" s="1"/>
  <c r="Q52" i="2"/>
  <c r="AU53" i="1"/>
  <c r="O57" i="2"/>
  <c r="AS58" i="1"/>
  <c r="BL44" i="1"/>
  <c r="BN44" i="1" s="1"/>
  <c r="O55" i="2"/>
  <c r="AS56" i="1"/>
  <c r="CN6" i="1"/>
  <c r="BI6" i="1"/>
  <c r="BK6" i="1" s="1"/>
  <c r="P5" i="2" s="1"/>
  <c r="CN14" i="1"/>
  <c r="BI14" i="1"/>
  <c r="BK14" i="1" s="1"/>
  <c r="P13" i="2" s="1"/>
  <c r="CN41" i="1"/>
  <c r="BI41" i="1"/>
  <c r="BK41" i="1" s="1"/>
  <c r="P40" i="2" s="1"/>
  <c r="BJ40" i="1"/>
  <c r="BM40" i="1"/>
  <c r="AT40" i="1" s="1"/>
  <c r="O33" i="2"/>
  <c r="AS34" i="1"/>
  <c r="CN61" i="1"/>
  <c r="BM6" i="1"/>
  <c r="AT6" i="1" s="1"/>
  <c r="BJ6" i="1"/>
  <c r="BM64" i="1"/>
  <c r="AT64" i="1" s="1"/>
  <c r="BJ64" i="1"/>
  <c r="O6" i="2"/>
  <c r="AS7" i="1"/>
  <c r="CN21" i="1"/>
  <c r="BI21" i="1"/>
  <c r="BK21" i="1" s="1"/>
  <c r="P20" i="2" s="1"/>
  <c r="BM49" i="1"/>
  <c r="AT49" i="1" s="1"/>
  <c r="BJ49" i="1"/>
  <c r="BL66" i="1"/>
  <c r="BN66" i="1" s="1"/>
  <c r="AT66" i="1" s="1"/>
  <c r="CN58" i="1"/>
  <c r="BI58" i="1"/>
  <c r="BK58" i="1" s="1"/>
  <c r="P57" i="2" s="1"/>
  <c r="O42" i="2"/>
  <c r="AS43" i="1"/>
  <c r="BL57" i="1"/>
  <c r="BN57" i="1" s="1"/>
  <c r="O17" i="2"/>
  <c r="AS18" i="1"/>
  <c r="AT42" i="1"/>
  <c r="O8" i="2"/>
  <c r="AS9" i="1"/>
  <c r="BJ20" i="1"/>
  <c r="BM20" i="1"/>
  <c r="AT20" i="1" s="1"/>
  <c r="O12" i="2"/>
  <c r="AS13" i="1"/>
  <c r="AT58" i="1"/>
  <c r="O38" i="2"/>
  <c r="O7" i="2"/>
  <c r="AS8" i="1"/>
  <c r="O50" i="2"/>
  <c r="AS51" i="1"/>
  <c r="AS16" i="1"/>
  <c r="BM52" i="1"/>
  <c r="AT52" i="1" s="1"/>
  <c r="BJ52" i="1"/>
  <c r="BM32" i="1"/>
  <c r="AT32" i="1" s="1"/>
  <c r="BJ32" i="1"/>
  <c r="CN66" i="1"/>
  <c r="BI66" i="1"/>
  <c r="BK66" i="1" s="1"/>
  <c r="AS66" i="1" s="1"/>
  <c r="BM46" i="1"/>
  <c r="AT46" i="1" s="1"/>
  <c r="BJ46" i="1"/>
  <c r="O28" i="2"/>
  <c r="AS29" i="1"/>
  <c r="BL52" i="1"/>
  <c r="BN52" i="1" s="1"/>
  <c r="O54" i="2"/>
  <c r="AS55" i="1"/>
  <c r="CN39" i="1"/>
  <c r="BI39" i="1"/>
  <c r="BK39" i="1" s="1"/>
  <c r="P38" i="2" s="1"/>
  <c r="CN57" i="1"/>
  <c r="BI57" i="1"/>
  <c r="BK57" i="1" s="1"/>
  <c r="P56" i="2" s="1"/>
  <c r="AT65" i="1"/>
  <c r="CN11" i="1"/>
  <c r="BI11" i="1"/>
  <c r="BK11" i="1" s="1"/>
  <c r="P10" i="2" s="1"/>
  <c r="BL38" i="1"/>
  <c r="BN38" i="1" s="1"/>
  <c r="AT18" i="1"/>
  <c r="P35" i="2"/>
  <c r="AS36" i="1"/>
  <c r="CN12" i="1"/>
  <c r="BI28" i="1"/>
  <c r="BK28" i="1" s="1"/>
  <c r="P27" i="2" s="1"/>
  <c r="BM57" i="1"/>
  <c r="BJ57" i="1"/>
  <c r="AT13" i="1"/>
  <c r="O46" i="2"/>
  <c r="AS47" i="1"/>
  <c r="AT39" i="1"/>
  <c r="AT8" i="1"/>
  <c r="AU66" i="1" l="1"/>
  <c r="Q46" i="2"/>
  <c r="AU47" i="1"/>
  <c r="O3" i="2"/>
  <c r="AS4" i="1"/>
  <c r="Q25" i="2"/>
  <c r="AU26" i="1"/>
  <c r="Q30" i="2"/>
  <c r="AU31" i="1"/>
  <c r="AS14" i="1"/>
  <c r="Q10" i="2"/>
  <c r="AU11" i="1"/>
  <c r="AU65" i="1"/>
  <c r="Q50" i="2"/>
  <c r="AU51" i="1"/>
  <c r="Q28" i="2"/>
  <c r="AU29" i="1"/>
  <c r="O51" i="2"/>
  <c r="AS52" i="1"/>
  <c r="AS39" i="1"/>
  <c r="O63" i="2"/>
  <c r="AS64" i="1"/>
  <c r="O39" i="2"/>
  <c r="AS40" i="1"/>
  <c r="Q4" i="2"/>
  <c r="AU5" i="1"/>
  <c r="Q35" i="2"/>
  <c r="AU36" i="1"/>
  <c r="O45" i="2"/>
  <c r="AS46" i="1"/>
  <c r="Q15" i="2"/>
  <c r="AU16" i="1"/>
  <c r="Q17" i="2"/>
  <c r="AU18" i="1"/>
  <c r="O48" i="2"/>
  <c r="AS49" i="1"/>
  <c r="O5" i="2"/>
  <c r="AS6" i="1"/>
  <c r="Q47" i="2"/>
  <c r="AU48" i="1"/>
  <c r="O18" i="2"/>
  <c r="AS19" i="1"/>
  <c r="O32" i="2"/>
  <c r="AS33" i="1"/>
  <c r="Q62" i="2"/>
  <c r="AU63" i="1"/>
  <c r="O11" i="2"/>
  <c r="AS12" i="1"/>
  <c r="AT38" i="1"/>
  <c r="Q24" i="2"/>
  <c r="AU25" i="1"/>
  <c r="O37" i="2"/>
  <c r="AS38" i="1"/>
  <c r="P60" i="2"/>
  <c r="AS61" i="1"/>
  <c r="Q9" i="2"/>
  <c r="AU10" i="1"/>
  <c r="O40" i="2"/>
  <c r="AS41" i="1"/>
  <c r="AS22" i="1"/>
  <c r="Q34" i="2"/>
  <c r="AU35" i="1"/>
  <c r="Q41" i="2"/>
  <c r="AU42" i="1"/>
  <c r="Q22" i="2"/>
  <c r="AU23" i="1"/>
  <c r="O56" i="2"/>
  <c r="AS57" i="1"/>
  <c r="O31" i="2"/>
  <c r="AS32" i="1"/>
  <c r="O19" i="2"/>
  <c r="AS20" i="1"/>
  <c r="Q6" i="2"/>
  <c r="AU7" i="1"/>
  <c r="Q36" i="2"/>
  <c r="AU37" i="1"/>
  <c r="Q49" i="2"/>
  <c r="AU50" i="1"/>
  <c r="AS44" i="1"/>
  <c r="O27" i="2"/>
  <c r="AS28" i="1"/>
  <c r="Q61" i="2"/>
  <c r="AU62" i="1"/>
  <c r="Q12" i="2"/>
  <c r="AU13" i="1"/>
  <c r="Q57" i="2"/>
  <c r="AU58" i="1"/>
  <c r="Q54" i="2"/>
  <c r="AU55" i="1"/>
  <c r="Q7" i="2"/>
  <c r="AU8" i="1"/>
  <c r="Q42" i="2"/>
  <c r="AU43" i="1"/>
  <c r="Q33" i="2"/>
  <c r="AU34" i="1"/>
  <c r="AT57" i="1"/>
  <c r="Q8" i="2"/>
  <c r="AU9" i="1"/>
  <c r="Q55" i="2"/>
  <c r="AU56" i="1"/>
  <c r="Q14" i="2"/>
  <c r="AU15" i="1"/>
  <c r="O44" i="2"/>
  <c r="AS45" i="1"/>
  <c r="AS21" i="1"/>
  <c r="Q23" i="2"/>
  <c r="AU24" i="1"/>
  <c r="Q60" i="2" l="1"/>
  <c r="AU61" i="1"/>
  <c r="Q5" i="2"/>
  <c r="AU6" i="1"/>
  <c r="Q11" i="2"/>
  <c r="AU12" i="1"/>
  <c r="Q43" i="2"/>
  <c r="AU44" i="1"/>
  <c r="Q44" i="2"/>
  <c r="AU45" i="1"/>
  <c r="Q19" i="2"/>
  <c r="AU20" i="1"/>
  <c r="Q39" i="2"/>
  <c r="AU40" i="1"/>
  <c r="Q45" i="2"/>
  <c r="AU46" i="1"/>
  <c r="Q48" i="2"/>
  <c r="AU49" i="1"/>
  <c r="Q38" i="2"/>
  <c r="AU39" i="1"/>
  <c r="Q40" i="2"/>
  <c r="AU41" i="1"/>
  <c r="Q18" i="2"/>
  <c r="AU19" i="1"/>
  <c r="Q13" i="2"/>
  <c r="AU14" i="1"/>
  <c r="Q31" i="2"/>
  <c r="AU32" i="1"/>
  <c r="Q63" i="2"/>
  <c r="AU64" i="1"/>
  <c r="Q37" i="2"/>
  <c r="AU38" i="1"/>
  <c r="Q3" i="2"/>
  <c r="AU4" i="1"/>
  <c r="Q56" i="2"/>
  <c r="AU57" i="1"/>
  <c r="Q21" i="2"/>
  <c r="AU22" i="1"/>
  <c r="Q32" i="2"/>
  <c r="AU33" i="1"/>
  <c r="Q51" i="2"/>
  <c r="AU52" i="1"/>
  <c r="Q20" i="2"/>
  <c r="AU21" i="1"/>
  <c r="Q27" i="2"/>
  <c r="AU28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<sst xmlns="http://schemas.openxmlformats.org/spreadsheetml/2006/main" count="162" uniqueCount="114">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</sst>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abSelected="1" topLeftCell="BE1" zoomScale="90" zoomScaleNormal="157" workbookViewId="0">
      <selection activeCell="BH38" sqref="BH38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44" style="1" bestFit="1" customWidth="1"/>
    <col min="44" max="44" width="19.832031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6" width="10.83203125" style="1" customWidth="1"/>
    <col min="127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107.502562</v>
      </c>
      <c r="AH4" s="15">
        <v>-6.5</v>
      </c>
      <c r="AI4" s="15">
        <v>135.398967</v>
      </c>
      <c r="AJ4" s="15">
        <v>157.55381700000001</v>
      </c>
      <c r="AK4" s="15">
        <v>136.238654</v>
      </c>
      <c r="AL4" s="15">
        <v>160</v>
      </c>
      <c r="AM4" s="15">
        <v>36.528548000000001</v>
      </c>
      <c r="AN4" s="15">
        <v>29.772262999999999</v>
      </c>
      <c r="AO4" s="15">
        <v>13.696721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462.67034763840178</v>
      </c>
      <c r="AT4" s="11">
        <f t="shared" ref="AT4:AT35" si="3">SUM(AV4:BH4)+BM4+BN4</f>
        <v>462.67034763840178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8.3994213755521283</v>
      </c>
      <c r="AX4" s="1">
        <f t="shared" ref="AX4:AX35" si="7">BR4</f>
        <v>14.253856061778412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22.532116624694076</v>
      </c>
      <c r="BB4" s="1">
        <f t="shared" ref="BB4:BB35" si="11">BT4</f>
        <v>63.464284886856362</v>
      </c>
      <c r="BC4" s="1">
        <f t="shared" ref="BC4:BC35" si="12">N4/H4/(0.9*8760)</f>
        <v>11.843234411429817</v>
      </c>
      <c r="BD4" s="1">
        <f t="shared" ref="BD4:BD35" si="13">BU4</f>
        <v>26.201549810398898</v>
      </c>
      <c r="BE4" s="1">
        <f t="shared" ref="BE4:BE35" si="14">O4/H4/(0.9*8760)</f>
        <v>11.386217261862534</v>
      </c>
      <c r="BF4" s="1">
        <f t="shared" ref="BF4:BF35" si="15">BV4</f>
        <v>116.84791455349433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 t="shared" ref="BI4:BI35" si="18">SUM(CI4:CL4)-CD4</f>
        <v>1.1482317150108567</v>
      </c>
      <c r="BJ4" s="1">
        <f t="shared" ref="BJ4:BJ35" si="19">(AG4+AH4)*-1*(CJ4+CK4)</f>
        <v>-553.23516940620846</v>
      </c>
      <c r="BK4" s="1">
        <f t="shared" ref="BK4:BK35" si="20">BI4*AG4</f>
        <v>123.43785113332096</v>
      </c>
      <c r="BL4" s="1">
        <f t="shared" ref="BL4:BL35" si="21">CI4+CL4-CD4</f>
        <v>-4.3292052771934451</v>
      </c>
      <c r="BM4" s="1">
        <f t="shared" ref="BM4:BM35" si="22">(CJ4+CK4)*AH4*-1</f>
        <v>35.603340449327959</v>
      </c>
      <c r="BN4" s="1">
        <f t="shared" ref="BN4:BN35" si="23">BL4*AG4</f>
        <v>-465.4006587222155</v>
      </c>
      <c r="BP4" s="1" t="str">
        <f t="shared" ref="BP4:BP35" si="24">R4</f>
        <v>Drymill CCS Fermentation Exhaust</v>
      </c>
      <c r="BQ4" s="1">
        <f t="shared" ref="BQ4:BQ35" si="25">T4/V4/H4*AM4*-1</f>
        <v>0</v>
      </c>
      <c r="BR4" s="1">
        <f t="shared" ref="BR4:BR35" si="26">U4/V4/H4*AM4</f>
        <v>14.253856061778412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7">W4/V4/H4*AO4</f>
        <v>63.464284886856362</v>
      </c>
      <c r="BU4" s="1">
        <f t="shared" ref="BU4:BU35" si="28">AC4/V4/H4/(0.9*8760)</f>
        <v>26.201549810398898</v>
      </c>
      <c r="BV4" s="1">
        <f t="shared" ref="BV4:BV35" si="29">AD4/V4/H4/(0.9*8760)</f>
        <v>116.84791455349433</v>
      </c>
      <c r="BW4" s="1">
        <f t="shared" ref="BW4:BW35" si="30">AE4/V4/H4</f>
        <v>-115.58727210015257</v>
      </c>
      <c r="BY4" s="9">
        <f t="shared" ref="BY4:BY35" si="31">22/7</f>
        <v>3.1428571428571428</v>
      </c>
      <c r="BZ4" s="18">
        <f t="shared" ref="BZ4:BZ35" si="32">X4</f>
        <v>1.7588666580000001</v>
      </c>
      <c r="CA4" s="10">
        <v>0.1828908353</v>
      </c>
      <c r="CB4" s="9">
        <v>0.23037490999999999</v>
      </c>
      <c r="CD4" s="10">
        <f t="shared" ref="CD4:CD35" si="33">BZ4/V4/H4</f>
        <v>8.0420331877425628</v>
      </c>
      <c r="CE4" s="10">
        <f t="shared" ref="CE4:CE35" si="34">IF(W4=0, 0, CA4*W4/V4/H4)</f>
        <v>0.84743173747018186</v>
      </c>
      <c r="CF4" s="10">
        <f t="shared" ref="CF4:CF35" si="35">CB4/H4</f>
        <v>3.2699199707502675</v>
      </c>
      <c r="CG4" s="10">
        <f t="shared" ref="CG4:CG35" si="36">IF(I4=0, 0, CA4*I4/H4)</f>
        <v>0.300868918229941</v>
      </c>
      <c r="CI4" s="18">
        <f t="shared" ref="CI4:CI35" si="37">(Z4+AB4)/V4/H4</f>
        <v>3.2849650798161911</v>
      </c>
      <c r="CJ4" s="18">
        <f t="shared" ref="CJ4:CJ35" si="38">(Y4+AA4)/V4/H4</f>
        <v>2.3345798493471581</v>
      </c>
      <c r="CK4" s="10">
        <f t="shared" ref="CK4:CK35" si="39">BY4</f>
        <v>3.1428571428571428</v>
      </c>
      <c r="CL4" s="10">
        <f t="shared" ref="CL4:CL35" si="40">(L4+M4)/H4</f>
        <v>0.4278628307329263</v>
      </c>
      <c r="CN4" s="1">
        <f t="shared" ref="CN4:CN35" si="41">CD4+CE4+CG4-SUM(CI4:CL4)</f>
        <v>6.8940689265772903E-5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107.502562</v>
      </c>
      <c r="AH5" s="15">
        <v>-7.4</v>
      </c>
      <c r="AI5" s="15">
        <v>134.90066999999999</v>
      </c>
      <c r="AJ5" s="15">
        <v>153.19848999999999</v>
      </c>
      <c r="AK5" s="15">
        <v>116.053166</v>
      </c>
      <c r="AL5" s="15">
        <v>160</v>
      </c>
      <c r="AM5" s="15">
        <v>26.797730000000001</v>
      </c>
      <c r="AN5" s="15">
        <v>27.883396999999999</v>
      </c>
      <c r="AO5" s="15">
        <v>13.696721</v>
      </c>
      <c r="AQ5" s="1" t="str">
        <f t="shared" si="0"/>
        <v>NW_B-NGin</v>
      </c>
      <c r="AR5" s="1">
        <f t="shared" si="1"/>
        <v>0</v>
      </c>
      <c r="AS5" s="11">
        <f t="shared" si="2"/>
        <v>461.56544793726579</v>
      </c>
      <c r="AT5" s="11">
        <f t="shared" si="3"/>
        <v>461.56544793726556</v>
      </c>
      <c r="AU5" s="5">
        <f t="shared" si="4"/>
        <v>0</v>
      </c>
      <c r="AV5" s="5">
        <f t="shared" si="5"/>
        <v>0</v>
      </c>
      <c r="AW5" s="1">
        <f t="shared" si="6"/>
        <v>6.1619045514285036</v>
      </c>
      <c r="AX5" s="1">
        <f t="shared" si="7"/>
        <v>10.456779891782208</v>
      </c>
      <c r="AY5" s="1">
        <f t="shared" si="8"/>
        <v>0</v>
      </c>
      <c r="AZ5" s="1">
        <f t="shared" si="9"/>
        <v>731.56501329210482</v>
      </c>
      <c r="BA5" s="1">
        <f t="shared" si="10"/>
        <v>22.532116624694076</v>
      </c>
      <c r="BB5" s="1">
        <f t="shared" si="11"/>
        <v>63.464284886856362</v>
      </c>
      <c r="BC5" s="1">
        <f t="shared" si="12"/>
        <v>11.843234411429817</v>
      </c>
      <c r="BD5" s="1">
        <f t="shared" si="13"/>
        <v>26.201549810398898</v>
      </c>
      <c r="BE5" s="1">
        <f t="shared" si="14"/>
        <v>11.386217261862534</v>
      </c>
      <c r="BF5" s="1">
        <f t="shared" si="15"/>
        <v>116.84791455349433</v>
      </c>
      <c r="BG5" s="1">
        <f t="shared" si="16"/>
        <v>1.5613297332705607</v>
      </c>
      <c r="BH5" s="1">
        <f t="shared" si="17"/>
        <v>-115.58727210015257</v>
      </c>
      <c r="BI5" s="1">
        <f t="shared" si="18"/>
        <v>1.1482317150108567</v>
      </c>
      <c r="BJ5" s="1">
        <f t="shared" si="19"/>
        <v>-548.30547611322447</v>
      </c>
      <c r="BK5" s="1">
        <f t="shared" si="20"/>
        <v>123.43785113332096</v>
      </c>
      <c r="BL5" s="1">
        <f t="shared" si="21"/>
        <v>-4.3292052771934451</v>
      </c>
      <c r="BM5" s="1">
        <f t="shared" si="22"/>
        <v>40.533033742311829</v>
      </c>
      <c r="BN5" s="1">
        <f t="shared" si="23"/>
        <v>-465.4006587222155</v>
      </c>
      <c r="BP5" s="1" t="str">
        <f t="shared" si="24"/>
        <v>Drymill CCS Fermentation Exhaust</v>
      </c>
      <c r="BQ5" s="1">
        <f t="shared" si="25"/>
        <v>0</v>
      </c>
      <c r="BR5" s="1">
        <f t="shared" si="26"/>
        <v>10.456779891782208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7"/>
        <v>63.464284886856362</v>
      </c>
      <c r="BU5" s="1">
        <f t="shared" si="28"/>
        <v>26.201549810398898</v>
      </c>
      <c r="BV5" s="1">
        <f t="shared" si="29"/>
        <v>116.84791455349433</v>
      </c>
      <c r="BW5" s="1">
        <f t="shared" si="30"/>
        <v>-115.58727210015257</v>
      </c>
      <c r="BY5" s="9">
        <f t="shared" si="31"/>
        <v>3.1428571428571428</v>
      </c>
      <c r="BZ5" s="18">
        <f t="shared" si="32"/>
        <v>1.7588666580000001</v>
      </c>
      <c r="CA5" s="10">
        <v>0.1828908353</v>
      </c>
      <c r="CB5" s="9">
        <v>0.23037490999999999</v>
      </c>
      <c r="CD5" s="10">
        <f t="shared" si="33"/>
        <v>8.0420331877425628</v>
      </c>
      <c r="CE5" s="10">
        <f t="shared" si="34"/>
        <v>0.84743173747018186</v>
      </c>
      <c r="CF5" s="10">
        <f t="shared" si="35"/>
        <v>3.2699199707502675</v>
      </c>
      <c r="CG5" s="10">
        <f t="shared" si="36"/>
        <v>0.300868918229941</v>
      </c>
      <c r="CI5" s="18">
        <f t="shared" si="37"/>
        <v>3.2849650798161911</v>
      </c>
      <c r="CJ5" s="18">
        <f t="shared" si="38"/>
        <v>2.3345798493471581</v>
      </c>
      <c r="CK5" s="10">
        <f t="shared" si="39"/>
        <v>3.1428571428571428</v>
      </c>
      <c r="CL5" s="10">
        <f t="shared" si="40"/>
        <v>0.4278628307329263</v>
      </c>
      <c r="CN5" s="1">
        <f t="shared" si="41"/>
        <v>6.8940689265772903E-5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107.502562</v>
      </c>
      <c r="AH6" s="15">
        <v>-16.458953000000001</v>
      </c>
      <c r="AI6" s="15">
        <v>121.90098</v>
      </c>
      <c r="AJ6" s="15">
        <v>139.17763299999999</v>
      </c>
      <c r="AK6" s="15">
        <v>109.07949000000001</v>
      </c>
      <c r="AL6" s="15">
        <v>160</v>
      </c>
      <c r="AM6" s="15">
        <v>27.982243</v>
      </c>
      <c r="AN6" s="15">
        <v>26.416188999999999</v>
      </c>
      <c r="AO6" s="15">
        <v>13.696721</v>
      </c>
      <c r="AQ6" s="1" t="str">
        <f t="shared" si="0"/>
        <v>SW_B-NGin</v>
      </c>
      <c r="AR6" s="1">
        <f t="shared" si="1"/>
        <v>0</v>
      </c>
      <c r="AS6" s="11">
        <f t="shared" si="2"/>
        <v>511.91987113771955</v>
      </c>
      <c r="AT6" s="11">
        <f t="shared" si="3"/>
        <v>511.91987113771944</v>
      </c>
      <c r="AU6" s="5">
        <f t="shared" si="4"/>
        <v>0</v>
      </c>
      <c r="AV6" s="5">
        <f t="shared" si="5"/>
        <v>0</v>
      </c>
      <c r="AW6" s="1">
        <f t="shared" si="6"/>
        <v>6.4342729962902965</v>
      </c>
      <c r="AX6" s="1">
        <f t="shared" si="7"/>
        <v>10.918990374534092</v>
      </c>
      <c r="AY6" s="1">
        <f t="shared" si="8"/>
        <v>0</v>
      </c>
      <c r="AZ6" s="1">
        <f t="shared" si="9"/>
        <v>731.56501329210482</v>
      </c>
      <c r="BA6" s="1">
        <f t="shared" si="10"/>
        <v>22.532116624694076</v>
      </c>
      <c r="BB6" s="1">
        <f t="shared" si="11"/>
        <v>63.464284886856362</v>
      </c>
      <c r="BC6" s="1">
        <f t="shared" si="12"/>
        <v>11.843234411429817</v>
      </c>
      <c r="BD6" s="1">
        <f t="shared" si="13"/>
        <v>26.201549810398898</v>
      </c>
      <c r="BE6" s="1">
        <f t="shared" si="14"/>
        <v>11.386217261862534</v>
      </c>
      <c r="BF6" s="1">
        <f t="shared" si="15"/>
        <v>116.84791455349433</v>
      </c>
      <c r="BG6" s="1">
        <f t="shared" si="16"/>
        <v>1.5613297332705607</v>
      </c>
      <c r="BH6" s="1">
        <f t="shared" si="17"/>
        <v>-115.58727210015257</v>
      </c>
      <c r="BI6" s="1">
        <f t="shared" si="18"/>
        <v>1.1482317150108567</v>
      </c>
      <c r="BJ6" s="1">
        <f t="shared" si="19"/>
        <v>-498.68563184038442</v>
      </c>
      <c r="BK6" s="1">
        <f t="shared" si="20"/>
        <v>123.43785113332096</v>
      </c>
      <c r="BL6" s="1">
        <f t="shared" si="21"/>
        <v>-4.3292052771934451</v>
      </c>
      <c r="BM6" s="1">
        <f t="shared" si="22"/>
        <v>90.152878015151956</v>
      </c>
      <c r="BN6" s="1">
        <f t="shared" si="23"/>
        <v>-465.4006587222155</v>
      </c>
      <c r="BP6" s="1" t="str">
        <f t="shared" si="24"/>
        <v>Drymill CCS Fermentation Exhaust</v>
      </c>
      <c r="BQ6" s="1">
        <f t="shared" si="25"/>
        <v>0</v>
      </c>
      <c r="BR6" s="1">
        <f t="shared" si="26"/>
        <v>10.918990374534092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7"/>
        <v>63.464284886856362</v>
      </c>
      <c r="BU6" s="1">
        <f t="shared" si="28"/>
        <v>26.201549810398898</v>
      </c>
      <c r="BV6" s="1">
        <f t="shared" si="29"/>
        <v>116.84791455349433</v>
      </c>
      <c r="BW6" s="1">
        <f t="shared" si="30"/>
        <v>-115.58727210015257</v>
      </c>
      <c r="BY6" s="9">
        <f t="shared" si="31"/>
        <v>3.1428571428571428</v>
      </c>
      <c r="BZ6" s="18">
        <f t="shared" si="32"/>
        <v>1.7588666580000001</v>
      </c>
      <c r="CA6" s="10">
        <v>0.1828908353</v>
      </c>
      <c r="CB6" s="9">
        <v>0.23037490999999999</v>
      </c>
      <c r="CD6" s="10">
        <f t="shared" si="33"/>
        <v>8.0420331877425628</v>
      </c>
      <c r="CE6" s="10">
        <f t="shared" si="34"/>
        <v>0.84743173747018186</v>
      </c>
      <c r="CF6" s="10">
        <f t="shared" si="35"/>
        <v>3.2699199707502675</v>
      </c>
      <c r="CG6" s="10">
        <f t="shared" si="36"/>
        <v>0.300868918229941</v>
      </c>
      <c r="CI6" s="18">
        <f t="shared" si="37"/>
        <v>3.2849650798161911</v>
      </c>
      <c r="CJ6" s="18">
        <f t="shared" si="38"/>
        <v>2.3345798493471581</v>
      </c>
      <c r="CK6" s="10">
        <f t="shared" si="39"/>
        <v>3.1428571428571428</v>
      </c>
      <c r="CL6" s="10">
        <f t="shared" si="40"/>
        <v>0.4278628307329263</v>
      </c>
      <c r="CN6" s="1">
        <f t="shared" si="41"/>
        <v>6.8940689265772903E-5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107.502562</v>
      </c>
      <c r="AH7" s="15">
        <v>-21.358132999999999</v>
      </c>
      <c r="AI7" s="15">
        <v>134.78594100000001</v>
      </c>
      <c r="AJ7" s="15">
        <v>154.497107</v>
      </c>
      <c r="AK7" s="15">
        <v>108.34628499999999</v>
      </c>
      <c r="AL7" s="15">
        <v>160</v>
      </c>
      <c r="AM7" s="15">
        <v>20.195499999999999</v>
      </c>
      <c r="AN7" s="15">
        <v>18.588213</v>
      </c>
      <c r="AO7" s="15">
        <v>13.326110999999999</v>
      </c>
      <c r="AQ7" s="1" t="str">
        <f t="shared" si="0"/>
        <v>TX_B-NGin</v>
      </c>
      <c r="AR7" s="1">
        <f t="shared" si="1"/>
        <v>0</v>
      </c>
      <c r="AS7" s="11">
        <f t="shared" si="2"/>
        <v>531.59893473501438</v>
      </c>
      <c r="AT7" s="11">
        <f t="shared" si="3"/>
        <v>531.59893473501438</v>
      </c>
      <c r="AU7" s="5">
        <f t="shared" si="4"/>
        <v>0</v>
      </c>
      <c r="AV7" s="5">
        <f t="shared" si="5"/>
        <v>0</v>
      </c>
      <c r="AW7" s="1">
        <f t="shared" si="6"/>
        <v>4.6437792816172987</v>
      </c>
      <c r="AX7" s="1">
        <f t="shared" si="7"/>
        <v>7.8805144429952678</v>
      </c>
      <c r="AY7" s="1">
        <f t="shared" si="8"/>
        <v>0</v>
      </c>
      <c r="AZ7" s="1">
        <f t="shared" si="9"/>
        <v>731.56501329210482</v>
      </c>
      <c r="BA7" s="1">
        <f t="shared" si="10"/>
        <v>21.922435830124495</v>
      </c>
      <c r="BB7" s="1">
        <f t="shared" si="11"/>
        <v>61.747049161465014</v>
      </c>
      <c r="BC7" s="1">
        <f t="shared" si="12"/>
        <v>11.843234411429817</v>
      </c>
      <c r="BD7" s="1">
        <f t="shared" si="13"/>
        <v>26.201549810398898</v>
      </c>
      <c r="BE7" s="1">
        <f t="shared" si="14"/>
        <v>11.386217261862534</v>
      </c>
      <c r="BF7" s="1">
        <f t="shared" si="15"/>
        <v>116.84791455349433</v>
      </c>
      <c r="BG7" s="1">
        <f t="shared" si="16"/>
        <v>1.5613297332705607</v>
      </c>
      <c r="BH7" s="1">
        <f t="shared" si="17"/>
        <v>-115.58727210015257</v>
      </c>
      <c r="BI7" s="1">
        <f t="shared" si="18"/>
        <v>1.1482317150108567</v>
      </c>
      <c r="BJ7" s="1">
        <f t="shared" si="19"/>
        <v>-471.85068207691694</v>
      </c>
      <c r="BK7" s="1">
        <f t="shared" si="20"/>
        <v>123.43785113332096</v>
      </c>
      <c r="BL7" s="1">
        <f t="shared" si="21"/>
        <v>-4.3292052771934451</v>
      </c>
      <c r="BM7" s="1">
        <f t="shared" si="22"/>
        <v>116.98782777861942</v>
      </c>
      <c r="BN7" s="1">
        <f t="shared" si="23"/>
        <v>-465.4006587222155</v>
      </c>
      <c r="BP7" s="1" t="str">
        <f t="shared" si="24"/>
        <v>Drymill CCS Fermentation Exhaust</v>
      </c>
      <c r="BQ7" s="1">
        <f t="shared" si="25"/>
        <v>0</v>
      </c>
      <c r="BR7" s="1">
        <f t="shared" si="26"/>
        <v>7.8805144429952678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7"/>
        <v>61.747049161465014</v>
      </c>
      <c r="BU7" s="1">
        <f t="shared" si="28"/>
        <v>26.201549810398898</v>
      </c>
      <c r="BV7" s="1">
        <f t="shared" si="29"/>
        <v>116.84791455349433</v>
      </c>
      <c r="BW7" s="1">
        <f t="shared" si="30"/>
        <v>-115.58727210015257</v>
      </c>
      <c r="BY7" s="9">
        <f t="shared" si="31"/>
        <v>3.1428571428571428</v>
      </c>
      <c r="BZ7" s="18">
        <f t="shared" si="32"/>
        <v>1.7588666580000001</v>
      </c>
      <c r="CA7" s="10">
        <v>0.1828908353</v>
      </c>
      <c r="CB7" s="9">
        <v>0.23037490999999999</v>
      </c>
      <c r="CD7" s="10">
        <f t="shared" si="33"/>
        <v>8.0420331877425628</v>
      </c>
      <c r="CE7" s="10">
        <f t="shared" si="34"/>
        <v>0.84743173747018186</v>
      </c>
      <c r="CF7" s="10">
        <f t="shared" si="35"/>
        <v>3.2699199707502675</v>
      </c>
      <c r="CG7" s="10">
        <f t="shared" si="36"/>
        <v>0.300868918229941</v>
      </c>
      <c r="CI7" s="18">
        <f t="shared" si="37"/>
        <v>3.2849650798161911</v>
      </c>
      <c r="CJ7" s="18">
        <f t="shared" si="38"/>
        <v>2.3345798493471581</v>
      </c>
      <c r="CK7" s="10">
        <f t="shared" si="39"/>
        <v>3.1428571428571428</v>
      </c>
      <c r="CL7" s="10">
        <f t="shared" si="40"/>
        <v>0.4278628307329263</v>
      </c>
      <c r="CN7" s="1">
        <f t="shared" si="41"/>
        <v>6.8940689265772903E-5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107.502562</v>
      </c>
      <c r="AH8" s="15">
        <v>-41.580336000000003</v>
      </c>
      <c r="AI8" s="15">
        <v>102.402629</v>
      </c>
      <c r="AJ8" s="15">
        <v>113.697965</v>
      </c>
      <c r="AK8" s="15">
        <v>90.505089999999996</v>
      </c>
      <c r="AL8" s="15">
        <v>160</v>
      </c>
      <c r="AM8" s="15">
        <v>30.751318000000001</v>
      </c>
      <c r="AN8" s="15">
        <v>27.653755</v>
      </c>
      <c r="AO8" s="15">
        <v>13.422022999999999</v>
      </c>
      <c r="AQ8" s="1" t="str">
        <f t="shared" si="0"/>
        <v>NCEN_B-NGin</v>
      </c>
      <c r="AR8" s="1">
        <f t="shared" si="1"/>
        <v>0</v>
      </c>
      <c r="AS8" s="11">
        <f t="shared" si="2"/>
        <v>649.51319074437833</v>
      </c>
      <c r="AT8" s="11">
        <f t="shared" si="3"/>
        <v>649.51319074437833</v>
      </c>
      <c r="AU8" s="5">
        <f t="shared" si="4"/>
        <v>0</v>
      </c>
      <c r="AV8" s="5">
        <f t="shared" si="5"/>
        <v>0</v>
      </c>
      <c r="AW8" s="1">
        <f t="shared" si="6"/>
        <v>7.0709976683332973</v>
      </c>
      <c r="AX8" s="1">
        <f t="shared" si="7"/>
        <v>11.999515022660512</v>
      </c>
      <c r="AY8" s="1">
        <f t="shared" si="8"/>
        <v>0</v>
      </c>
      <c r="AZ8" s="1">
        <f t="shared" si="9"/>
        <v>731.56501329210482</v>
      </c>
      <c r="BA8" s="1">
        <f t="shared" si="10"/>
        <v>22.080218146761275</v>
      </c>
      <c r="BB8" s="1">
        <f t="shared" si="11"/>
        <v>62.191461111746264</v>
      </c>
      <c r="BC8" s="1">
        <f t="shared" si="12"/>
        <v>11.843234411429817</v>
      </c>
      <c r="BD8" s="1">
        <f t="shared" si="13"/>
        <v>26.201549810398898</v>
      </c>
      <c r="BE8" s="1">
        <f t="shared" si="14"/>
        <v>11.386217261862534</v>
      </c>
      <c r="BF8" s="1">
        <f t="shared" si="15"/>
        <v>116.84791455349433</v>
      </c>
      <c r="BG8" s="1">
        <f t="shared" si="16"/>
        <v>1.5613297332705607</v>
      </c>
      <c r="BH8" s="1">
        <f t="shared" si="17"/>
        <v>-115.58727210015257</v>
      </c>
      <c r="BI8" s="1">
        <f t="shared" si="18"/>
        <v>1.1482317150108567</v>
      </c>
      <c r="BJ8" s="1">
        <f t="shared" si="19"/>
        <v>-361.08483930085214</v>
      </c>
      <c r="BK8" s="1">
        <f t="shared" si="20"/>
        <v>123.43785113332096</v>
      </c>
      <c r="BL8" s="1">
        <f t="shared" si="21"/>
        <v>-4.3292052771934451</v>
      </c>
      <c r="BM8" s="1">
        <f t="shared" si="22"/>
        <v>227.75367055468422</v>
      </c>
      <c r="BN8" s="1">
        <f t="shared" si="23"/>
        <v>-465.4006587222155</v>
      </c>
      <c r="BP8" s="1" t="str">
        <f t="shared" si="24"/>
        <v>Drymill CCS Fermentation Exhaust</v>
      </c>
      <c r="BQ8" s="1">
        <f t="shared" si="25"/>
        <v>0</v>
      </c>
      <c r="BR8" s="1">
        <f t="shared" si="26"/>
        <v>11.999515022660512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7"/>
        <v>62.191461111746264</v>
      </c>
      <c r="BU8" s="1">
        <f t="shared" si="28"/>
        <v>26.201549810398898</v>
      </c>
      <c r="BV8" s="1">
        <f t="shared" si="29"/>
        <v>116.84791455349433</v>
      </c>
      <c r="BW8" s="1">
        <f t="shared" si="30"/>
        <v>-115.58727210015257</v>
      </c>
      <c r="BY8" s="9">
        <f t="shared" si="31"/>
        <v>3.1428571428571428</v>
      </c>
      <c r="BZ8" s="18">
        <f t="shared" si="32"/>
        <v>1.7588666580000001</v>
      </c>
      <c r="CA8" s="10">
        <v>0.1828908353</v>
      </c>
      <c r="CB8" s="9">
        <v>0.23037490999999999</v>
      </c>
      <c r="CD8" s="10">
        <f t="shared" si="33"/>
        <v>8.0420331877425628</v>
      </c>
      <c r="CE8" s="10">
        <f t="shared" si="34"/>
        <v>0.84743173747018186</v>
      </c>
      <c r="CF8" s="10">
        <f t="shared" si="35"/>
        <v>3.2699199707502675</v>
      </c>
      <c r="CG8" s="10">
        <f t="shared" si="36"/>
        <v>0.300868918229941</v>
      </c>
      <c r="CI8" s="18">
        <f t="shared" si="37"/>
        <v>3.2849650798161911</v>
      </c>
      <c r="CJ8" s="18">
        <f t="shared" si="38"/>
        <v>2.3345798493471581</v>
      </c>
      <c r="CK8" s="10">
        <f t="shared" si="39"/>
        <v>3.1428571428571428</v>
      </c>
      <c r="CL8" s="10">
        <f t="shared" si="40"/>
        <v>0.4278628307329263</v>
      </c>
      <c r="CN8" s="1">
        <f t="shared" si="41"/>
        <v>6.8940689265772903E-5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107.502562</v>
      </c>
      <c r="AH9" s="15">
        <v>-31.564236999999999</v>
      </c>
      <c r="AI9" s="15">
        <v>108.660614</v>
      </c>
      <c r="AJ9" s="15">
        <v>124.763448</v>
      </c>
      <c r="AK9" s="15">
        <v>95.964113999999995</v>
      </c>
      <c r="AL9" s="15">
        <v>160</v>
      </c>
      <c r="AM9" s="15">
        <v>25.147071</v>
      </c>
      <c r="AN9" s="15">
        <v>25.749803</v>
      </c>
      <c r="AO9" s="15">
        <v>13.422022999999999</v>
      </c>
      <c r="AQ9" s="1" t="str">
        <f t="shared" si="0"/>
        <v>CEN_B-NGin</v>
      </c>
      <c r="AR9" s="1">
        <f t="shared" si="1"/>
        <v>0</v>
      </c>
      <c r="AS9" s="11">
        <f t="shared" si="2"/>
        <v>591.17515069126682</v>
      </c>
      <c r="AT9" s="11">
        <f t="shared" si="3"/>
        <v>591.17515069126671</v>
      </c>
      <c r="AU9" s="5">
        <f t="shared" si="4"/>
        <v>0</v>
      </c>
      <c r="AV9" s="5">
        <f t="shared" si="5"/>
        <v>0</v>
      </c>
      <c r="AW9" s="1">
        <f t="shared" si="6"/>
        <v>5.7823498949349714</v>
      </c>
      <c r="AX9" s="1">
        <f t="shared" si="7"/>
        <v>9.8126739231277984</v>
      </c>
      <c r="AY9" s="1">
        <f t="shared" si="8"/>
        <v>0</v>
      </c>
      <c r="AZ9" s="1">
        <f t="shared" si="9"/>
        <v>731.56501329210482</v>
      </c>
      <c r="BA9" s="1">
        <f t="shared" si="10"/>
        <v>22.080218146761275</v>
      </c>
      <c r="BB9" s="1">
        <f t="shared" si="11"/>
        <v>62.191461111746264</v>
      </c>
      <c r="BC9" s="1">
        <f t="shared" si="12"/>
        <v>11.843234411429817</v>
      </c>
      <c r="BD9" s="1">
        <f t="shared" si="13"/>
        <v>26.201549810398898</v>
      </c>
      <c r="BE9" s="1">
        <f t="shared" si="14"/>
        <v>11.386217261862534</v>
      </c>
      <c r="BF9" s="1">
        <f t="shared" si="15"/>
        <v>116.84791455349433</v>
      </c>
      <c r="BG9" s="1">
        <f t="shared" si="16"/>
        <v>1.5613297332705607</v>
      </c>
      <c r="BH9" s="1">
        <f t="shared" si="17"/>
        <v>-115.58727210015257</v>
      </c>
      <c r="BI9" s="1">
        <f t="shared" si="18"/>
        <v>1.1482317150108567</v>
      </c>
      <c r="BJ9" s="1">
        <f t="shared" si="19"/>
        <v>-415.94739048103264</v>
      </c>
      <c r="BK9" s="1">
        <f t="shared" si="20"/>
        <v>123.43785113332096</v>
      </c>
      <c r="BL9" s="1">
        <f t="shared" si="21"/>
        <v>-4.3292052771934451</v>
      </c>
      <c r="BM9" s="1">
        <f t="shared" si="22"/>
        <v>172.89111937450369</v>
      </c>
      <c r="BN9" s="1">
        <f t="shared" si="23"/>
        <v>-465.4006587222155</v>
      </c>
      <c r="BP9" s="1" t="str">
        <f t="shared" si="24"/>
        <v>Drymill CCS Fermentation Exhaust</v>
      </c>
      <c r="BQ9" s="1">
        <f t="shared" si="25"/>
        <v>0</v>
      </c>
      <c r="BR9" s="1">
        <f t="shared" si="26"/>
        <v>9.8126739231277984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7"/>
        <v>62.191461111746264</v>
      </c>
      <c r="BU9" s="1">
        <f t="shared" si="28"/>
        <v>26.201549810398898</v>
      </c>
      <c r="BV9" s="1">
        <f t="shared" si="29"/>
        <v>116.84791455349433</v>
      </c>
      <c r="BW9" s="1">
        <f t="shared" si="30"/>
        <v>-115.58727210015257</v>
      </c>
      <c r="BY9" s="9">
        <f t="shared" si="31"/>
        <v>3.1428571428571428</v>
      </c>
      <c r="BZ9" s="18">
        <f t="shared" si="32"/>
        <v>1.7588666580000001</v>
      </c>
      <c r="CA9" s="10">
        <v>0.1828908353</v>
      </c>
      <c r="CB9" s="9">
        <v>0.23037490999999999</v>
      </c>
      <c r="CD9" s="10">
        <f t="shared" si="33"/>
        <v>8.0420331877425628</v>
      </c>
      <c r="CE9" s="10">
        <f t="shared" si="34"/>
        <v>0.84743173747018186</v>
      </c>
      <c r="CF9" s="10">
        <f t="shared" si="35"/>
        <v>3.2699199707502675</v>
      </c>
      <c r="CG9" s="10">
        <f t="shared" si="36"/>
        <v>0.300868918229941</v>
      </c>
      <c r="CI9" s="18">
        <f t="shared" si="37"/>
        <v>3.2849650798161911</v>
      </c>
      <c r="CJ9" s="18">
        <f t="shared" si="38"/>
        <v>2.3345798493471581</v>
      </c>
      <c r="CK9" s="10">
        <f t="shared" si="39"/>
        <v>3.1428571428571428</v>
      </c>
      <c r="CL9" s="10">
        <f t="shared" si="40"/>
        <v>0.4278628307329263</v>
      </c>
      <c r="CN9" s="1">
        <f t="shared" si="41"/>
        <v>6.8940689265772903E-5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107.502562</v>
      </c>
      <c r="AH10" s="15">
        <v>-47.666124000000003</v>
      </c>
      <c r="AI10" s="15">
        <v>98.762212000000005</v>
      </c>
      <c r="AJ10" s="15">
        <v>111.241258</v>
      </c>
      <c r="AK10" s="15">
        <v>88.010631000000004</v>
      </c>
      <c r="AL10" s="15">
        <v>160</v>
      </c>
      <c r="AM10" s="15">
        <v>38.144019</v>
      </c>
      <c r="AN10" s="15">
        <v>30.118994000000001</v>
      </c>
      <c r="AO10" s="15">
        <v>13.422022999999999</v>
      </c>
      <c r="AQ10" s="1" t="str">
        <f t="shared" si="0"/>
        <v>SE_B-NGin</v>
      </c>
      <c r="AR10" s="1">
        <f t="shared" si="1"/>
        <v>0</v>
      </c>
      <c r="AS10" s="11">
        <f t="shared" si="2"/>
        <v>687.4323145007919</v>
      </c>
      <c r="AT10" s="11">
        <f t="shared" si="3"/>
        <v>687.43231450079179</v>
      </c>
      <c r="AU10" s="5">
        <f t="shared" si="4"/>
        <v>0</v>
      </c>
      <c r="AV10" s="5">
        <f t="shared" si="5"/>
        <v>0</v>
      </c>
      <c r="AW10" s="1">
        <f t="shared" si="6"/>
        <v>8.7708848580038428</v>
      </c>
      <c r="AX10" s="1">
        <f t="shared" si="7"/>
        <v>14.884231271490476</v>
      </c>
      <c r="AY10" s="1">
        <f t="shared" si="8"/>
        <v>0</v>
      </c>
      <c r="AZ10" s="1">
        <f t="shared" si="9"/>
        <v>731.56501329210482</v>
      </c>
      <c r="BA10" s="1">
        <f t="shared" si="10"/>
        <v>22.080218146761275</v>
      </c>
      <c r="BB10" s="1">
        <f t="shared" si="11"/>
        <v>62.191461111746264</v>
      </c>
      <c r="BC10" s="1">
        <f t="shared" si="12"/>
        <v>11.843234411429817</v>
      </c>
      <c r="BD10" s="1">
        <f t="shared" si="13"/>
        <v>26.201549810398898</v>
      </c>
      <c r="BE10" s="1">
        <f t="shared" si="14"/>
        <v>11.386217261862534</v>
      </c>
      <c r="BF10" s="1">
        <f t="shared" si="15"/>
        <v>116.84791455349433</v>
      </c>
      <c r="BG10" s="1">
        <f t="shared" si="16"/>
        <v>1.5613297332705607</v>
      </c>
      <c r="BH10" s="1">
        <f t="shared" si="17"/>
        <v>-115.58727210015257</v>
      </c>
      <c r="BI10" s="1">
        <f t="shared" si="18"/>
        <v>1.1482317150108567</v>
      </c>
      <c r="BJ10" s="1">
        <f t="shared" si="19"/>
        <v>-327.75031898293912</v>
      </c>
      <c r="BK10" s="1">
        <f t="shared" si="20"/>
        <v>123.43785113332096</v>
      </c>
      <c r="BL10" s="1">
        <f t="shared" si="21"/>
        <v>-4.3292052771934451</v>
      </c>
      <c r="BM10" s="1">
        <f t="shared" si="22"/>
        <v>261.08819087259724</v>
      </c>
      <c r="BN10" s="1">
        <f t="shared" si="23"/>
        <v>-465.4006587222155</v>
      </c>
      <c r="BP10" s="1" t="str">
        <f t="shared" si="24"/>
        <v>Drymill CCS Fermentation Exhaust</v>
      </c>
      <c r="BQ10" s="1">
        <f t="shared" si="25"/>
        <v>0</v>
      </c>
      <c r="BR10" s="1">
        <f t="shared" si="26"/>
        <v>14.884231271490476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7"/>
        <v>62.191461111746264</v>
      </c>
      <c r="BU10" s="1">
        <f t="shared" si="28"/>
        <v>26.201549810398898</v>
      </c>
      <c r="BV10" s="1">
        <f t="shared" si="29"/>
        <v>116.84791455349433</v>
      </c>
      <c r="BW10" s="1">
        <f t="shared" si="30"/>
        <v>-115.58727210015257</v>
      </c>
      <c r="BY10" s="9">
        <f t="shared" si="31"/>
        <v>3.1428571428571428</v>
      </c>
      <c r="BZ10" s="18">
        <f t="shared" si="32"/>
        <v>1.7588666580000001</v>
      </c>
      <c r="CA10" s="10">
        <v>0.1828908353</v>
      </c>
      <c r="CB10" s="9">
        <v>0.23037490999999999</v>
      </c>
      <c r="CD10" s="10">
        <f t="shared" si="33"/>
        <v>8.0420331877425628</v>
      </c>
      <c r="CE10" s="10">
        <f t="shared" si="34"/>
        <v>0.84743173747018186</v>
      </c>
      <c r="CF10" s="10">
        <f t="shared" si="35"/>
        <v>3.2699199707502675</v>
      </c>
      <c r="CG10" s="10">
        <f t="shared" si="36"/>
        <v>0.300868918229941</v>
      </c>
      <c r="CI10" s="18">
        <f t="shared" si="37"/>
        <v>3.2849650798161911</v>
      </c>
      <c r="CJ10" s="18">
        <f t="shared" si="38"/>
        <v>2.3345798493471581</v>
      </c>
      <c r="CK10" s="10">
        <f t="shared" si="39"/>
        <v>3.1428571428571428</v>
      </c>
      <c r="CL10" s="10">
        <f t="shared" si="40"/>
        <v>0.4278628307329263</v>
      </c>
      <c r="CN10" s="1">
        <f t="shared" si="41"/>
        <v>6.8940689265772903E-5</v>
      </c>
    </row>
    <row r="11" spans="2:108" x14ac:dyDescent="0.2">
      <c r="B11" s="23" t="s">
        <v>102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107.502562</v>
      </c>
      <c r="AH11" s="15">
        <v>-49.879536999999999</v>
      </c>
      <c r="AI11" s="15">
        <v>99.878528000000003</v>
      </c>
      <c r="AJ11" s="15">
        <v>107.751338</v>
      </c>
      <c r="AK11" s="15">
        <v>88.568332999999996</v>
      </c>
      <c r="AL11" s="15">
        <v>160</v>
      </c>
      <c r="AM11" s="15">
        <v>39.370156999999999</v>
      </c>
      <c r="AN11" s="15">
        <v>31.385135999999999</v>
      </c>
      <c r="AO11" s="15">
        <v>13.422022999999999</v>
      </c>
      <c r="AQ11" s="1" t="str">
        <f t="shared" si="0"/>
        <v>MIDAT_B-NGin</v>
      </c>
      <c r="AR11" s="1">
        <f t="shared" si="1"/>
        <v>0</v>
      </c>
      <c r="AS11" s="11">
        <f t="shared" si="2"/>
        <v>700.31653752950467</v>
      </c>
      <c r="AT11" s="11">
        <f t="shared" si="3"/>
        <v>700.31653752950456</v>
      </c>
      <c r="AU11" s="5">
        <f t="shared" si="4"/>
        <v>0</v>
      </c>
      <c r="AV11" s="5">
        <f t="shared" si="5"/>
        <v>0</v>
      </c>
      <c r="AW11" s="1">
        <f t="shared" si="6"/>
        <v>9.0528246089782503</v>
      </c>
      <c r="AX11" s="1">
        <f t="shared" si="7"/>
        <v>15.362684304002933</v>
      </c>
      <c r="AY11" s="1">
        <f t="shared" si="8"/>
        <v>0</v>
      </c>
      <c r="AZ11" s="1">
        <f t="shared" si="9"/>
        <v>731.56501329210482</v>
      </c>
      <c r="BA11" s="1">
        <f t="shared" si="10"/>
        <v>22.080218146761275</v>
      </c>
      <c r="BB11" s="1">
        <f t="shared" si="11"/>
        <v>62.191461111746264</v>
      </c>
      <c r="BC11" s="1">
        <f t="shared" si="12"/>
        <v>11.843234411429817</v>
      </c>
      <c r="BD11" s="1">
        <f t="shared" si="13"/>
        <v>26.201549810398898</v>
      </c>
      <c r="BE11" s="1">
        <f t="shared" si="14"/>
        <v>11.386217261862534</v>
      </c>
      <c r="BF11" s="1">
        <f t="shared" si="15"/>
        <v>116.84791455349433</v>
      </c>
      <c r="BG11" s="1">
        <f t="shared" si="16"/>
        <v>1.5613297332705607</v>
      </c>
      <c r="BH11" s="1">
        <f t="shared" si="17"/>
        <v>-115.58727210015257</v>
      </c>
      <c r="BI11" s="1">
        <f t="shared" si="18"/>
        <v>1.1482317150108567</v>
      </c>
      <c r="BJ11" s="1">
        <f t="shared" si="19"/>
        <v>-315.6264887377132</v>
      </c>
      <c r="BK11" s="1">
        <f t="shared" si="20"/>
        <v>123.43785113332096</v>
      </c>
      <c r="BL11" s="1">
        <f t="shared" si="21"/>
        <v>-4.3292052771934451</v>
      </c>
      <c r="BM11" s="1">
        <f t="shared" si="22"/>
        <v>273.21202111782316</v>
      </c>
      <c r="BN11" s="1">
        <f t="shared" si="23"/>
        <v>-465.4006587222155</v>
      </c>
      <c r="BP11" s="1" t="str">
        <f t="shared" si="24"/>
        <v>Drymill CCS Fermentation Exhaust</v>
      </c>
      <c r="BQ11" s="1">
        <f t="shared" si="25"/>
        <v>0</v>
      </c>
      <c r="BR11" s="1">
        <f t="shared" si="26"/>
        <v>15.362684304002933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7"/>
        <v>62.191461111746264</v>
      </c>
      <c r="BU11" s="1">
        <f t="shared" si="28"/>
        <v>26.201549810398898</v>
      </c>
      <c r="BV11" s="1">
        <f t="shared" si="29"/>
        <v>116.84791455349433</v>
      </c>
      <c r="BW11" s="1">
        <f t="shared" si="30"/>
        <v>-115.58727210015257</v>
      </c>
      <c r="BY11" s="9">
        <f t="shared" si="31"/>
        <v>3.1428571428571428</v>
      </c>
      <c r="BZ11" s="18">
        <f t="shared" si="32"/>
        <v>1.7588666580000001</v>
      </c>
      <c r="CA11" s="10">
        <v>0.1828908353</v>
      </c>
      <c r="CB11" s="9">
        <v>0.23037490999999999</v>
      </c>
      <c r="CD11" s="10">
        <f t="shared" si="33"/>
        <v>8.0420331877425628</v>
      </c>
      <c r="CE11" s="10">
        <f t="shared" si="34"/>
        <v>0.84743173747018186</v>
      </c>
      <c r="CF11" s="10">
        <f t="shared" si="35"/>
        <v>3.2699199707502675</v>
      </c>
      <c r="CG11" s="10">
        <f t="shared" si="36"/>
        <v>0.300868918229941</v>
      </c>
      <c r="CI11" s="18">
        <f t="shared" si="37"/>
        <v>3.2849650798161911</v>
      </c>
      <c r="CJ11" s="18">
        <f t="shared" si="38"/>
        <v>2.3345798493471581</v>
      </c>
      <c r="CK11" s="10">
        <f t="shared" si="39"/>
        <v>3.1428571428571428</v>
      </c>
      <c r="CL11" s="10">
        <f t="shared" si="40"/>
        <v>0.4278628307329263</v>
      </c>
      <c r="CN11" s="1">
        <f t="shared" si="41"/>
        <v>6.8940689265772903E-5</v>
      </c>
    </row>
    <row r="12" spans="2:108" x14ac:dyDescent="0.2">
      <c r="B12" s="24" t="s">
        <v>103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107.502562</v>
      </c>
      <c r="AH12" s="15">
        <v>-59.252960999999999</v>
      </c>
      <c r="AI12" s="15">
        <v>100.649637</v>
      </c>
      <c r="AJ12" s="15">
        <v>106.422071</v>
      </c>
      <c r="AK12" s="15">
        <v>90.784433000000007</v>
      </c>
      <c r="AL12" s="15">
        <v>160</v>
      </c>
      <c r="AM12" s="15">
        <v>47.412137000000001</v>
      </c>
      <c r="AN12" s="15">
        <v>33.344946999999998</v>
      </c>
      <c r="AO12" s="15">
        <v>13.422022999999999</v>
      </c>
      <c r="AQ12" s="1" t="str">
        <f t="shared" si="0"/>
        <v>NE_B-NGin</v>
      </c>
      <c r="AR12" s="1">
        <f t="shared" si="1"/>
        <v>0</v>
      </c>
      <c r="AS12" s="11">
        <f t="shared" si="2"/>
        <v>756.64613245000123</v>
      </c>
      <c r="AT12" s="11">
        <f t="shared" si="3"/>
        <v>756.64613245000123</v>
      </c>
      <c r="AU12" s="5">
        <f t="shared" si="4"/>
        <v>0</v>
      </c>
      <c r="AV12" s="5">
        <f t="shared" si="5"/>
        <v>0</v>
      </c>
      <c r="AW12" s="1">
        <f t="shared" si="6"/>
        <v>10.902007848174145</v>
      </c>
      <c r="AX12" s="1">
        <f t="shared" si="7"/>
        <v>18.500756624088055</v>
      </c>
      <c r="AY12" s="1">
        <f t="shared" si="8"/>
        <v>0</v>
      </c>
      <c r="AZ12" s="1">
        <f t="shared" si="9"/>
        <v>731.56501329210482</v>
      </c>
      <c r="BA12" s="1">
        <f t="shared" si="10"/>
        <v>22.080218146761275</v>
      </c>
      <c r="BB12" s="1">
        <f t="shared" si="11"/>
        <v>62.191461111746264</v>
      </c>
      <c r="BC12" s="1">
        <f t="shared" si="12"/>
        <v>11.843234411429817</v>
      </c>
      <c r="BD12" s="1">
        <f t="shared" si="13"/>
        <v>26.201549810398898</v>
      </c>
      <c r="BE12" s="1">
        <f t="shared" si="14"/>
        <v>11.386217261862534</v>
      </c>
      <c r="BF12" s="1">
        <f t="shared" si="15"/>
        <v>116.84791455349433</v>
      </c>
      <c r="BG12" s="1">
        <f t="shared" si="16"/>
        <v>1.5613297332705607</v>
      </c>
      <c r="BH12" s="1">
        <f t="shared" si="17"/>
        <v>-115.58727210015257</v>
      </c>
      <c r="BI12" s="1">
        <f t="shared" si="18"/>
        <v>1.1482317150108567</v>
      </c>
      <c r="BJ12" s="1">
        <f t="shared" si="19"/>
        <v>-264.28414937649762</v>
      </c>
      <c r="BK12" s="1">
        <f t="shared" si="20"/>
        <v>123.43785113332096</v>
      </c>
      <c r="BL12" s="1">
        <f t="shared" si="21"/>
        <v>-4.3292052771934451</v>
      </c>
      <c r="BM12" s="1">
        <f t="shared" si="22"/>
        <v>324.55436047903873</v>
      </c>
      <c r="BN12" s="1">
        <f t="shared" si="23"/>
        <v>-465.4006587222155</v>
      </c>
      <c r="BP12" s="1" t="str">
        <f t="shared" si="24"/>
        <v>Drymill CCS Fermentation Exhaust</v>
      </c>
      <c r="BQ12" s="1">
        <f t="shared" si="25"/>
        <v>0</v>
      </c>
      <c r="BR12" s="1">
        <f t="shared" si="26"/>
        <v>18.500756624088055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7"/>
        <v>62.191461111746264</v>
      </c>
      <c r="BU12" s="1">
        <f t="shared" si="28"/>
        <v>26.201549810398898</v>
      </c>
      <c r="BV12" s="1">
        <f t="shared" si="29"/>
        <v>116.84791455349433</v>
      </c>
      <c r="BW12" s="1">
        <f t="shared" si="30"/>
        <v>-115.58727210015257</v>
      </c>
      <c r="BY12" s="9">
        <f t="shared" si="31"/>
        <v>3.1428571428571428</v>
      </c>
      <c r="BZ12" s="18">
        <f t="shared" si="32"/>
        <v>1.7588666580000001</v>
      </c>
      <c r="CA12" s="10">
        <v>0.1828908353</v>
      </c>
      <c r="CB12" s="9">
        <v>0.23037490999999999</v>
      </c>
      <c r="CD12" s="10">
        <f t="shared" si="33"/>
        <v>8.0420331877425628</v>
      </c>
      <c r="CE12" s="10">
        <f t="shared" si="34"/>
        <v>0.84743173747018186</v>
      </c>
      <c r="CF12" s="10">
        <f t="shared" si="35"/>
        <v>3.2699199707502675</v>
      </c>
      <c r="CG12" s="10">
        <f t="shared" si="36"/>
        <v>0.300868918229941</v>
      </c>
      <c r="CI12" s="18">
        <f t="shared" si="37"/>
        <v>3.2849650798161911</v>
      </c>
      <c r="CJ12" s="18">
        <f t="shared" si="38"/>
        <v>2.3345798493471581</v>
      </c>
      <c r="CK12" s="10">
        <f t="shared" si="39"/>
        <v>3.1428571428571428</v>
      </c>
      <c r="CL12" s="10">
        <f t="shared" si="40"/>
        <v>0.4278628307329263</v>
      </c>
      <c r="CN12" s="1">
        <f t="shared" si="41"/>
        <v>6.8940689265772903E-5</v>
      </c>
    </row>
    <row r="13" spans="2:108" x14ac:dyDescent="0.2">
      <c r="B13" s="24" t="s">
        <v>104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107.502562</v>
      </c>
      <c r="AH13" s="15">
        <v>-6.5</v>
      </c>
      <c r="AI13" s="15">
        <v>135.398967</v>
      </c>
      <c r="AJ13" s="15">
        <v>157.55381700000001</v>
      </c>
      <c r="AK13" s="15">
        <v>136.238654</v>
      </c>
      <c r="AL13" s="15">
        <v>160</v>
      </c>
      <c r="AM13" s="15">
        <v>36.528548000000001</v>
      </c>
      <c r="AN13" s="15">
        <v>29.772262999999999</v>
      </c>
      <c r="AO13" s="15">
        <v>13.696721</v>
      </c>
      <c r="AQ13" s="1" t="str">
        <f t="shared" si="0"/>
        <v>CA_B-H2in</v>
      </c>
      <c r="AR13" s="1">
        <f t="shared" si="1"/>
        <v>0</v>
      </c>
      <c r="AS13" s="11">
        <f t="shared" si="2"/>
        <v>456.76661091121281</v>
      </c>
      <c r="AT13" s="11">
        <f t="shared" si="3"/>
        <v>456.76661091121281</v>
      </c>
      <c r="AU13" s="5">
        <f t="shared" si="4"/>
        <v>0</v>
      </c>
      <c r="AV13" s="5">
        <f t="shared" si="5"/>
        <v>48.965150545241023</v>
      </c>
      <c r="AW13" s="1">
        <f t="shared" si="6"/>
        <v>8.3994213755521283</v>
      </c>
      <c r="AX13" s="1">
        <f t="shared" si="7"/>
        <v>14.253856061778412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63.464284886856362</v>
      </c>
      <c r="BC13" s="1">
        <f t="shared" si="12"/>
        <v>11.843234411429817</v>
      </c>
      <c r="BD13" s="1">
        <f t="shared" si="13"/>
        <v>26.201549810398898</v>
      </c>
      <c r="BE13" s="1">
        <f t="shared" si="14"/>
        <v>11.386217261862534</v>
      </c>
      <c r="BF13" s="1">
        <f t="shared" si="15"/>
        <v>116.84791455349433</v>
      </c>
      <c r="BG13" s="1">
        <f t="shared" si="16"/>
        <v>1.5613297332705607</v>
      </c>
      <c r="BH13" s="1">
        <f t="shared" si="17"/>
        <v>-115.58727210015257</v>
      </c>
      <c r="BI13" s="1">
        <f t="shared" si="18"/>
        <v>0.84743171502819514</v>
      </c>
      <c r="BJ13" s="1">
        <f t="shared" si="19"/>
        <v>-553.23516940620846</v>
      </c>
      <c r="BK13" s="1">
        <f t="shared" si="20"/>
        <v>91.101080485584873</v>
      </c>
      <c r="BL13" s="1">
        <f t="shared" si="21"/>
        <v>-4.6300052771761067</v>
      </c>
      <c r="BM13" s="1">
        <f t="shared" si="22"/>
        <v>35.603340449327959</v>
      </c>
      <c r="BN13" s="1">
        <f t="shared" si="23"/>
        <v>-497.7374293699516</v>
      </c>
      <c r="BP13" s="1" t="str">
        <f t="shared" si="24"/>
        <v>Drymill CCS Fermentation Exhaust</v>
      </c>
      <c r="BQ13" s="1">
        <f t="shared" si="25"/>
        <v>0</v>
      </c>
      <c r="BR13" s="1">
        <f t="shared" si="26"/>
        <v>14.253856061778412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7"/>
        <v>63.464284886856362</v>
      </c>
      <c r="BU13" s="1">
        <f t="shared" si="28"/>
        <v>26.201549810398898</v>
      </c>
      <c r="BV13" s="1">
        <f t="shared" si="29"/>
        <v>116.84791455349433</v>
      </c>
      <c r="BW13" s="1">
        <f t="shared" si="30"/>
        <v>-115.58727210015257</v>
      </c>
      <c r="BY13" s="9">
        <f t="shared" si="31"/>
        <v>3.1428571428571428</v>
      </c>
      <c r="BZ13" s="18">
        <f t="shared" si="32"/>
        <v>1.7588666580000001</v>
      </c>
      <c r="CA13" s="10">
        <v>0.1828908353</v>
      </c>
      <c r="CB13" s="9">
        <v>0.23037490999999999</v>
      </c>
      <c r="CD13" s="10">
        <f t="shared" si="33"/>
        <v>8.0420331877425628</v>
      </c>
      <c r="CE13" s="10">
        <f t="shared" si="34"/>
        <v>0.84743173747018186</v>
      </c>
      <c r="CF13" s="10">
        <f t="shared" si="35"/>
        <v>3.2699199707502675</v>
      </c>
      <c r="CG13" s="10">
        <f t="shared" si="36"/>
        <v>0</v>
      </c>
      <c r="CI13" s="18">
        <f t="shared" si="37"/>
        <v>3.2849650798161911</v>
      </c>
      <c r="CJ13" s="18">
        <f t="shared" si="38"/>
        <v>2.3345798493471581</v>
      </c>
      <c r="CK13" s="10">
        <f t="shared" si="39"/>
        <v>3.1428571428571428</v>
      </c>
      <c r="CL13" s="10">
        <f t="shared" si="40"/>
        <v>0.12706283075026509</v>
      </c>
      <c r="CN13" s="1">
        <f t="shared" si="41"/>
        <v>2.2441986047283535E-8</v>
      </c>
    </row>
    <row r="14" spans="2:108" x14ac:dyDescent="0.2">
      <c r="B14" s="24" t="s">
        <v>105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107.502562</v>
      </c>
      <c r="AH14" s="15">
        <v>-7.4</v>
      </c>
      <c r="AI14" s="15">
        <v>134.90066999999999</v>
      </c>
      <c r="AJ14" s="15">
        <v>153.19848999999999</v>
      </c>
      <c r="AK14" s="15">
        <v>116.053166</v>
      </c>
      <c r="AL14" s="15">
        <v>160</v>
      </c>
      <c r="AM14" s="15">
        <v>26.797730000000001</v>
      </c>
      <c r="AN14" s="15">
        <v>27.883396999999999</v>
      </c>
      <c r="AO14" s="15">
        <v>13.696721</v>
      </c>
      <c r="AQ14" s="1" t="str">
        <f t="shared" si="0"/>
        <v>NW_B-H2in</v>
      </c>
      <c r="AR14" s="1">
        <f t="shared" si="1"/>
        <v>0</v>
      </c>
      <c r="AS14" s="11">
        <f t="shared" si="2"/>
        <v>452.55517516846697</v>
      </c>
      <c r="AT14" s="11">
        <f t="shared" si="3"/>
        <v>452.55517516846675</v>
      </c>
      <c r="AU14" s="5">
        <f t="shared" si="4"/>
        <v>0</v>
      </c>
      <c r="AV14" s="5">
        <f t="shared" si="5"/>
        <v>45.858614503631181</v>
      </c>
      <c r="AW14" s="1">
        <f t="shared" si="6"/>
        <v>6.1619045514285036</v>
      </c>
      <c r="AX14" s="1">
        <f t="shared" si="7"/>
        <v>10.456779891782208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63.464284886856362</v>
      </c>
      <c r="BC14" s="1">
        <f t="shared" si="12"/>
        <v>11.843234411429817</v>
      </c>
      <c r="BD14" s="1">
        <f t="shared" si="13"/>
        <v>26.201549810398898</v>
      </c>
      <c r="BE14" s="1">
        <f t="shared" si="14"/>
        <v>11.386217261862534</v>
      </c>
      <c r="BF14" s="1">
        <f t="shared" si="15"/>
        <v>116.84791455349433</v>
      </c>
      <c r="BG14" s="1">
        <f t="shared" si="16"/>
        <v>1.5613297332705607</v>
      </c>
      <c r="BH14" s="1">
        <f t="shared" si="17"/>
        <v>-115.58727210015257</v>
      </c>
      <c r="BI14" s="1">
        <f t="shared" si="18"/>
        <v>0.84743171502819514</v>
      </c>
      <c r="BJ14" s="1">
        <f t="shared" si="19"/>
        <v>-548.30547611322447</v>
      </c>
      <c r="BK14" s="1">
        <f t="shared" si="20"/>
        <v>91.101080485584873</v>
      </c>
      <c r="BL14" s="1">
        <f t="shared" si="21"/>
        <v>-4.6300052771761067</v>
      </c>
      <c r="BM14" s="1">
        <f t="shared" si="22"/>
        <v>40.533033742311829</v>
      </c>
      <c r="BN14" s="1">
        <f t="shared" si="23"/>
        <v>-497.7374293699516</v>
      </c>
      <c r="BP14" s="1" t="str">
        <f t="shared" si="24"/>
        <v>Drymill CCS Fermentation Exhaust</v>
      </c>
      <c r="BQ14" s="1">
        <f t="shared" si="25"/>
        <v>0</v>
      </c>
      <c r="BR14" s="1">
        <f t="shared" si="26"/>
        <v>10.456779891782208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7"/>
        <v>63.464284886856362</v>
      </c>
      <c r="BU14" s="1">
        <f t="shared" si="28"/>
        <v>26.201549810398898</v>
      </c>
      <c r="BV14" s="1">
        <f t="shared" si="29"/>
        <v>116.84791455349433</v>
      </c>
      <c r="BW14" s="1">
        <f t="shared" si="30"/>
        <v>-115.58727210015257</v>
      </c>
      <c r="BY14" s="9">
        <f t="shared" si="31"/>
        <v>3.1428571428571428</v>
      </c>
      <c r="BZ14" s="18">
        <f t="shared" si="32"/>
        <v>1.7588666580000001</v>
      </c>
      <c r="CA14" s="10">
        <v>0.1828908353</v>
      </c>
      <c r="CB14" s="9">
        <v>0.23037490999999999</v>
      </c>
      <c r="CD14" s="10">
        <f t="shared" si="33"/>
        <v>8.0420331877425628</v>
      </c>
      <c r="CE14" s="10">
        <f t="shared" si="34"/>
        <v>0.84743173747018186</v>
      </c>
      <c r="CF14" s="10">
        <f t="shared" si="35"/>
        <v>3.2699199707502675</v>
      </c>
      <c r="CG14" s="10">
        <f t="shared" si="36"/>
        <v>0</v>
      </c>
      <c r="CI14" s="18">
        <f t="shared" si="37"/>
        <v>3.2849650798161911</v>
      </c>
      <c r="CJ14" s="18">
        <f t="shared" si="38"/>
        <v>2.3345798493471581</v>
      </c>
      <c r="CK14" s="10">
        <f t="shared" si="39"/>
        <v>3.1428571428571428</v>
      </c>
      <c r="CL14" s="10">
        <f t="shared" si="40"/>
        <v>0.12706283075026509</v>
      </c>
      <c r="CN14" s="1">
        <f t="shared" si="41"/>
        <v>2.2441986047283535E-8</v>
      </c>
    </row>
    <row r="15" spans="2:108" x14ac:dyDescent="0.2">
      <c r="B15" s="24" t="s">
        <v>106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107.502562</v>
      </c>
      <c r="AH15" s="15">
        <v>-16.458953000000001</v>
      </c>
      <c r="AI15" s="15">
        <v>121.90098</v>
      </c>
      <c r="AJ15" s="15">
        <v>139.17763299999999</v>
      </c>
      <c r="AK15" s="15">
        <v>109.07949000000001</v>
      </c>
      <c r="AL15" s="15">
        <v>160</v>
      </c>
      <c r="AM15" s="15">
        <v>27.982243</v>
      </c>
      <c r="AN15" s="15">
        <v>26.416188999999999</v>
      </c>
      <c r="AO15" s="15">
        <v>13.696721</v>
      </c>
      <c r="AQ15" s="1" t="str">
        <f t="shared" si="0"/>
        <v>SW_B-H2in</v>
      </c>
      <c r="AR15" s="1">
        <f t="shared" si="1"/>
        <v>0</v>
      </c>
      <c r="AS15" s="11">
        <f t="shared" si="2"/>
        <v>500.49654496410625</v>
      </c>
      <c r="AT15" s="11">
        <f t="shared" si="3"/>
        <v>500.49654496410614</v>
      </c>
      <c r="AU15" s="5">
        <f t="shared" si="4"/>
        <v>0</v>
      </c>
      <c r="AV15" s="5">
        <f t="shared" si="5"/>
        <v>43.445561098816704</v>
      </c>
      <c r="AW15" s="1">
        <f t="shared" si="6"/>
        <v>6.4342729962902965</v>
      </c>
      <c r="AX15" s="1">
        <f t="shared" si="7"/>
        <v>10.918990374534092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63.464284886856362</v>
      </c>
      <c r="BC15" s="1">
        <f t="shared" si="12"/>
        <v>11.843234411429817</v>
      </c>
      <c r="BD15" s="1">
        <f t="shared" si="13"/>
        <v>26.201549810398898</v>
      </c>
      <c r="BE15" s="1">
        <f t="shared" si="14"/>
        <v>11.386217261862534</v>
      </c>
      <c r="BF15" s="1">
        <f t="shared" si="15"/>
        <v>116.84791455349433</v>
      </c>
      <c r="BG15" s="1">
        <f t="shared" si="16"/>
        <v>1.5613297332705607</v>
      </c>
      <c r="BH15" s="1">
        <f t="shared" si="17"/>
        <v>-115.58727210015257</v>
      </c>
      <c r="BI15" s="1">
        <f t="shared" si="18"/>
        <v>0.84743171502819514</v>
      </c>
      <c r="BJ15" s="1">
        <f t="shared" si="19"/>
        <v>-498.68563184038442</v>
      </c>
      <c r="BK15" s="1">
        <f t="shared" si="20"/>
        <v>91.101080485584873</v>
      </c>
      <c r="BL15" s="1">
        <f t="shared" si="21"/>
        <v>-4.6300052771761067</v>
      </c>
      <c r="BM15" s="1">
        <f t="shared" si="22"/>
        <v>90.152878015151956</v>
      </c>
      <c r="BN15" s="1">
        <f t="shared" si="23"/>
        <v>-497.7374293699516</v>
      </c>
      <c r="BP15" s="1" t="str">
        <f t="shared" si="24"/>
        <v>Drymill CCS Fermentation Exhaust</v>
      </c>
      <c r="BQ15" s="1">
        <f t="shared" si="25"/>
        <v>0</v>
      </c>
      <c r="BR15" s="1">
        <f t="shared" si="26"/>
        <v>10.918990374534092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7"/>
        <v>63.464284886856362</v>
      </c>
      <c r="BU15" s="1">
        <f t="shared" si="28"/>
        <v>26.201549810398898</v>
      </c>
      <c r="BV15" s="1">
        <f t="shared" si="29"/>
        <v>116.84791455349433</v>
      </c>
      <c r="BW15" s="1">
        <f t="shared" si="30"/>
        <v>-115.58727210015257</v>
      </c>
      <c r="BY15" s="9">
        <f t="shared" si="31"/>
        <v>3.1428571428571428</v>
      </c>
      <c r="BZ15" s="18">
        <f t="shared" si="32"/>
        <v>1.7588666580000001</v>
      </c>
      <c r="CA15" s="10">
        <v>0.1828908353</v>
      </c>
      <c r="CB15" s="9">
        <v>0.23037490999999999</v>
      </c>
      <c r="CD15" s="10">
        <f t="shared" si="33"/>
        <v>8.0420331877425628</v>
      </c>
      <c r="CE15" s="10">
        <f t="shared" si="34"/>
        <v>0.84743173747018186</v>
      </c>
      <c r="CF15" s="10">
        <f t="shared" si="35"/>
        <v>3.2699199707502675</v>
      </c>
      <c r="CG15" s="10">
        <f t="shared" si="36"/>
        <v>0</v>
      </c>
      <c r="CI15" s="18">
        <f t="shared" si="37"/>
        <v>3.2849650798161911</v>
      </c>
      <c r="CJ15" s="18">
        <f t="shared" si="38"/>
        <v>2.3345798493471581</v>
      </c>
      <c r="CK15" s="10">
        <f t="shared" si="39"/>
        <v>3.1428571428571428</v>
      </c>
      <c r="CL15" s="10">
        <f t="shared" si="40"/>
        <v>0.12706283075026509</v>
      </c>
      <c r="CN15" s="1">
        <f t="shared" si="41"/>
        <v>2.2441986047283535E-8</v>
      </c>
    </row>
    <row r="16" spans="2:108" x14ac:dyDescent="0.2">
      <c r="B16" s="24" t="s">
        <v>107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107.502562</v>
      </c>
      <c r="AH16" s="15">
        <v>-21.358132999999999</v>
      </c>
      <c r="AI16" s="15">
        <v>134.78594100000001</v>
      </c>
      <c r="AJ16" s="15">
        <v>154.497107</v>
      </c>
      <c r="AK16" s="15">
        <v>108.34628499999999</v>
      </c>
      <c r="AL16" s="15">
        <v>160</v>
      </c>
      <c r="AM16" s="15">
        <v>20.195499999999999</v>
      </c>
      <c r="AN16" s="15">
        <v>18.588213</v>
      </c>
      <c r="AO16" s="15">
        <v>13.326110999999999</v>
      </c>
      <c r="AQ16" s="1" t="str">
        <f t="shared" si="0"/>
        <v>TX_B-H2in</v>
      </c>
      <c r="AR16" s="1">
        <f t="shared" si="1"/>
        <v>0</v>
      </c>
      <c r="AS16" s="11">
        <f t="shared" si="2"/>
        <v>507.91095651454248</v>
      </c>
      <c r="AT16" s="11">
        <f t="shared" si="3"/>
        <v>507.91095651454242</v>
      </c>
      <c r="AU16" s="5">
        <f t="shared" si="4"/>
        <v>0</v>
      </c>
      <c r="AV16" s="5">
        <f t="shared" si="5"/>
        <v>30.571228257388643</v>
      </c>
      <c r="AW16" s="1">
        <f t="shared" si="6"/>
        <v>4.6437792816172987</v>
      </c>
      <c r="AX16" s="1">
        <f t="shared" si="7"/>
        <v>7.8805144429952678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61.747049161465014</v>
      </c>
      <c r="BC16" s="1">
        <f t="shared" si="12"/>
        <v>11.843234411429817</v>
      </c>
      <c r="BD16" s="1">
        <f t="shared" si="13"/>
        <v>26.201549810398898</v>
      </c>
      <c r="BE16" s="1">
        <f t="shared" si="14"/>
        <v>11.386217261862534</v>
      </c>
      <c r="BF16" s="1">
        <f t="shared" si="15"/>
        <v>116.84791455349433</v>
      </c>
      <c r="BG16" s="1">
        <f t="shared" si="16"/>
        <v>1.5613297332705607</v>
      </c>
      <c r="BH16" s="1">
        <f t="shared" si="17"/>
        <v>-115.58727210015257</v>
      </c>
      <c r="BI16" s="1">
        <f t="shared" si="18"/>
        <v>0.84743171502819514</v>
      </c>
      <c r="BJ16" s="1">
        <f t="shared" si="19"/>
        <v>-471.85068207691694</v>
      </c>
      <c r="BK16" s="1">
        <f t="shared" si="20"/>
        <v>91.101080485584873</v>
      </c>
      <c r="BL16" s="1">
        <f t="shared" si="21"/>
        <v>-4.6300052771761067</v>
      </c>
      <c r="BM16" s="1">
        <f t="shared" si="22"/>
        <v>116.98782777861942</v>
      </c>
      <c r="BN16" s="1">
        <f t="shared" si="23"/>
        <v>-497.7374293699516</v>
      </c>
      <c r="BP16" s="1" t="str">
        <f t="shared" si="24"/>
        <v>Drymill CCS Fermentation Exhaust</v>
      </c>
      <c r="BQ16" s="1">
        <f t="shared" si="25"/>
        <v>0</v>
      </c>
      <c r="BR16" s="1">
        <f t="shared" si="26"/>
        <v>7.8805144429952678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7"/>
        <v>61.747049161465014</v>
      </c>
      <c r="BU16" s="1">
        <f t="shared" si="28"/>
        <v>26.201549810398898</v>
      </c>
      <c r="BV16" s="1">
        <f t="shared" si="29"/>
        <v>116.84791455349433</v>
      </c>
      <c r="BW16" s="1">
        <f t="shared" si="30"/>
        <v>-115.58727210015257</v>
      </c>
      <c r="BY16" s="9">
        <f t="shared" si="31"/>
        <v>3.1428571428571428</v>
      </c>
      <c r="BZ16" s="18">
        <f t="shared" si="32"/>
        <v>1.7588666580000001</v>
      </c>
      <c r="CA16" s="10">
        <v>0.1828908353</v>
      </c>
      <c r="CB16" s="9">
        <v>0.23037490999999999</v>
      </c>
      <c r="CD16" s="10">
        <f t="shared" si="33"/>
        <v>8.0420331877425628</v>
      </c>
      <c r="CE16" s="10">
        <f t="shared" si="34"/>
        <v>0.84743173747018186</v>
      </c>
      <c r="CF16" s="10">
        <f t="shared" si="35"/>
        <v>3.2699199707502675</v>
      </c>
      <c r="CG16" s="10">
        <f t="shared" si="36"/>
        <v>0</v>
      </c>
      <c r="CI16" s="18">
        <f t="shared" si="37"/>
        <v>3.2849650798161911</v>
      </c>
      <c r="CJ16" s="18">
        <f t="shared" si="38"/>
        <v>2.3345798493471581</v>
      </c>
      <c r="CK16" s="10">
        <f t="shared" si="39"/>
        <v>3.1428571428571428</v>
      </c>
      <c r="CL16" s="10">
        <f t="shared" si="40"/>
        <v>0.12706283075026509</v>
      </c>
      <c r="CN16" s="1">
        <f t="shared" si="41"/>
        <v>2.2441986047283535E-8</v>
      </c>
    </row>
    <row r="17" spans="2:92" x14ac:dyDescent="0.2">
      <c r="B17" s="24" t="s">
        <v>108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107.502562</v>
      </c>
      <c r="AH17" s="15">
        <v>-41.580336000000003</v>
      </c>
      <c r="AI17" s="15">
        <v>102.402629</v>
      </c>
      <c r="AJ17" s="15">
        <v>113.697965</v>
      </c>
      <c r="AK17" s="15">
        <v>90.505089999999996</v>
      </c>
      <c r="AL17" s="15">
        <v>160</v>
      </c>
      <c r="AM17" s="15">
        <v>30.751318000000001</v>
      </c>
      <c r="AN17" s="15">
        <v>27.653755</v>
      </c>
      <c r="AO17" s="15">
        <v>13.422022999999999</v>
      </c>
      <c r="AQ17" s="1" t="str">
        <f t="shared" si="0"/>
        <v>NCEN_B-H2in</v>
      </c>
      <c r="AR17" s="1">
        <f t="shared" si="1"/>
        <v>0</v>
      </c>
      <c r="AS17" s="11">
        <f t="shared" si="2"/>
        <v>640.57713420942127</v>
      </c>
      <c r="AT17" s="11">
        <f t="shared" si="3"/>
        <v>640.57713420942127</v>
      </c>
      <c r="AU17" s="5">
        <f t="shared" si="4"/>
        <v>0</v>
      </c>
      <c r="AV17" s="5">
        <f t="shared" si="5"/>
        <v>45.48093225954009</v>
      </c>
      <c r="AW17" s="1">
        <f t="shared" si="6"/>
        <v>7.0709976683332973</v>
      </c>
      <c r="AX17" s="1">
        <f t="shared" si="7"/>
        <v>11.999515022660512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62.191461111746264</v>
      </c>
      <c r="BC17" s="1">
        <f t="shared" si="12"/>
        <v>11.843234411429817</v>
      </c>
      <c r="BD17" s="1">
        <f t="shared" si="13"/>
        <v>26.201549810398898</v>
      </c>
      <c r="BE17" s="1">
        <f t="shared" si="14"/>
        <v>11.386217261862534</v>
      </c>
      <c r="BF17" s="1">
        <f t="shared" si="15"/>
        <v>116.84791455349433</v>
      </c>
      <c r="BG17" s="1">
        <f t="shared" si="16"/>
        <v>1.5613297332705607</v>
      </c>
      <c r="BH17" s="1">
        <f t="shared" si="17"/>
        <v>-115.58727210015257</v>
      </c>
      <c r="BI17" s="1">
        <f t="shared" si="18"/>
        <v>0.84743171502819514</v>
      </c>
      <c r="BJ17" s="1">
        <f t="shared" si="19"/>
        <v>-361.08483930085214</v>
      </c>
      <c r="BK17" s="1">
        <f t="shared" si="20"/>
        <v>91.101080485584873</v>
      </c>
      <c r="BL17" s="1">
        <f t="shared" si="21"/>
        <v>-4.6300052771761067</v>
      </c>
      <c r="BM17" s="1">
        <f t="shared" si="22"/>
        <v>227.75367055468422</v>
      </c>
      <c r="BN17" s="1">
        <f t="shared" si="23"/>
        <v>-497.7374293699516</v>
      </c>
      <c r="BP17" s="1" t="str">
        <f t="shared" si="24"/>
        <v>Drymill CCS Fermentation Exhaust</v>
      </c>
      <c r="BQ17" s="1">
        <f t="shared" si="25"/>
        <v>0</v>
      </c>
      <c r="BR17" s="1">
        <f t="shared" si="26"/>
        <v>11.999515022660512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7"/>
        <v>62.191461111746264</v>
      </c>
      <c r="BU17" s="1">
        <f t="shared" si="28"/>
        <v>26.201549810398898</v>
      </c>
      <c r="BV17" s="1">
        <f t="shared" si="29"/>
        <v>116.84791455349433</v>
      </c>
      <c r="BW17" s="1">
        <f t="shared" si="30"/>
        <v>-115.58727210015257</v>
      </c>
      <c r="BY17" s="9">
        <f t="shared" si="31"/>
        <v>3.1428571428571428</v>
      </c>
      <c r="BZ17" s="18">
        <f t="shared" si="32"/>
        <v>1.7588666580000001</v>
      </c>
      <c r="CA17" s="10">
        <v>0.1828908353</v>
      </c>
      <c r="CB17" s="9">
        <v>0.23037490999999999</v>
      </c>
      <c r="CD17" s="10">
        <f t="shared" si="33"/>
        <v>8.0420331877425628</v>
      </c>
      <c r="CE17" s="10">
        <f t="shared" si="34"/>
        <v>0.84743173747018186</v>
      </c>
      <c r="CF17" s="10">
        <f t="shared" si="35"/>
        <v>3.2699199707502675</v>
      </c>
      <c r="CG17" s="10">
        <f t="shared" si="36"/>
        <v>0</v>
      </c>
      <c r="CI17" s="18">
        <f t="shared" si="37"/>
        <v>3.2849650798161911</v>
      </c>
      <c r="CJ17" s="18">
        <f t="shared" si="38"/>
        <v>2.3345798493471581</v>
      </c>
      <c r="CK17" s="10">
        <f t="shared" si="39"/>
        <v>3.1428571428571428</v>
      </c>
      <c r="CL17" s="10">
        <f t="shared" si="40"/>
        <v>0.12706283075026509</v>
      </c>
      <c r="CN17" s="1">
        <f t="shared" si="41"/>
        <v>2.2441986047283535E-8</v>
      </c>
    </row>
    <row r="18" spans="2:92" x14ac:dyDescent="0.2">
      <c r="B18" s="24" t="s">
        <v>109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107.502562</v>
      </c>
      <c r="AH18" s="15">
        <v>-31.564236999999999</v>
      </c>
      <c r="AI18" s="15">
        <v>108.660614</v>
      </c>
      <c r="AJ18" s="15">
        <v>124.763448</v>
      </c>
      <c r="AK18" s="15">
        <v>95.964113999999995</v>
      </c>
      <c r="AL18" s="15">
        <v>160</v>
      </c>
      <c r="AM18" s="15">
        <v>25.147071</v>
      </c>
      <c r="AN18" s="15">
        <v>25.749803</v>
      </c>
      <c r="AO18" s="15">
        <v>13.422022999999999</v>
      </c>
      <c r="AQ18" s="1" t="str">
        <f t="shared" si="0"/>
        <v>CEN_B-H2in</v>
      </c>
      <c r="AR18" s="1">
        <f t="shared" si="1"/>
        <v>0</v>
      </c>
      <c r="AS18" s="11">
        <f t="shared" si="2"/>
        <v>579.10774682436806</v>
      </c>
      <c r="AT18" s="11">
        <f t="shared" si="3"/>
        <v>579.10774682436795</v>
      </c>
      <c r="AU18" s="5">
        <f t="shared" si="4"/>
        <v>0</v>
      </c>
      <c r="AV18" s="5">
        <f t="shared" si="5"/>
        <v>42.349584927598521</v>
      </c>
      <c r="AW18" s="1">
        <f t="shared" si="6"/>
        <v>5.7823498949349714</v>
      </c>
      <c r="AX18" s="1">
        <f t="shared" si="7"/>
        <v>9.8126739231277984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62.191461111746264</v>
      </c>
      <c r="BC18" s="1">
        <f t="shared" si="12"/>
        <v>11.843234411429817</v>
      </c>
      <c r="BD18" s="1">
        <f t="shared" si="13"/>
        <v>26.201549810398898</v>
      </c>
      <c r="BE18" s="1">
        <f t="shared" si="14"/>
        <v>11.386217261862534</v>
      </c>
      <c r="BF18" s="1">
        <f t="shared" si="15"/>
        <v>116.84791455349433</v>
      </c>
      <c r="BG18" s="1">
        <f t="shared" si="16"/>
        <v>1.5613297332705607</v>
      </c>
      <c r="BH18" s="1">
        <f t="shared" si="17"/>
        <v>-115.58727210015257</v>
      </c>
      <c r="BI18" s="1">
        <f t="shared" si="18"/>
        <v>0.84743171502819514</v>
      </c>
      <c r="BJ18" s="1">
        <f t="shared" si="19"/>
        <v>-415.94739048103264</v>
      </c>
      <c r="BK18" s="1">
        <f t="shared" si="20"/>
        <v>91.101080485584873</v>
      </c>
      <c r="BL18" s="1">
        <f t="shared" si="21"/>
        <v>-4.6300052771761067</v>
      </c>
      <c r="BM18" s="1">
        <f t="shared" si="22"/>
        <v>172.89111937450369</v>
      </c>
      <c r="BN18" s="1">
        <f t="shared" si="23"/>
        <v>-497.7374293699516</v>
      </c>
      <c r="BP18" s="1" t="str">
        <f t="shared" si="24"/>
        <v>Drymill CCS Fermentation Exhaust</v>
      </c>
      <c r="BQ18" s="1">
        <f t="shared" si="25"/>
        <v>0</v>
      </c>
      <c r="BR18" s="1">
        <f t="shared" si="26"/>
        <v>9.8126739231277984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7"/>
        <v>62.191461111746264</v>
      </c>
      <c r="BU18" s="1">
        <f t="shared" si="28"/>
        <v>26.201549810398898</v>
      </c>
      <c r="BV18" s="1">
        <f t="shared" si="29"/>
        <v>116.84791455349433</v>
      </c>
      <c r="BW18" s="1">
        <f t="shared" si="30"/>
        <v>-115.58727210015257</v>
      </c>
      <c r="BY18" s="9">
        <f t="shared" si="31"/>
        <v>3.1428571428571428</v>
      </c>
      <c r="BZ18" s="18">
        <f t="shared" si="32"/>
        <v>1.7588666580000001</v>
      </c>
      <c r="CA18" s="10">
        <v>0.1828908353</v>
      </c>
      <c r="CB18" s="9">
        <v>0.23037490999999999</v>
      </c>
      <c r="CD18" s="10">
        <f t="shared" si="33"/>
        <v>8.0420331877425628</v>
      </c>
      <c r="CE18" s="10">
        <f t="shared" si="34"/>
        <v>0.84743173747018186</v>
      </c>
      <c r="CF18" s="10">
        <f t="shared" si="35"/>
        <v>3.2699199707502675</v>
      </c>
      <c r="CG18" s="10">
        <f t="shared" si="36"/>
        <v>0</v>
      </c>
      <c r="CI18" s="18">
        <f t="shared" si="37"/>
        <v>3.2849650798161911</v>
      </c>
      <c r="CJ18" s="18">
        <f t="shared" si="38"/>
        <v>2.3345798493471581</v>
      </c>
      <c r="CK18" s="10">
        <f t="shared" si="39"/>
        <v>3.1428571428571428</v>
      </c>
      <c r="CL18" s="10">
        <f t="shared" si="40"/>
        <v>0.12706283075026509</v>
      </c>
      <c r="CN18" s="1">
        <f t="shared" si="41"/>
        <v>2.2441986047283535E-8</v>
      </c>
    </row>
    <row r="19" spans="2:92" x14ac:dyDescent="0.2">
      <c r="B19" s="24" t="s">
        <v>110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107.502562</v>
      </c>
      <c r="AH19" s="15">
        <v>-47.666124000000003</v>
      </c>
      <c r="AI19" s="15">
        <v>98.762212000000005</v>
      </c>
      <c r="AJ19" s="15">
        <v>111.241258</v>
      </c>
      <c r="AK19" s="15">
        <v>88.010631000000004</v>
      </c>
      <c r="AL19" s="15">
        <v>160</v>
      </c>
      <c r="AM19" s="15">
        <v>38.144019</v>
      </c>
      <c r="AN19" s="15">
        <v>30.118994000000001</v>
      </c>
      <c r="AO19" s="15">
        <v>13.422022999999999</v>
      </c>
      <c r="AQ19" s="1" t="str">
        <f t="shared" si="0"/>
        <v>SE_B-H2in</v>
      </c>
      <c r="AR19" s="1">
        <f t="shared" si="1"/>
        <v>0</v>
      </c>
      <c r="AS19" s="11">
        <f t="shared" si="2"/>
        <v>682.55072969897128</v>
      </c>
      <c r="AT19" s="11">
        <f t="shared" si="3"/>
        <v>682.55072969897105</v>
      </c>
      <c r="AU19" s="5">
        <f t="shared" si="4"/>
        <v>0</v>
      </c>
      <c r="AV19" s="5">
        <f t="shared" si="5"/>
        <v>49.535403992676379</v>
      </c>
      <c r="AW19" s="1">
        <f t="shared" si="6"/>
        <v>8.7708848580038428</v>
      </c>
      <c r="AX19" s="1">
        <f t="shared" si="7"/>
        <v>14.884231271490476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62.191461111746264</v>
      </c>
      <c r="BC19" s="1">
        <f t="shared" si="12"/>
        <v>11.843234411429817</v>
      </c>
      <c r="BD19" s="1">
        <f t="shared" si="13"/>
        <v>26.201549810398898</v>
      </c>
      <c r="BE19" s="1">
        <f t="shared" si="14"/>
        <v>11.386217261862534</v>
      </c>
      <c r="BF19" s="1">
        <f t="shared" si="15"/>
        <v>116.84791455349433</v>
      </c>
      <c r="BG19" s="1">
        <f t="shared" si="16"/>
        <v>1.5613297332705607</v>
      </c>
      <c r="BH19" s="1">
        <f t="shared" si="17"/>
        <v>-115.58727210015257</v>
      </c>
      <c r="BI19" s="1">
        <f t="shared" si="18"/>
        <v>0.84743171502819514</v>
      </c>
      <c r="BJ19" s="1">
        <f t="shared" si="19"/>
        <v>-327.75031898293912</v>
      </c>
      <c r="BK19" s="1">
        <f t="shared" si="20"/>
        <v>91.101080485584873</v>
      </c>
      <c r="BL19" s="1">
        <f t="shared" si="21"/>
        <v>-4.6300052771761067</v>
      </c>
      <c r="BM19" s="1">
        <f t="shared" si="22"/>
        <v>261.08819087259724</v>
      </c>
      <c r="BN19" s="1">
        <f t="shared" si="23"/>
        <v>-497.7374293699516</v>
      </c>
      <c r="BP19" s="1" t="str">
        <f t="shared" si="24"/>
        <v>Drymill CCS Fermentation Exhaust</v>
      </c>
      <c r="BQ19" s="1">
        <f t="shared" si="25"/>
        <v>0</v>
      </c>
      <c r="BR19" s="1">
        <f t="shared" si="26"/>
        <v>14.884231271490476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7"/>
        <v>62.191461111746264</v>
      </c>
      <c r="BU19" s="1">
        <f t="shared" si="28"/>
        <v>26.201549810398898</v>
      </c>
      <c r="BV19" s="1">
        <f t="shared" si="29"/>
        <v>116.84791455349433</v>
      </c>
      <c r="BW19" s="1">
        <f t="shared" si="30"/>
        <v>-115.58727210015257</v>
      </c>
      <c r="BY19" s="9">
        <f t="shared" si="31"/>
        <v>3.1428571428571428</v>
      </c>
      <c r="BZ19" s="18">
        <f t="shared" si="32"/>
        <v>1.7588666580000001</v>
      </c>
      <c r="CA19" s="10">
        <v>0.1828908353</v>
      </c>
      <c r="CB19" s="9">
        <v>0.23037490999999999</v>
      </c>
      <c r="CD19" s="10">
        <f t="shared" si="33"/>
        <v>8.0420331877425628</v>
      </c>
      <c r="CE19" s="10">
        <f t="shared" si="34"/>
        <v>0.84743173747018186</v>
      </c>
      <c r="CF19" s="10">
        <f t="shared" si="35"/>
        <v>3.2699199707502675</v>
      </c>
      <c r="CG19" s="10">
        <f t="shared" si="36"/>
        <v>0</v>
      </c>
      <c r="CI19" s="18">
        <f t="shared" si="37"/>
        <v>3.2849650798161911</v>
      </c>
      <c r="CJ19" s="18">
        <f t="shared" si="38"/>
        <v>2.3345798493471581</v>
      </c>
      <c r="CK19" s="10">
        <f t="shared" si="39"/>
        <v>3.1428571428571428</v>
      </c>
      <c r="CL19" s="10">
        <f t="shared" si="40"/>
        <v>0.12706283075026509</v>
      </c>
      <c r="CN19" s="1">
        <f t="shared" si="41"/>
        <v>2.2441986047283535E-8</v>
      </c>
    </row>
    <row r="20" spans="2:92" x14ac:dyDescent="0.2">
      <c r="B20" s="24" t="s">
        <v>111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107.502562</v>
      </c>
      <c r="AH20" s="15">
        <v>-49.879536999999999</v>
      </c>
      <c r="AI20" s="15">
        <v>99.878528000000003</v>
      </c>
      <c r="AJ20" s="15">
        <v>107.751338</v>
      </c>
      <c r="AK20" s="15">
        <v>88.568332999999996</v>
      </c>
      <c r="AL20" s="15">
        <v>160</v>
      </c>
      <c r="AM20" s="15">
        <v>39.370156999999999</v>
      </c>
      <c r="AN20" s="15">
        <v>31.385135999999999</v>
      </c>
      <c r="AO20" s="15">
        <v>13.422022999999999</v>
      </c>
      <c r="AQ20" s="1" t="str">
        <f t="shared" si="0"/>
        <v>MIDAT_B-H2in</v>
      </c>
      <c r="AR20" s="1">
        <f t="shared" si="1"/>
        <v>0</v>
      </c>
      <c r="AS20" s="11">
        <f t="shared" si="2"/>
        <v>697.51732159704579</v>
      </c>
      <c r="AT20" s="11">
        <f t="shared" si="3"/>
        <v>697.51732159704557</v>
      </c>
      <c r="AU20" s="5">
        <f t="shared" si="4"/>
        <v>0</v>
      </c>
      <c r="AV20" s="5">
        <f t="shared" si="5"/>
        <v>51.617772862038194</v>
      </c>
      <c r="AW20" s="1">
        <f t="shared" si="6"/>
        <v>9.0528246089782503</v>
      </c>
      <c r="AX20" s="1">
        <f t="shared" si="7"/>
        <v>15.362684304002933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62.191461111746264</v>
      </c>
      <c r="BC20" s="1">
        <f t="shared" si="12"/>
        <v>11.843234411429817</v>
      </c>
      <c r="BD20" s="1">
        <f t="shared" si="13"/>
        <v>26.201549810398898</v>
      </c>
      <c r="BE20" s="1">
        <f t="shared" si="14"/>
        <v>11.386217261862534</v>
      </c>
      <c r="BF20" s="1">
        <f t="shared" si="15"/>
        <v>116.84791455349433</v>
      </c>
      <c r="BG20" s="1">
        <f t="shared" si="16"/>
        <v>1.5613297332705607</v>
      </c>
      <c r="BH20" s="1">
        <f t="shared" si="17"/>
        <v>-115.58727210015257</v>
      </c>
      <c r="BI20" s="1">
        <f t="shared" si="18"/>
        <v>0.84743171502819514</v>
      </c>
      <c r="BJ20" s="1">
        <f t="shared" si="19"/>
        <v>-315.6264887377132</v>
      </c>
      <c r="BK20" s="1">
        <f t="shared" si="20"/>
        <v>91.101080485584873</v>
      </c>
      <c r="BL20" s="1">
        <f t="shared" si="21"/>
        <v>-4.6300052771761067</v>
      </c>
      <c r="BM20" s="1">
        <f t="shared" si="22"/>
        <v>273.21202111782316</v>
      </c>
      <c r="BN20" s="1">
        <f t="shared" si="23"/>
        <v>-497.7374293699516</v>
      </c>
      <c r="BP20" s="1" t="str">
        <f t="shared" si="24"/>
        <v>Drymill CCS Fermentation Exhaust</v>
      </c>
      <c r="BQ20" s="1">
        <f t="shared" si="25"/>
        <v>0</v>
      </c>
      <c r="BR20" s="1">
        <f t="shared" si="26"/>
        <v>15.362684304002933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7"/>
        <v>62.191461111746264</v>
      </c>
      <c r="BU20" s="1">
        <f t="shared" si="28"/>
        <v>26.201549810398898</v>
      </c>
      <c r="BV20" s="1">
        <f t="shared" si="29"/>
        <v>116.84791455349433</v>
      </c>
      <c r="BW20" s="1">
        <f t="shared" si="30"/>
        <v>-115.58727210015257</v>
      </c>
      <c r="BY20" s="9">
        <f t="shared" si="31"/>
        <v>3.1428571428571428</v>
      </c>
      <c r="BZ20" s="18">
        <f t="shared" si="32"/>
        <v>1.7588666580000001</v>
      </c>
      <c r="CA20" s="10">
        <v>0.1828908353</v>
      </c>
      <c r="CB20" s="9">
        <v>0.23037490999999999</v>
      </c>
      <c r="CD20" s="10">
        <f t="shared" si="33"/>
        <v>8.0420331877425628</v>
      </c>
      <c r="CE20" s="10">
        <f t="shared" si="34"/>
        <v>0.84743173747018186</v>
      </c>
      <c r="CF20" s="10">
        <f t="shared" si="35"/>
        <v>3.2699199707502675</v>
      </c>
      <c r="CG20" s="10">
        <f t="shared" si="36"/>
        <v>0</v>
      </c>
      <c r="CI20" s="18">
        <f t="shared" si="37"/>
        <v>3.2849650798161911</v>
      </c>
      <c r="CJ20" s="18">
        <f t="shared" si="38"/>
        <v>2.3345798493471581</v>
      </c>
      <c r="CK20" s="10">
        <f t="shared" si="39"/>
        <v>3.1428571428571428</v>
      </c>
      <c r="CL20" s="10">
        <f t="shared" si="40"/>
        <v>0.12706283075026509</v>
      </c>
      <c r="CN20" s="1">
        <f t="shared" si="41"/>
        <v>2.2441986047283535E-8</v>
      </c>
    </row>
    <row r="21" spans="2:92" x14ac:dyDescent="0.2">
      <c r="B21" s="24" t="s">
        <v>112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107.502562</v>
      </c>
      <c r="AH21" s="15">
        <v>-59.252960999999999</v>
      </c>
      <c r="AI21" s="15">
        <v>100.649637</v>
      </c>
      <c r="AJ21" s="15">
        <v>106.422071</v>
      </c>
      <c r="AK21" s="15">
        <v>90.784433000000007</v>
      </c>
      <c r="AL21" s="15">
        <v>160</v>
      </c>
      <c r="AM21" s="15">
        <v>47.412137000000001</v>
      </c>
      <c r="AN21" s="15">
        <v>33.344946999999998</v>
      </c>
      <c r="AO21" s="15">
        <v>13.422022999999999</v>
      </c>
      <c r="AQ21" s="1" t="str">
        <f t="shared" si="0"/>
        <v>NE_B-H2in</v>
      </c>
      <c r="AR21" s="1">
        <f t="shared" si="1"/>
        <v>0</v>
      </c>
      <c r="AS21" s="11">
        <f t="shared" si="2"/>
        <v>757.07013272570271</v>
      </c>
      <c r="AT21" s="11">
        <f t="shared" si="3"/>
        <v>757.07013272570271</v>
      </c>
      <c r="AU21" s="5">
        <f t="shared" si="4"/>
        <v>0</v>
      </c>
      <c r="AV21" s="5">
        <f t="shared" si="5"/>
        <v>54.840989070198766</v>
      </c>
      <c r="AW21" s="1">
        <f t="shared" si="6"/>
        <v>10.902007848174145</v>
      </c>
      <c r="AX21" s="1">
        <f t="shared" si="7"/>
        <v>18.500756624088055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62.191461111746264</v>
      </c>
      <c r="BC21" s="1">
        <f t="shared" si="12"/>
        <v>11.843234411429817</v>
      </c>
      <c r="BD21" s="1">
        <f t="shared" si="13"/>
        <v>26.201549810398898</v>
      </c>
      <c r="BE21" s="1">
        <f t="shared" si="14"/>
        <v>11.386217261862534</v>
      </c>
      <c r="BF21" s="1">
        <f t="shared" si="15"/>
        <v>116.84791455349433</v>
      </c>
      <c r="BG21" s="1">
        <f t="shared" si="16"/>
        <v>1.5613297332705607</v>
      </c>
      <c r="BH21" s="1">
        <f t="shared" si="17"/>
        <v>-115.58727210015257</v>
      </c>
      <c r="BI21" s="1">
        <f t="shared" si="18"/>
        <v>0.84743171502819514</v>
      </c>
      <c r="BJ21" s="1">
        <f t="shared" si="19"/>
        <v>-264.28414937649762</v>
      </c>
      <c r="BK21" s="1">
        <f t="shared" si="20"/>
        <v>91.101080485584873</v>
      </c>
      <c r="BL21" s="1">
        <f t="shared" si="21"/>
        <v>-4.6300052771761067</v>
      </c>
      <c r="BM21" s="1">
        <f t="shared" si="22"/>
        <v>324.55436047903873</v>
      </c>
      <c r="BN21" s="1">
        <f t="shared" si="23"/>
        <v>-497.7374293699516</v>
      </c>
      <c r="BP21" s="1" t="str">
        <f t="shared" si="24"/>
        <v>Drymill CCS Fermentation Exhaust</v>
      </c>
      <c r="BQ21" s="1">
        <f t="shared" si="25"/>
        <v>0</v>
      </c>
      <c r="BR21" s="1">
        <f t="shared" si="26"/>
        <v>18.500756624088055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7"/>
        <v>62.191461111746264</v>
      </c>
      <c r="BU21" s="1">
        <f t="shared" si="28"/>
        <v>26.201549810398898</v>
      </c>
      <c r="BV21" s="1">
        <f t="shared" si="29"/>
        <v>116.84791455349433</v>
      </c>
      <c r="BW21" s="1">
        <f t="shared" si="30"/>
        <v>-115.58727210015257</v>
      </c>
      <c r="BY21" s="9">
        <f t="shared" si="31"/>
        <v>3.1428571428571428</v>
      </c>
      <c r="BZ21" s="18">
        <f t="shared" si="32"/>
        <v>1.7588666580000001</v>
      </c>
      <c r="CA21" s="10">
        <v>0.1828908353</v>
      </c>
      <c r="CB21" s="9">
        <v>0.23037490999999999</v>
      </c>
      <c r="CD21" s="10">
        <f t="shared" si="33"/>
        <v>8.0420331877425628</v>
      </c>
      <c r="CE21" s="10">
        <f t="shared" si="34"/>
        <v>0.84743173747018186</v>
      </c>
      <c r="CF21" s="10">
        <f t="shared" si="35"/>
        <v>3.2699199707502675</v>
      </c>
      <c r="CG21" s="10">
        <f t="shared" si="36"/>
        <v>0</v>
      </c>
      <c r="CI21" s="18">
        <f t="shared" si="37"/>
        <v>3.2849650798161911</v>
      </c>
      <c r="CJ21" s="18">
        <f t="shared" si="38"/>
        <v>2.3345798493471581</v>
      </c>
      <c r="CK21" s="10">
        <f t="shared" si="39"/>
        <v>3.1428571428571428</v>
      </c>
      <c r="CL21" s="10">
        <f t="shared" si="40"/>
        <v>0.12706283075026509</v>
      </c>
      <c r="CN21" s="1">
        <f t="shared" si="41"/>
        <v>2.2441986047283535E-8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18"/>
        <v>#DIV/0!</v>
      </c>
      <c r="BJ22" s="1" t="e">
        <f t="shared" si="19"/>
        <v>#DIV/0!</v>
      </c>
      <c r="BK22" s="1" t="e">
        <f t="shared" si="20"/>
        <v>#DIV/0!</v>
      </c>
      <c r="BL22" s="1" t="e">
        <f t="shared" si="21"/>
        <v>#DIV/0!</v>
      </c>
      <c r="BM22" s="1" t="e">
        <f t="shared" si="22"/>
        <v>#DIV/0!</v>
      </c>
      <c r="BN22" s="1" t="e">
        <f t="shared" si="23"/>
        <v>#DIV/0!</v>
      </c>
      <c r="BP22" s="1" t="str">
        <f t="shared" si="24"/>
        <v>Drymill CCS Fermentation Exhaust</v>
      </c>
      <c r="BQ22" s="1" t="e">
        <f t="shared" si="25"/>
        <v>#DIV/0!</v>
      </c>
      <c r="BR22" s="1" t="e">
        <f t="shared" si="26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7"/>
        <v>#DIV/0!</v>
      </c>
      <c r="BU22" s="1" t="e">
        <f t="shared" si="28"/>
        <v>#DIV/0!</v>
      </c>
      <c r="BV22" s="1" t="e">
        <f t="shared" si="29"/>
        <v>#DIV/0!</v>
      </c>
      <c r="BW22" s="1" t="e">
        <f t="shared" si="30"/>
        <v>#DIV/0!</v>
      </c>
      <c r="BY22" s="9">
        <f t="shared" si="31"/>
        <v>3.1428571428571428</v>
      </c>
      <c r="BZ22" s="18">
        <f t="shared" si="32"/>
        <v>1.7588666580000001</v>
      </c>
      <c r="CA22" s="10">
        <v>0.1828908353</v>
      </c>
      <c r="CB22" s="9">
        <v>0.23037490999999999</v>
      </c>
      <c r="CD22" s="10" t="e">
        <f t="shared" si="33"/>
        <v>#DIV/0!</v>
      </c>
      <c r="CE22" s="10" t="e">
        <f t="shared" si="34"/>
        <v>#DIV/0!</v>
      </c>
      <c r="CF22" s="10" t="e">
        <f t="shared" si="35"/>
        <v>#DIV/0!</v>
      </c>
      <c r="CG22" s="10">
        <f t="shared" si="36"/>
        <v>0</v>
      </c>
      <c r="CI22" s="18" t="e">
        <f t="shared" si="37"/>
        <v>#DIV/0!</v>
      </c>
      <c r="CJ22" s="18" t="e">
        <f t="shared" si="38"/>
        <v>#DIV/0!</v>
      </c>
      <c r="CK22" s="10">
        <f t="shared" si="39"/>
        <v>3.1428571428571428</v>
      </c>
      <c r="CL22" s="10" t="e">
        <f t="shared" si="40"/>
        <v>#DIV/0!</v>
      </c>
      <c r="CN22" s="1" t="e">
        <f t="shared" si="41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18"/>
        <v>#DIV/0!</v>
      </c>
      <c r="BJ23" s="1" t="e">
        <f t="shared" si="19"/>
        <v>#DIV/0!</v>
      </c>
      <c r="BK23" s="1" t="e">
        <f t="shared" si="20"/>
        <v>#DIV/0!</v>
      </c>
      <c r="BL23" s="1" t="e">
        <f t="shared" si="21"/>
        <v>#DIV/0!</v>
      </c>
      <c r="BM23" s="1" t="e">
        <f t="shared" si="22"/>
        <v>#DIV/0!</v>
      </c>
      <c r="BN23" s="1" t="e">
        <f t="shared" si="23"/>
        <v>#DIV/0!</v>
      </c>
      <c r="BP23" s="1" t="str">
        <f t="shared" si="24"/>
        <v>Drymill CCS Fermentation Exhaust</v>
      </c>
      <c r="BQ23" s="1" t="e">
        <f t="shared" si="25"/>
        <v>#DIV/0!</v>
      </c>
      <c r="BR23" s="1" t="e">
        <f t="shared" si="26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7"/>
        <v>#DIV/0!</v>
      </c>
      <c r="BU23" s="1" t="e">
        <f t="shared" si="28"/>
        <v>#DIV/0!</v>
      </c>
      <c r="BV23" s="1" t="e">
        <f t="shared" si="29"/>
        <v>#DIV/0!</v>
      </c>
      <c r="BW23" s="1" t="e">
        <f t="shared" si="30"/>
        <v>#DIV/0!</v>
      </c>
      <c r="BY23" s="9">
        <f t="shared" si="31"/>
        <v>3.1428571428571428</v>
      </c>
      <c r="BZ23" s="18">
        <f t="shared" si="32"/>
        <v>1.7588666580000001</v>
      </c>
      <c r="CA23" s="10">
        <v>0.1828908353</v>
      </c>
      <c r="CB23" s="9">
        <v>0.23037490999999999</v>
      </c>
      <c r="CD23" s="10" t="e">
        <f t="shared" si="33"/>
        <v>#DIV/0!</v>
      </c>
      <c r="CE23" s="10" t="e">
        <f t="shared" si="34"/>
        <v>#DIV/0!</v>
      </c>
      <c r="CF23" s="10" t="e">
        <f t="shared" si="35"/>
        <v>#DIV/0!</v>
      </c>
      <c r="CG23" s="10">
        <f t="shared" si="36"/>
        <v>0</v>
      </c>
      <c r="CI23" s="18" t="e">
        <f t="shared" si="37"/>
        <v>#DIV/0!</v>
      </c>
      <c r="CJ23" s="18" t="e">
        <f t="shared" si="38"/>
        <v>#DIV/0!</v>
      </c>
      <c r="CK23" s="10">
        <f t="shared" si="39"/>
        <v>3.1428571428571428</v>
      </c>
      <c r="CL23" s="10" t="e">
        <f t="shared" si="40"/>
        <v>#DIV/0!</v>
      </c>
      <c r="CN23" s="1" t="e">
        <f t="shared" si="41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18"/>
        <v>#DIV/0!</v>
      </c>
      <c r="BJ24" s="1" t="e">
        <f t="shared" si="19"/>
        <v>#DIV/0!</v>
      </c>
      <c r="BK24" s="1" t="e">
        <f t="shared" si="20"/>
        <v>#DIV/0!</v>
      </c>
      <c r="BL24" s="1" t="e">
        <f t="shared" si="21"/>
        <v>#DIV/0!</v>
      </c>
      <c r="BM24" s="1" t="e">
        <f t="shared" si="22"/>
        <v>#DIV/0!</v>
      </c>
      <c r="BN24" s="1" t="e">
        <f t="shared" si="23"/>
        <v>#DIV/0!</v>
      </c>
      <c r="BP24" s="1" t="str">
        <f t="shared" si="24"/>
        <v>Drymill CCS Fermentation Exhaust</v>
      </c>
      <c r="BQ24" s="1" t="e">
        <f t="shared" si="25"/>
        <v>#DIV/0!</v>
      </c>
      <c r="BR24" s="1" t="e">
        <f t="shared" si="26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7"/>
        <v>#DIV/0!</v>
      </c>
      <c r="BU24" s="1" t="e">
        <f t="shared" si="28"/>
        <v>#DIV/0!</v>
      </c>
      <c r="BV24" s="1" t="e">
        <f t="shared" si="29"/>
        <v>#DIV/0!</v>
      </c>
      <c r="BW24" s="1" t="e">
        <f t="shared" si="30"/>
        <v>#DIV/0!</v>
      </c>
      <c r="BY24" s="9">
        <f t="shared" si="31"/>
        <v>3.1428571428571428</v>
      </c>
      <c r="BZ24" s="18">
        <f t="shared" si="32"/>
        <v>1.7588666580000001</v>
      </c>
      <c r="CA24" s="10">
        <v>0.1828908353</v>
      </c>
      <c r="CB24" s="9">
        <v>0.23037490999999999</v>
      </c>
      <c r="CD24" s="10" t="e">
        <f t="shared" si="33"/>
        <v>#DIV/0!</v>
      </c>
      <c r="CE24" s="10" t="e">
        <f t="shared" si="34"/>
        <v>#DIV/0!</v>
      </c>
      <c r="CF24" s="10" t="e">
        <f t="shared" si="35"/>
        <v>#DIV/0!</v>
      </c>
      <c r="CG24" s="10">
        <f t="shared" si="36"/>
        <v>0</v>
      </c>
      <c r="CI24" s="18" t="e">
        <f t="shared" si="37"/>
        <v>#DIV/0!</v>
      </c>
      <c r="CJ24" s="18" t="e">
        <f t="shared" si="38"/>
        <v>#DIV/0!</v>
      </c>
      <c r="CK24" s="10">
        <f t="shared" si="39"/>
        <v>3.1428571428571428</v>
      </c>
      <c r="CL24" s="10" t="e">
        <f t="shared" si="40"/>
        <v>#DIV/0!</v>
      </c>
      <c r="CN24" s="1" t="e">
        <f t="shared" si="41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18"/>
        <v>#DIV/0!</v>
      </c>
      <c r="BJ25" s="1" t="e">
        <f t="shared" si="19"/>
        <v>#DIV/0!</v>
      </c>
      <c r="BK25" s="1" t="e">
        <f t="shared" si="20"/>
        <v>#DIV/0!</v>
      </c>
      <c r="BL25" s="1" t="e">
        <f t="shared" si="21"/>
        <v>#DIV/0!</v>
      </c>
      <c r="BM25" s="1" t="e">
        <f t="shared" si="22"/>
        <v>#DIV/0!</v>
      </c>
      <c r="BN25" s="1" t="e">
        <f t="shared" si="23"/>
        <v>#DIV/0!</v>
      </c>
      <c r="BP25" s="1" t="str">
        <f t="shared" si="24"/>
        <v>Drymill CCS Fermentation Exhaust</v>
      </c>
      <c r="BQ25" s="1" t="e">
        <f t="shared" si="25"/>
        <v>#DIV/0!</v>
      </c>
      <c r="BR25" s="1" t="e">
        <f t="shared" si="26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7"/>
        <v>#DIV/0!</v>
      </c>
      <c r="BU25" s="1" t="e">
        <f t="shared" si="28"/>
        <v>#DIV/0!</v>
      </c>
      <c r="BV25" s="1" t="e">
        <f t="shared" si="29"/>
        <v>#DIV/0!</v>
      </c>
      <c r="BW25" s="1" t="e">
        <f t="shared" si="30"/>
        <v>#DIV/0!</v>
      </c>
      <c r="BY25" s="9">
        <f t="shared" si="31"/>
        <v>3.1428571428571428</v>
      </c>
      <c r="BZ25" s="18">
        <f t="shared" si="32"/>
        <v>1.7588666580000001</v>
      </c>
      <c r="CA25" s="10">
        <v>0.1828908353</v>
      </c>
      <c r="CB25" s="9">
        <v>0.23037490999999999</v>
      </c>
      <c r="CD25" s="10" t="e">
        <f t="shared" si="33"/>
        <v>#DIV/0!</v>
      </c>
      <c r="CE25" s="10" t="e">
        <f t="shared" si="34"/>
        <v>#DIV/0!</v>
      </c>
      <c r="CF25" s="10" t="e">
        <f t="shared" si="35"/>
        <v>#DIV/0!</v>
      </c>
      <c r="CG25" s="10">
        <f t="shared" si="36"/>
        <v>0</v>
      </c>
      <c r="CI25" s="18" t="e">
        <f t="shared" si="37"/>
        <v>#DIV/0!</v>
      </c>
      <c r="CJ25" s="18" t="e">
        <f t="shared" si="38"/>
        <v>#DIV/0!</v>
      </c>
      <c r="CK25" s="10">
        <f t="shared" si="39"/>
        <v>3.1428571428571428</v>
      </c>
      <c r="CL25" s="10" t="e">
        <f t="shared" si="40"/>
        <v>#DIV/0!</v>
      </c>
      <c r="CN25" s="1" t="e">
        <f t="shared" si="41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18"/>
        <v>#DIV/0!</v>
      </c>
      <c r="BJ26" s="1" t="e">
        <f t="shared" si="19"/>
        <v>#DIV/0!</v>
      </c>
      <c r="BK26" s="1" t="e">
        <f t="shared" si="20"/>
        <v>#DIV/0!</v>
      </c>
      <c r="BL26" s="1" t="e">
        <f t="shared" si="21"/>
        <v>#DIV/0!</v>
      </c>
      <c r="BM26" s="1" t="e">
        <f t="shared" si="22"/>
        <v>#DIV/0!</v>
      </c>
      <c r="BN26" s="1" t="e">
        <f t="shared" si="23"/>
        <v>#DIV/0!</v>
      </c>
      <c r="BO26" s="17"/>
      <c r="BP26" s="1" t="str">
        <f t="shared" si="24"/>
        <v>Drymill CCS Fermentation Exhaust</v>
      </c>
      <c r="BQ26" s="1" t="e">
        <f t="shared" si="25"/>
        <v>#DIV/0!</v>
      </c>
      <c r="BR26" s="1" t="e">
        <f t="shared" si="26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7"/>
        <v>#DIV/0!</v>
      </c>
      <c r="BU26" s="1" t="e">
        <f t="shared" si="28"/>
        <v>#DIV/0!</v>
      </c>
      <c r="BV26" s="1" t="e">
        <f t="shared" si="29"/>
        <v>#DIV/0!</v>
      </c>
      <c r="BW26" s="1" t="e">
        <f t="shared" si="30"/>
        <v>#DIV/0!</v>
      </c>
      <c r="BY26" s="9">
        <f t="shared" si="31"/>
        <v>3.1428571428571428</v>
      </c>
      <c r="BZ26" s="18">
        <f t="shared" si="32"/>
        <v>1.7588666580000001</v>
      </c>
      <c r="CA26" s="10">
        <v>0.1828908353</v>
      </c>
      <c r="CB26" s="9">
        <v>0.23037490999999999</v>
      </c>
      <c r="CD26" s="10" t="e">
        <f t="shared" si="33"/>
        <v>#DIV/0!</v>
      </c>
      <c r="CE26" s="10" t="e">
        <f t="shared" si="34"/>
        <v>#DIV/0!</v>
      </c>
      <c r="CF26" s="10" t="e">
        <f t="shared" si="35"/>
        <v>#DIV/0!</v>
      </c>
      <c r="CG26" s="10">
        <f t="shared" si="36"/>
        <v>0</v>
      </c>
      <c r="CI26" s="18" t="e">
        <f t="shared" si="37"/>
        <v>#DIV/0!</v>
      </c>
      <c r="CJ26" s="18" t="e">
        <f t="shared" si="38"/>
        <v>#DIV/0!</v>
      </c>
      <c r="CK26" s="10">
        <f t="shared" si="39"/>
        <v>3.1428571428571428</v>
      </c>
      <c r="CL26" s="10" t="e">
        <f t="shared" si="40"/>
        <v>#DIV/0!</v>
      </c>
      <c r="CN26" s="1" t="e">
        <f t="shared" si="41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18"/>
        <v>#DIV/0!</v>
      </c>
      <c r="BJ27" s="1" t="e">
        <f t="shared" si="19"/>
        <v>#DIV/0!</v>
      </c>
      <c r="BK27" s="1" t="e">
        <f t="shared" si="20"/>
        <v>#DIV/0!</v>
      </c>
      <c r="BL27" s="1" t="e">
        <f t="shared" si="21"/>
        <v>#DIV/0!</v>
      </c>
      <c r="BM27" s="1" t="e">
        <f t="shared" si="22"/>
        <v>#DIV/0!</v>
      </c>
      <c r="BN27" s="1" t="e">
        <f t="shared" si="23"/>
        <v>#DIV/0!</v>
      </c>
      <c r="BP27" s="1" t="str">
        <f t="shared" si="24"/>
        <v>Drymill CCS Fermentation Exhaust</v>
      </c>
      <c r="BQ27" s="1" t="e">
        <f t="shared" si="25"/>
        <v>#DIV/0!</v>
      </c>
      <c r="BR27" s="1" t="e">
        <f t="shared" si="26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7"/>
        <v>#DIV/0!</v>
      </c>
      <c r="BU27" s="1" t="e">
        <f t="shared" si="28"/>
        <v>#DIV/0!</v>
      </c>
      <c r="BV27" s="1" t="e">
        <f t="shared" si="29"/>
        <v>#DIV/0!</v>
      </c>
      <c r="BW27" s="1" t="e">
        <f t="shared" si="30"/>
        <v>#DIV/0!</v>
      </c>
      <c r="BY27" s="9">
        <f t="shared" si="31"/>
        <v>3.1428571428571428</v>
      </c>
      <c r="BZ27" s="18">
        <f t="shared" si="32"/>
        <v>1.7588666580000001</v>
      </c>
      <c r="CA27" s="10">
        <v>0.1828908353</v>
      </c>
      <c r="CB27" s="9">
        <v>0.23037490999999999</v>
      </c>
      <c r="CD27" s="10" t="e">
        <f t="shared" si="33"/>
        <v>#DIV/0!</v>
      </c>
      <c r="CE27" s="10" t="e">
        <f t="shared" si="34"/>
        <v>#DIV/0!</v>
      </c>
      <c r="CF27" s="10" t="e">
        <f t="shared" si="35"/>
        <v>#DIV/0!</v>
      </c>
      <c r="CG27" s="10">
        <f t="shared" si="36"/>
        <v>0</v>
      </c>
      <c r="CI27" s="18" t="e">
        <f t="shared" si="37"/>
        <v>#DIV/0!</v>
      </c>
      <c r="CJ27" s="18" t="e">
        <f t="shared" si="38"/>
        <v>#DIV/0!</v>
      </c>
      <c r="CK27" s="10">
        <f t="shared" si="39"/>
        <v>3.1428571428571428</v>
      </c>
      <c r="CL27" s="10" t="e">
        <f t="shared" si="40"/>
        <v>#DIV/0!</v>
      </c>
      <c r="CN27" s="1" t="e">
        <f t="shared" si="41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18"/>
        <v>#DIV/0!</v>
      </c>
      <c r="BJ28" s="1" t="e">
        <f t="shared" si="19"/>
        <v>#DIV/0!</v>
      </c>
      <c r="BK28" s="1" t="e">
        <f t="shared" si="20"/>
        <v>#DIV/0!</v>
      </c>
      <c r="BL28" s="1" t="e">
        <f t="shared" si="21"/>
        <v>#DIV/0!</v>
      </c>
      <c r="BM28" s="1" t="e">
        <f t="shared" si="22"/>
        <v>#DIV/0!</v>
      </c>
      <c r="BN28" s="1" t="e">
        <f t="shared" si="23"/>
        <v>#DIV/0!</v>
      </c>
      <c r="BP28" s="1" t="str">
        <f t="shared" si="24"/>
        <v>Drymill CCS Fermentation Exhaust</v>
      </c>
      <c r="BQ28" s="1" t="e">
        <f t="shared" si="25"/>
        <v>#DIV/0!</v>
      </c>
      <c r="BR28" s="1" t="e">
        <f t="shared" si="26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7"/>
        <v>#DIV/0!</v>
      </c>
      <c r="BU28" s="1" t="e">
        <f t="shared" si="28"/>
        <v>#DIV/0!</v>
      </c>
      <c r="BV28" s="1" t="e">
        <f t="shared" si="29"/>
        <v>#DIV/0!</v>
      </c>
      <c r="BW28" s="1" t="e">
        <f t="shared" si="30"/>
        <v>#DIV/0!</v>
      </c>
      <c r="BY28" s="9">
        <f t="shared" si="31"/>
        <v>3.1428571428571428</v>
      </c>
      <c r="BZ28" s="18">
        <f t="shared" si="32"/>
        <v>1.7588666580000001</v>
      </c>
      <c r="CA28" s="10">
        <v>0.1828908353</v>
      </c>
      <c r="CB28" s="9">
        <v>0.23037490999999999</v>
      </c>
      <c r="CD28" s="10" t="e">
        <f t="shared" si="33"/>
        <v>#DIV/0!</v>
      </c>
      <c r="CE28" s="10" t="e">
        <f t="shared" si="34"/>
        <v>#DIV/0!</v>
      </c>
      <c r="CF28" s="10" t="e">
        <f t="shared" si="35"/>
        <v>#DIV/0!</v>
      </c>
      <c r="CG28" s="10">
        <f t="shared" si="36"/>
        <v>0</v>
      </c>
      <c r="CI28" s="18" t="e">
        <f t="shared" si="37"/>
        <v>#DIV/0!</v>
      </c>
      <c r="CJ28" s="18" t="e">
        <f t="shared" si="38"/>
        <v>#DIV/0!</v>
      </c>
      <c r="CK28" s="10">
        <f t="shared" si="39"/>
        <v>3.1428571428571428</v>
      </c>
      <c r="CL28" s="10" t="e">
        <f t="shared" si="40"/>
        <v>#DIV/0!</v>
      </c>
      <c r="CN28" s="1" t="e">
        <f t="shared" si="41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18"/>
        <v>#DIV/0!</v>
      </c>
      <c r="BJ29" s="1" t="e">
        <f t="shared" si="19"/>
        <v>#DIV/0!</v>
      </c>
      <c r="BK29" s="1" t="e">
        <f t="shared" si="20"/>
        <v>#DIV/0!</v>
      </c>
      <c r="BL29" s="1" t="e">
        <f t="shared" si="21"/>
        <v>#DIV/0!</v>
      </c>
      <c r="BM29" s="1" t="e">
        <f t="shared" si="22"/>
        <v>#DIV/0!</v>
      </c>
      <c r="BN29" s="1" t="e">
        <f t="shared" si="23"/>
        <v>#DIV/0!</v>
      </c>
      <c r="BP29" s="1" t="str">
        <f t="shared" si="24"/>
        <v>Drymill CCS Fermentation Exhaust</v>
      </c>
      <c r="BQ29" s="1" t="e">
        <f t="shared" si="25"/>
        <v>#DIV/0!</v>
      </c>
      <c r="BR29" s="1" t="e">
        <f t="shared" si="26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7"/>
        <v>#DIV/0!</v>
      </c>
      <c r="BU29" s="1" t="e">
        <f t="shared" si="28"/>
        <v>#DIV/0!</v>
      </c>
      <c r="BV29" s="1" t="e">
        <f t="shared" si="29"/>
        <v>#DIV/0!</v>
      </c>
      <c r="BW29" s="1" t="e">
        <f t="shared" si="30"/>
        <v>#DIV/0!</v>
      </c>
      <c r="BY29" s="9">
        <f t="shared" si="31"/>
        <v>3.1428571428571428</v>
      </c>
      <c r="BZ29" s="18">
        <f t="shared" si="32"/>
        <v>1.7588666580000001</v>
      </c>
      <c r="CA29" s="10">
        <v>0.1828908353</v>
      </c>
      <c r="CB29" s="9">
        <v>0.23037490999999999</v>
      </c>
      <c r="CD29" s="10" t="e">
        <f t="shared" si="33"/>
        <v>#DIV/0!</v>
      </c>
      <c r="CE29" s="10" t="e">
        <f t="shared" si="34"/>
        <v>#DIV/0!</v>
      </c>
      <c r="CF29" s="10" t="e">
        <f t="shared" si="35"/>
        <v>#DIV/0!</v>
      </c>
      <c r="CG29" s="10">
        <f t="shared" si="36"/>
        <v>0</v>
      </c>
      <c r="CI29" s="18" t="e">
        <f t="shared" si="37"/>
        <v>#DIV/0!</v>
      </c>
      <c r="CJ29" s="18" t="e">
        <f t="shared" si="38"/>
        <v>#DIV/0!</v>
      </c>
      <c r="CK29" s="10">
        <f t="shared" si="39"/>
        <v>3.1428571428571428</v>
      </c>
      <c r="CL29" s="10" t="e">
        <f t="shared" si="40"/>
        <v>#DIV/0!</v>
      </c>
      <c r="CN29" s="1" t="e">
        <f t="shared" si="41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18"/>
        <v>#DIV/0!</v>
      </c>
      <c r="BJ30" s="1" t="e">
        <f t="shared" si="19"/>
        <v>#DIV/0!</v>
      </c>
      <c r="BK30" s="1" t="e">
        <f t="shared" si="20"/>
        <v>#DIV/0!</v>
      </c>
      <c r="BL30" s="1" t="e">
        <f t="shared" si="21"/>
        <v>#DIV/0!</v>
      </c>
      <c r="BM30" s="1" t="e">
        <f t="shared" si="22"/>
        <v>#DIV/0!</v>
      </c>
      <c r="BN30" s="1" t="e">
        <f t="shared" si="23"/>
        <v>#DIV/0!</v>
      </c>
      <c r="BP30" s="1" t="str">
        <f t="shared" si="24"/>
        <v>Drymill CCS Fermentation Exhaust</v>
      </c>
      <c r="BQ30" s="1" t="e">
        <f t="shared" si="25"/>
        <v>#DIV/0!</v>
      </c>
      <c r="BR30" s="1" t="e">
        <f t="shared" si="26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7"/>
        <v>#DIV/0!</v>
      </c>
      <c r="BU30" s="1" t="e">
        <f t="shared" si="28"/>
        <v>#DIV/0!</v>
      </c>
      <c r="BV30" s="1" t="e">
        <f t="shared" si="29"/>
        <v>#DIV/0!</v>
      </c>
      <c r="BW30" s="1" t="e">
        <f t="shared" si="30"/>
        <v>#DIV/0!</v>
      </c>
      <c r="BY30" s="9">
        <f t="shared" si="31"/>
        <v>3.1428571428571428</v>
      </c>
      <c r="BZ30" s="18">
        <f t="shared" si="32"/>
        <v>1.7588666580000001</v>
      </c>
      <c r="CA30" s="10">
        <v>0.1828908353</v>
      </c>
      <c r="CB30" s="9">
        <v>0.23037490999999999</v>
      </c>
      <c r="CD30" s="10" t="e">
        <f t="shared" si="33"/>
        <v>#DIV/0!</v>
      </c>
      <c r="CE30" s="10" t="e">
        <f t="shared" si="34"/>
        <v>#DIV/0!</v>
      </c>
      <c r="CF30" s="10" t="e">
        <f t="shared" si="35"/>
        <v>#DIV/0!</v>
      </c>
      <c r="CG30" s="10">
        <f t="shared" si="36"/>
        <v>0</v>
      </c>
      <c r="CI30" s="18" t="e">
        <f t="shared" si="37"/>
        <v>#DIV/0!</v>
      </c>
      <c r="CJ30" s="18" t="e">
        <f t="shared" si="38"/>
        <v>#DIV/0!</v>
      </c>
      <c r="CK30" s="10">
        <f t="shared" si="39"/>
        <v>3.1428571428571428</v>
      </c>
      <c r="CL30" s="10" t="e">
        <f t="shared" si="40"/>
        <v>#DIV/0!</v>
      </c>
      <c r="CN30" s="1" t="e">
        <f t="shared" si="41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18"/>
        <v>#DIV/0!</v>
      </c>
      <c r="BJ31" s="1" t="e">
        <f t="shared" si="19"/>
        <v>#DIV/0!</v>
      </c>
      <c r="BK31" s="1" t="e">
        <f t="shared" si="20"/>
        <v>#DIV/0!</v>
      </c>
      <c r="BL31" s="1" t="e">
        <f t="shared" si="21"/>
        <v>#DIV/0!</v>
      </c>
      <c r="BM31" s="1" t="e">
        <f t="shared" si="22"/>
        <v>#DIV/0!</v>
      </c>
      <c r="BN31" s="1" t="e">
        <f t="shared" si="23"/>
        <v>#DIV/0!</v>
      </c>
      <c r="BP31" s="1" t="str">
        <f t="shared" si="24"/>
        <v>Drymill CCS Fermentation Exhaust</v>
      </c>
      <c r="BQ31" s="1" t="e">
        <f t="shared" si="25"/>
        <v>#DIV/0!</v>
      </c>
      <c r="BR31" s="1" t="e">
        <f t="shared" si="26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7"/>
        <v>#DIV/0!</v>
      </c>
      <c r="BU31" s="1" t="e">
        <f t="shared" si="28"/>
        <v>#DIV/0!</v>
      </c>
      <c r="BV31" s="1" t="e">
        <f t="shared" si="29"/>
        <v>#DIV/0!</v>
      </c>
      <c r="BW31" s="1" t="e">
        <f t="shared" si="30"/>
        <v>#DIV/0!</v>
      </c>
      <c r="BY31" s="9">
        <f t="shared" si="31"/>
        <v>3.1428571428571428</v>
      </c>
      <c r="BZ31" s="18">
        <f t="shared" si="32"/>
        <v>1.7588666580000001</v>
      </c>
      <c r="CA31" s="10">
        <v>0.1828908353</v>
      </c>
      <c r="CB31" s="9">
        <v>0.23037490999999999</v>
      </c>
      <c r="CD31" s="10" t="e">
        <f t="shared" si="33"/>
        <v>#DIV/0!</v>
      </c>
      <c r="CE31" s="10" t="e">
        <f t="shared" si="34"/>
        <v>#DIV/0!</v>
      </c>
      <c r="CF31" s="10" t="e">
        <f t="shared" si="35"/>
        <v>#DIV/0!</v>
      </c>
      <c r="CG31" s="10">
        <f t="shared" si="36"/>
        <v>0</v>
      </c>
      <c r="CI31" s="18" t="e">
        <f t="shared" si="37"/>
        <v>#DIV/0!</v>
      </c>
      <c r="CJ31" s="18" t="e">
        <f t="shared" si="38"/>
        <v>#DIV/0!</v>
      </c>
      <c r="CK31" s="10">
        <f t="shared" si="39"/>
        <v>3.1428571428571428</v>
      </c>
      <c r="CL31" s="10" t="e">
        <f t="shared" si="40"/>
        <v>#DIV/0!</v>
      </c>
      <c r="CN31" s="1" t="e">
        <f t="shared" si="41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18"/>
        <v>#DIV/0!</v>
      </c>
      <c r="BJ32" s="1" t="e">
        <f t="shared" si="19"/>
        <v>#DIV/0!</v>
      </c>
      <c r="BK32" s="1" t="e">
        <f t="shared" si="20"/>
        <v>#DIV/0!</v>
      </c>
      <c r="BL32" s="1" t="e">
        <f t="shared" si="21"/>
        <v>#DIV/0!</v>
      </c>
      <c r="BM32" s="1" t="e">
        <f t="shared" si="22"/>
        <v>#DIV/0!</v>
      </c>
      <c r="BN32" s="1" t="e">
        <f t="shared" si="23"/>
        <v>#DIV/0!</v>
      </c>
      <c r="BP32" s="1" t="str">
        <f t="shared" si="24"/>
        <v>Drymill CCS Fermentation Exhaust</v>
      </c>
      <c r="BQ32" s="1" t="e">
        <f t="shared" si="25"/>
        <v>#DIV/0!</v>
      </c>
      <c r="BR32" s="1" t="e">
        <f t="shared" si="26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7"/>
        <v>#DIV/0!</v>
      </c>
      <c r="BU32" s="1" t="e">
        <f t="shared" si="28"/>
        <v>#DIV/0!</v>
      </c>
      <c r="BV32" s="1" t="e">
        <f t="shared" si="29"/>
        <v>#DIV/0!</v>
      </c>
      <c r="BW32" s="1" t="e">
        <f t="shared" si="30"/>
        <v>#DIV/0!</v>
      </c>
      <c r="BY32" s="9">
        <f t="shared" si="31"/>
        <v>3.1428571428571428</v>
      </c>
      <c r="BZ32" s="18">
        <f t="shared" si="32"/>
        <v>1.7588666580000001</v>
      </c>
      <c r="CA32" s="10">
        <v>0.1828908353</v>
      </c>
      <c r="CB32" s="9">
        <v>0.23037490999999999</v>
      </c>
      <c r="CD32" s="10" t="e">
        <f t="shared" si="33"/>
        <v>#DIV/0!</v>
      </c>
      <c r="CE32" s="10" t="e">
        <f t="shared" si="34"/>
        <v>#DIV/0!</v>
      </c>
      <c r="CF32" s="10" t="e">
        <f t="shared" si="35"/>
        <v>#DIV/0!</v>
      </c>
      <c r="CG32" s="10">
        <f t="shared" si="36"/>
        <v>0</v>
      </c>
      <c r="CI32" s="18" t="e">
        <f t="shared" si="37"/>
        <v>#DIV/0!</v>
      </c>
      <c r="CJ32" s="18" t="e">
        <f t="shared" si="38"/>
        <v>#DIV/0!</v>
      </c>
      <c r="CK32" s="10">
        <f t="shared" si="39"/>
        <v>3.1428571428571428</v>
      </c>
      <c r="CL32" s="10" t="e">
        <f t="shared" si="40"/>
        <v>#DIV/0!</v>
      </c>
      <c r="CN32" s="1" t="e">
        <f t="shared" si="41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18"/>
        <v>#DIV/0!</v>
      </c>
      <c r="BJ33" s="1" t="e">
        <f t="shared" si="19"/>
        <v>#DIV/0!</v>
      </c>
      <c r="BK33" s="1" t="e">
        <f t="shared" si="20"/>
        <v>#DIV/0!</v>
      </c>
      <c r="BL33" s="1" t="e">
        <f t="shared" si="21"/>
        <v>#DIV/0!</v>
      </c>
      <c r="BM33" s="1" t="e">
        <f t="shared" si="22"/>
        <v>#DIV/0!</v>
      </c>
      <c r="BN33" s="1" t="e">
        <f t="shared" si="23"/>
        <v>#DIV/0!</v>
      </c>
      <c r="BP33" s="1" t="str">
        <f t="shared" si="24"/>
        <v>Drymill CCS Fermentation Exhaust</v>
      </c>
      <c r="BQ33" s="1" t="e">
        <f t="shared" si="25"/>
        <v>#DIV/0!</v>
      </c>
      <c r="BR33" s="1" t="e">
        <f t="shared" si="26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7"/>
        <v>#DIV/0!</v>
      </c>
      <c r="BU33" s="1" t="e">
        <f t="shared" si="28"/>
        <v>#DIV/0!</v>
      </c>
      <c r="BV33" s="1" t="e">
        <f t="shared" si="29"/>
        <v>#DIV/0!</v>
      </c>
      <c r="BW33" s="1" t="e">
        <f t="shared" si="30"/>
        <v>#DIV/0!</v>
      </c>
      <c r="BY33" s="9">
        <f t="shared" si="31"/>
        <v>3.1428571428571428</v>
      </c>
      <c r="BZ33" s="18">
        <f t="shared" si="32"/>
        <v>1.7588666580000001</v>
      </c>
      <c r="CA33" s="10">
        <v>0.1828908353</v>
      </c>
      <c r="CB33" s="9">
        <v>0.23037490999999999</v>
      </c>
      <c r="CD33" s="10" t="e">
        <f t="shared" si="33"/>
        <v>#DIV/0!</v>
      </c>
      <c r="CE33" s="10" t="e">
        <f t="shared" si="34"/>
        <v>#DIV/0!</v>
      </c>
      <c r="CF33" s="10" t="e">
        <f t="shared" si="35"/>
        <v>#DIV/0!</v>
      </c>
      <c r="CG33" s="10">
        <f t="shared" si="36"/>
        <v>0</v>
      </c>
      <c r="CI33" s="18" t="e">
        <f t="shared" si="37"/>
        <v>#DIV/0!</v>
      </c>
      <c r="CJ33" s="18" t="e">
        <f t="shared" si="38"/>
        <v>#DIV/0!</v>
      </c>
      <c r="CK33" s="10">
        <f t="shared" si="39"/>
        <v>3.1428571428571428</v>
      </c>
      <c r="CL33" s="10" t="e">
        <f t="shared" si="40"/>
        <v>#DIV/0!</v>
      </c>
      <c r="CN33" s="1" t="e">
        <f t="shared" si="41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18"/>
        <v>#DIV/0!</v>
      </c>
      <c r="BJ34" s="1" t="e">
        <f t="shared" si="19"/>
        <v>#DIV/0!</v>
      </c>
      <c r="BK34" s="1" t="e">
        <f t="shared" si="20"/>
        <v>#DIV/0!</v>
      </c>
      <c r="BL34" s="1" t="e">
        <f t="shared" si="21"/>
        <v>#DIV/0!</v>
      </c>
      <c r="BM34" s="1" t="e">
        <f t="shared" si="22"/>
        <v>#DIV/0!</v>
      </c>
      <c r="BN34" s="1" t="e">
        <f t="shared" si="23"/>
        <v>#DIV/0!</v>
      </c>
      <c r="BP34" s="1" t="str">
        <f t="shared" si="24"/>
        <v>Drymill CCS Fermentation Exhaust</v>
      </c>
      <c r="BQ34" s="1" t="e">
        <f t="shared" si="25"/>
        <v>#DIV/0!</v>
      </c>
      <c r="BR34" s="1" t="e">
        <f t="shared" si="26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7"/>
        <v>#DIV/0!</v>
      </c>
      <c r="BU34" s="1" t="e">
        <f t="shared" si="28"/>
        <v>#DIV/0!</v>
      </c>
      <c r="BV34" s="1" t="e">
        <f t="shared" si="29"/>
        <v>#DIV/0!</v>
      </c>
      <c r="BW34" s="1" t="e">
        <f t="shared" si="30"/>
        <v>#DIV/0!</v>
      </c>
      <c r="BY34" s="9">
        <f t="shared" si="31"/>
        <v>3.1428571428571428</v>
      </c>
      <c r="BZ34" s="18">
        <f t="shared" si="32"/>
        <v>1.7588666580000001</v>
      </c>
      <c r="CA34" s="10">
        <v>0.1828908353</v>
      </c>
      <c r="CB34" s="9">
        <v>0.23037490999999999</v>
      </c>
      <c r="CD34" s="10" t="e">
        <f t="shared" si="33"/>
        <v>#DIV/0!</v>
      </c>
      <c r="CE34" s="10" t="e">
        <f t="shared" si="34"/>
        <v>#DIV/0!</v>
      </c>
      <c r="CF34" s="10" t="e">
        <f t="shared" si="35"/>
        <v>#DIV/0!</v>
      </c>
      <c r="CG34" s="10">
        <f t="shared" si="36"/>
        <v>0</v>
      </c>
      <c r="CI34" s="18" t="e">
        <f t="shared" si="37"/>
        <v>#DIV/0!</v>
      </c>
      <c r="CJ34" s="18" t="e">
        <f t="shared" si="38"/>
        <v>#DIV/0!</v>
      </c>
      <c r="CK34" s="10">
        <f t="shared" si="39"/>
        <v>3.1428571428571428</v>
      </c>
      <c r="CL34" s="10" t="e">
        <f t="shared" si="40"/>
        <v>#DIV/0!</v>
      </c>
      <c r="CN34" s="1" t="e">
        <f t="shared" si="41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18"/>
        <v>#DIV/0!</v>
      </c>
      <c r="BJ35" s="1" t="e">
        <f t="shared" si="19"/>
        <v>#DIV/0!</v>
      </c>
      <c r="BK35" s="1" t="e">
        <f t="shared" si="20"/>
        <v>#DIV/0!</v>
      </c>
      <c r="BL35" s="1" t="e">
        <f t="shared" si="21"/>
        <v>#DIV/0!</v>
      </c>
      <c r="BM35" s="1" t="e">
        <f t="shared" si="22"/>
        <v>#DIV/0!</v>
      </c>
      <c r="BN35" s="1" t="e">
        <f t="shared" si="23"/>
        <v>#DIV/0!</v>
      </c>
      <c r="BP35" s="1" t="str">
        <f t="shared" si="24"/>
        <v>Drymill CCS Fermentation Exhaust</v>
      </c>
      <c r="BQ35" s="1" t="e">
        <f t="shared" si="25"/>
        <v>#DIV/0!</v>
      </c>
      <c r="BR35" s="1" t="e">
        <f t="shared" si="26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7"/>
        <v>#DIV/0!</v>
      </c>
      <c r="BU35" s="1" t="e">
        <f t="shared" si="28"/>
        <v>#DIV/0!</v>
      </c>
      <c r="BV35" s="1" t="e">
        <f t="shared" si="29"/>
        <v>#DIV/0!</v>
      </c>
      <c r="BW35" s="1" t="e">
        <f t="shared" si="30"/>
        <v>#DIV/0!</v>
      </c>
      <c r="BY35" s="9">
        <f t="shared" si="31"/>
        <v>3.1428571428571428</v>
      </c>
      <c r="BZ35" s="18">
        <f t="shared" si="32"/>
        <v>1.7588666580000001</v>
      </c>
      <c r="CA35" s="10">
        <v>0.1828908353</v>
      </c>
      <c r="CB35" s="9">
        <v>0.23037490999999999</v>
      </c>
      <c r="CD35" s="10" t="e">
        <f t="shared" si="33"/>
        <v>#DIV/0!</v>
      </c>
      <c r="CE35" s="10" t="e">
        <f t="shared" si="34"/>
        <v>#DIV/0!</v>
      </c>
      <c r="CF35" s="10" t="e">
        <f t="shared" si="35"/>
        <v>#DIV/0!</v>
      </c>
      <c r="CG35" s="10">
        <f t="shared" si="36"/>
        <v>0</v>
      </c>
      <c r="CI35" s="18" t="e">
        <f t="shared" si="37"/>
        <v>#DIV/0!</v>
      </c>
      <c r="CJ35" s="18" t="e">
        <f t="shared" si="38"/>
        <v>#DIV/0!</v>
      </c>
      <c r="CK35" s="10">
        <f t="shared" si="39"/>
        <v>3.1428571428571428</v>
      </c>
      <c r="CL35" s="10" t="e">
        <f t="shared" si="40"/>
        <v>#DIV/0!</v>
      </c>
      <c r="CN35" s="1" t="e">
        <f t="shared" si="41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7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SUM(CI36:CL36)-CD36</f>
        <v>#DIV/0!</v>
      </c>
      <c r="BJ36" s="1" t="e">
        <f t="shared" ref="BJ36:BJ66" si="61">(AG36+AH36)*-1*(CJ36+CK36)</f>
        <v>#DIV/0!</v>
      </c>
      <c r="BK36" s="1" t="e">
        <f t="shared" ref="BK36:BK66" si="62">BI36*AG36</f>
        <v>#DIV/0!</v>
      </c>
      <c r="BL36" s="1" t="e">
        <f t="shared" ref="BL36:BL66" si="63">CI36+CL36-CD36</f>
        <v>#DIV/0!</v>
      </c>
      <c r="BM36" s="1" t="e">
        <f t="shared" ref="BM36:BM66" si="64">(CJ36+CK36)*AH36*-1</f>
        <v>#DIV/0!</v>
      </c>
      <c r="BN36" s="1" t="e">
        <f t="shared" ref="BN36:BN66" si="65">BL36*AG36</f>
        <v>#DIV/0!</v>
      </c>
      <c r="BP36" s="1" t="str">
        <f t="shared" ref="BP36:BP66" si="66">R36</f>
        <v>Drymill CCS Fermentation Exhaust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1.7588666580000001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 t="e">
        <f t="shared" ref="CE36:CE66" si="76">IF(W36=0, 0, CA36*W36/V36/H36)</f>
        <v>#DIV/0!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Drymill CCS Fermentation Exhaust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1.7588666580000001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 t="e">
        <f t="shared" si="76"/>
        <v>#DIV/0!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Drymill CCS Fermentation Exhaust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1.7588666580000001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 t="e">
        <f t="shared" si="76"/>
        <v>#DIV/0!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Drymill CCS Fermentation Exhaust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1.7588666580000001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 t="e">
        <f t="shared" si="76"/>
        <v>#DIV/0!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Drymill CCS Fermentation Exhaust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1.7588666580000001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 t="e">
        <f t="shared" si="76"/>
        <v>#DIV/0!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Drymill CCS Fermentation Exhaust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1.7588666580000001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 t="e">
        <f t="shared" si="76"/>
        <v>#DIV/0!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Drymill CCS Fermentation Exhaust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1.7588666580000001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 t="e">
        <f t="shared" si="76"/>
        <v>#DIV/0!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Drymill CCS Fermentation Exhaust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1.7588666580000001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 t="e">
        <f t="shared" si="76"/>
        <v>#DIV/0!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Drymill CCS Fermentation Exhaust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1.7588666580000001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 t="e">
        <f t="shared" si="76"/>
        <v>#DIV/0!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Drymill CCS Fermentation Exhaust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1.7588666580000001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 t="e">
        <f t="shared" si="76"/>
        <v>#DIV/0!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Drymill CCS Fermentation Exhaust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1.7588666580000001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 t="e">
        <f t="shared" si="76"/>
        <v>#DIV/0!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Drymill CCS Fermentation Exhaust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1.7588666580000001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 t="e">
        <f t="shared" si="76"/>
        <v>#DIV/0!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Drymill CCS Fermentation Exhaust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1.7588666580000001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 t="e">
        <f t="shared" si="76"/>
        <v>#DIV/0!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Drymill CCS Fermentation Exhaust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1.7588666580000001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 t="e">
        <f t="shared" si="76"/>
        <v>#DIV/0!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Drymill CCS Fermentation Exhaust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1.7588666580000001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 t="e">
        <f t="shared" si="76"/>
        <v>#DIV/0!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Drymill CCS Fermentation Exhaust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1.7588666580000001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 t="e">
        <f t="shared" si="76"/>
        <v>#DIV/0!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Drymill CCS Fermentation Exhaust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1.7588666580000001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 t="e">
        <f t="shared" si="76"/>
        <v>#DIV/0!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Drymill CCS Fermentation Exhaust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1.7588666580000001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 t="e">
        <f t="shared" si="76"/>
        <v>#DIV/0!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Drymill CCS Fermentation Exhaust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1.7588666580000001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 t="e">
        <f t="shared" si="76"/>
        <v>#DIV/0!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Drymill CCS Fermentation Exhaust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1.7588666580000001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 t="e">
        <f t="shared" si="76"/>
        <v>#DIV/0!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Drymill CCS Fermentation Exhaust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1.7588666580000001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 t="e">
        <f t="shared" si="76"/>
        <v>#DIV/0!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Drymill CCS Fermentation Exhaust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1.7588666580000001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 t="e">
        <f t="shared" si="76"/>
        <v>#DIV/0!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Drymill CCS Fermentation Exhaust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1.7588666580000001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 t="e">
        <f t="shared" si="76"/>
        <v>#DIV/0!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Drymill CCS Fermentation Exhaust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1.7588666580000001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 t="e">
        <f t="shared" si="76"/>
        <v>#DIV/0!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Drymill CCS Fermentation Exhaust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1.7588666580000001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 t="e">
        <f t="shared" si="76"/>
        <v>#DIV/0!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Drymill CCS Fermentation Exhaust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1.7588666580000001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 t="e">
        <f t="shared" si="76"/>
        <v>#DIV/0!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Drymill CCS Fermentation Exhaust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1.7588666580000001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 t="e">
        <f t="shared" si="76"/>
        <v>#DIV/0!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Drymill CCS Fermentation Exhaust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1.7588666580000001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 t="e">
        <f t="shared" si="76"/>
        <v>#DIV/0!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Drymill CCS Fermentation Exhaust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1.7588666580000001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 t="e">
        <f t="shared" si="76"/>
        <v>#DIV/0!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Drymill CCS Fermentation Exhaust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1.7588666580000001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 t="e">
        <f t="shared" si="76"/>
        <v>#DIV/0!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Drymill CCS Fermentation Exhaust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1.7588666580000001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 t="e">
        <f t="shared" si="76"/>
        <v>#DIV/0!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8.3994213755521283</v>
      </c>
      <c r="D3" s="25">
        <f>lc_detailed!AX4</f>
        <v>14.253856061778412</v>
      </c>
      <c r="E3" s="25">
        <f>lc_detailed!AY4</f>
        <v>0</v>
      </c>
      <c r="F3" s="25">
        <f>lc_detailed!AZ4</f>
        <v>731.56501329210482</v>
      </c>
      <c r="G3" s="25">
        <f>lc_detailed!BA4</f>
        <v>22.532116624694076</v>
      </c>
      <c r="H3" s="25">
        <f>lc_detailed!BB4</f>
        <v>63.464284886856362</v>
      </c>
      <c r="I3" s="25">
        <f>lc_detailed!BC4</f>
        <v>11.843234411429817</v>
      </c>
      <c r="J3" s="25">
        <f>lc_detailed!BD4</f>
        <v>26.201549810398898</v>
      </c>
      <c r="K3" s="25">
        <f>lc_detailed!BE4</f>
        <v>11.386217261862534</v>
      </c>
      <c r="L3" s="25">
        <f>lc_detailed!BF4</f>
        <v>116.84791455349433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-553.23516940620846</v>
      </c>
      <c r="P3" s="25">
        <f>lc_detailed!BK4</f>
        <v>123.43785113332096</v>
      </c>
      <c r="Q3" s="25">
        <f>lc_detailed!AS4</f>
        <v>462.67034763840178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6.1619045514285036</v>
      </c>
      <c r="D4" s="25">
        <f>lc_detailed!AX5</f>
        <v>10.456779891782208</v>
      </c>
      <c r="E4" s="25">
        <f>lc_detailed!AY5</f>
        <v>0</v>
      </c>
      <c r="F4" s="25">
        <f>lc_detailed!AZ5</f>
        <v>731.56501329210482</v>
      </c>
      <c r="G4" s="25">
        <f>lc_detailed!BA5</f>
        <v>22.532116624694076</v>
      </c>
      <c r="H4" s="25">
        <f>lc_detailed!BB5</f>
        <v>63.464284886856362</v>
      </c>
      <c r="I4" s="25">
        <f>lc_detailed!BC5</f>
        <v>11.843234411429817</v>
      </c>
      <c r="J4" s="25">
        <f>lc_detailed!BD5</f>
        <v>26.201549810398898</v>
      </c>
      <c r="K4" s="25">
        <f>lc_detailed!BE5</f>
        <v>11.386217261862534</v>
      </c>
      <c r="L4" s="25">
        <f>lc_detailed!BF5</f>
        <v>116.84791455349433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-548.30547611322447</v>
      </c>
      <c r="P4" s="25">
        <f>lc_detailed!BK5</f>
        <v>123.43785113332096</v>
      </c>
      <c r="Q4" s="25">
        <f>lc_detailed!AS5</f>
        <v>461.56544793726579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6.4342729962902965</v>
      </c>
      <c r="D5" s="25">
        <f>lc_detailed!AX6</f>
        <v>10.918990374534092</v>
      </c>
      <c r="E5" s="25">
        <f>lc_detailed!AY6</f>
        <v>0</v>
      </c>
      <c r="F5" s="25">
        <f>lc_detailed!AZ6</f>
        <v>731.56501329210482</v>
      </c>
      <c r="G5" s="25">
        <f>lc_detailed!BA6</f>
        <v>22.532116624694076</v>
      </c>
      <c r="H5" s="25">
        <f>lc_detailed!BB6</f>
        <v>63.464284886856362</v>
      </c>
      <c r="I5" s="25">
        <f>lc_detailed!BC6</f>
        <v>11.843234411429817</v>
      </c>
      <c r="J5" s="25">
        <f>lc_detailed!BD6</f>
        <v>26.201549810398898</v>
      </c>
      <c r="K5" s="25">
        <f>lc_detailed!BE6</f>
        <v>11.386217261862534</v>
      </c>
      <c r="L5" s="25">
        <f>lc_detailed!BF6</f>
        <v>116.84791455349433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-498.68563184038442</v>
      </c>
      <c r="P5" s="25">
        <f>lc_detailed!BK6</f>
        <v>123.43785113332096</v>
      </c>
      <c r="Q5" s="25">
        <f>lc_detailed!AS6</f>
        <v>511.91987113771955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4.6437792816172987</v>
      </c>
      <c r="D6" s="25">
        <f>lc_detailed!AX7</f>
        <v>7.8805144429952678</v>
      </c>
      <c r="E6" s="25">
        <f>lc_detailed!AY7</f>
        <v>0</v>
      </c>
      <c r="F6" s="25">
        <f>lc_detailed!AZ7</f>
        <v>731.56501329210482</v>
      </c>
      <c r="G6" s="25">
        <f>lc_detailed!BA7</f>
        <v>21.922435830124495</v>
      </c>
      <c r="H6" s="25">
        <f>lc_detailed!BB7</f>
        <v>61.747049161465014</v>
      </c>
      <c r="I6" s="25">
        <f>lc_detailed!BC7</f>
        <v>11.843234411429817</v>
      </c>
      <c r="J6" s="25">
        <f>lc_detailed!BD7</f>
        <v>26.201549810398898</v>
      </c>
      <c r="K6" s="25">
        <f>lc_detailed!BE7</f>
        <v>11.386217261862534</v>
      </c>
      <c r="L6" s="25">
        <f>lc_detailed!BF7</f>
        <v>116.84791455349433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-471.85068207691694</v>
      </c>
      <c r="P6" s="25">
        <f>lc_detailed!BK7</f>
        <v>123.43785113332096</v>
      </c>
      <c r="Q6" s="25">
        <f>lc_detailed!AS7</f>
        <v>531.59893473501438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7.0709976683332973</v>
      </c>
      <c r="D7" s="25">
        <f>lc_detailed!AX8</f>
        <v>11.999515022660512</v>
      </c>
      <c r="E7" s="25">
        <f>lc_detailed!AY8</f>
        <v>0</v>
      </c>
      <c r="F7" s="25">
        <f>lc_detailed!AZ8</f>
        <v>731.56501329210482</v>
      </c>
      <c r="G7" s="25">
        <f>lc_detailed!BA8</f>
        <v>22.080218146761275</v>
      </c>
      <c r="H7" s="25">
        <f>lc_detailed!BB8</f>
        <v>62.191461111746264</v>
      </c>
      <c r="I7" s="25">
        <f>lc_detailed!BC8</f>
        <v>11.843234411429817</v>
      </c>
      <c r="J7" s="25">
        <f>lc_detailed!BD8</f>
        <v>26.201549810398898</v>
      </c>
      <c r="K7" s="25">
        <f>lc_detailed!BE8</f>
        <v>11.386217261862534</v>
      </c>
      <c r="L7" s="25">
        <f>lc_detailed!BF8</f>
        <v>116.84791455349433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-361.08483930085214</v>
      </c>
      <c r="P7" s="25">
        <f>lc_detailed!BK8</f>
        <v>123.43785113332096</v>
      </c>
      <c r="Q7" s="25">
        <f>lc_detailed!AS8</f>
        <v>649.51319074437833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5.7823498949349714</v>
      </c>
      <c r="D8" s="25">
        <f>lc_detailed!AX9</f>
        <v>9.8126739231277984</v>
      </c>
      <c r="E8" s="25">
        <f>lc_detailed!AY9</f>
        <v>0</v>
      </c>
      <c r="F8" s="25">
        <f>lc_detailed!AZ9</f>
        <v>731.56501329210482</v>
      </c>
      <c r="G8" s="25">
        <f>lc_detailed!BA9</f>
        <v>22.080218146761275</v>
      </c>
      <c r="H8" s="25">
        <f>lc_detailed!BB9</f>
        <v>62.191461111746264</v>
      </c>
      <c r="I8" s="25">
        <f>lc_detailed!BC9</f>
        <v>11.843234411429817</v>
      </c>
      <c r="J8" s="25">
        <f>lc_detailed!BD9</f>
        <v>26.201549810398898</v>
      </c>
      <c r="K8" s="25">
        <f>lc_detailed!BE9</f>
        <v>11.386217261862534</v>
      </c>
      <c r="L8" s="25">
        <f>lc_detailed!BF9</f>
        <v>116.84791455349433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-415.94739048103264</v>
      </c>
      <c r="P8" s="25">
        <f>lc_detailed!BK9</f>
        <v>123.43785113332096</v>
      </c>
      <c r="Q8" s="25">
        <f>lc_detailed!AS9</f>
        <v>591.17515069126682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8.7708848580038428</v>
      </c>
      <c r="D9" s="25">
        <f>lc_detailed!AX10</f>
        <v>14.884231271490476</v>
      </c>
      <c r="E9" s="25">
        <f>lc_detailed!AY10</f>
        <v>0</v>
      </c>
      <c r="F9" s="25">
        <f>lc_detailed!AZ10</f>
        <v>731.56501329210482</v>
      </c>
      <c r="G9" s="25">
        <f>lc_detailed!BA10</f>
        <v>22.080218146761275</v>
      </c>
      <c r="H9" s="25">
        <f>lc_detailed!BB10</f>
        <v>62.191461111746264</v>
      </c>
      <c r="I9" s="25">
        <f>lc_detailed!BC10</f>
        <v>11.843234411429817</v>
      </c>
      <c r="J9" s="25">
        <f>lc_detailed!BD10</f>
        <v>26.201549810398898</v>
      </c>
      <c r="K9" s="25">
        <f>lc_detailed!BE10</f>
        <v>11.386217261862534</v>
      </c>
      <c r="L9" s="25">
        <f>lc_detailed!BF10</f>
        <v>116.84791455349433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-327.75031898293912</v>
      </c>
      <c r="P9" s="25">
        <f>lc_detailed!BK10</f>
        <v>123.43785113332096</v>
      </c>
      <c r="Q9" s="25">
        <f>lc_detailed!AS10</f>
        <v>687.4323145007919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9.0528246089782503</v>
      </c>
      <c r="D10" s="25">
        <f>lc_detailed!AX11</f>
        <v>15.362684304002933</v>
      </c>
      <c r="E10" s="25">
        <f>lc_detailed!AY11</f>
        <v>0</v>
      </c>
      <c r="F10" s="25">
        <f>lc_detailed!AZ11</f>
        <v>731.56501329210482</v>
      </c>
      <c r="G10" s="25">
        <f>lc_detailed!BA11</f>
        <v>22.080218146761275</v>
      </c>
      <c r="H10" s="25">
        <f>lc_detailed!BB11</f>
        <v>62.191461111746264</v>
      </c>
      <c r="I10" s="25">
        <f>lc_detailed!BC11</f>
        <v>11.843234411429817</v>
      </c>
      <c r="J10" s="25">
        <f>lc_detailed!BD11</f>
        <v>26.201549810398898</v>
      </c>
      <c r="K10" s="25">
        <f>lc_detailed!BE11</f>
        <v>11.386217261862534</v>
      </c>
      <c r="L10" s="25">
        <f>lc_detailed!BF11</f>
        <v>116.84791455349433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-315.6264887377132</v>
      </c>
      <c r="P10" s="25">
        <f>lc_detailed!BK11</f>
        <v>123.43785113332096</v>
      </c>
      <c r="Q10" s="25">
        <f>lc_detailed!AS11</f>
        <v>700.31653752950467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10.902007848174145</v>
      </c>
      <c r="D11" s="25">
        <f>lc_detailed!AX12</f>
        <v>18.500756624088055</v>
      </c>
      <c r="E11" s="25">
        <f>lc_detailed!AY12</f>
        <v>0</v>
      </c>
      <c r="F11" s="25">
        <f>lc_detailed!AZ12</f>
        <v>731.56501329210482</v>
      </c>
      <c r="G11" s="25">
        <f>lc_detailed!BA12</f>
        <v>22.080218146761275</v>
      </c>
      <c r="H11" s="25">
        <f>lc_detailed!BB12</f>
        <v>62.191461111746264</v>
      </c>
      <c r="I11" s="25">
        <f>lc_detailed!BC12</f>
        <v>11.843234411429817</v>
      </c>
      <c r="J11" s="25">
        <f>lc_detailed!BD12</f>
        <v>26.201549810398898</v>
      </c>
      <c r="K11" s="25">
        <f>lc_detailed!BE12</f>
        <v>11.386217261862534</v>
      </c>
      <c r="L11" s="25">
        <f>lc_detailed!BF12</f>
        <v>116.84791455349433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-264.28414937649762</v>
      </c>
      <c r="P11" s="25">
        <f>lc_detailed!BK12</f>
        <v>123.43785113332096</v>
      </c>
      <c r="Q11" s="25">
        <f>lc_detailed!AS12</f>
        <v>756.64613245000123</v>
      </c>
      <c r="R11" s="25"/>
    </row>
    <row r="12" spans="1:18" x14ac:dyDescent="0.2">
      <c r="A12" t="str">
        <f>lc_detailed!AQ13</f>
        <v>CA_B-H2in</v>
      </c>
      <c r="B12" s="25">
        <f>lc_detailed!AV13</f>
        <v>48.965150545241023</v>
      </c>
      <c r="C12" s="25">
        <f>lc_detailed!AW13</f>
        <v>8.3994213755521283</v>
      </c>
      <c r="D12" s="25">
        <f>lc_detailed!AX13</f>
        <v>14.253856061778412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63.464284886856362</v>
      </c>
      <c r="I12" s="25">
        <f>lc_detailed!BC13</f>
        <v>11.843234411429817</v>
      </c>
      <c r="J12" s="25">
        <f>lc_detailed!BD13</f>
        <v>26.201549810398898</v>
      </c>
      <c r="K12" s="25">
        <f>lc_detailed!BE13</f>
        <v>11.386217261862534</v>
      </c>
      <c r="L12" s="25">
        <f>lc_detailed!BF13</f>
        <v>116.84791455349433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-553.23516940620846</v>
      </c>
      <c r="P12" s="25">
        <f>lc_detailed!BK13</f>
        <v>91.101080485584873</v>
      </c>
      <c r="Q12" s="25">
        <f>lc_detailed!AS13</f>
        <v>456.76661091121281</v>
      </c>
      <c r="R12" s="25"/>
    </row>
    <row r="13" spans="1:18" x14ac:dyDescent="0.2">
      <c r="A13" t="str">
        <f>lc_detailed!AQ14</f>
        <v>NW_B-H2in</v>
      </c>
      <c r="B13" s="25">
        <f>lc_detailed!AV14</f>
        <v>45.858614503631181</v>
      </c>
      <c r="C13" s="25">
        <f>lc_detailed!AW14</f>
        <v>6.1619045514285036</v>
      </c>
      <c r="D13" s="25">
        <f>lc_detailed!AX14</f>
        <v>10.456779891782208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63.464284886856362</v>
      </c>
      <c r="I13" s="25">
        <f>lc_detailed!BC14</f>
        <v>11.843234411429817</v>
      </c>
      <c r="J13" s="25">
        <f>lc_detailed!BD14</f>
        <v>26.201549810398898</v>
      </c>
      <c r="K13" s="25">
        <f>lc_detailed!BE14</f>
        <v>11.386217261862534</v>
      </c>
      <c r="L13" s="25">
        <f>lc_detailed!BF14</f>
        <v>116.84791455349433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-548.30547611322447</v>
      </c>
      <c r="P13" s="25">
        <f>lc_detailed!BK14</f>
        <v>91.101080485584873</v>
      </c>
      <c r="Q13" s="25">
        <f>lc_detailed!AS14</f>
        <v>452.55517516846697</v>
      </c>
      <c r="R13" s="25"/>
    </row>
    <row r="14" spans="1:18" x14ac:dyDescent="0.2">
      <c r="A14" t="str">
        <f>lc_detailed!AQ15</f>
        <v>SW_B-H2in</v>
      </c>
      <c r="B14" s="25">
        <f>lc_detailed!AV15</f>
        <v>43.445561098816704</v>
      </c>
      <c r="C14" s="25">
        <f>lc_detailed!AW15</f>
        <v>6.4342729962902965</v>
      </c>
      <c r="D14" s="25">
        <f>lc_detailed!AX15</f>
        <v>10.918990374534092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63.464284886856362</v>
      </c>
      <c r="I14" s="25">
        <f>lc_detailed!BC15</f>
        <v>11.843234411429817</v>
      </c>
      <c r="J14" s="25">
        <f>lc_detailed!BD15</f>
        <v>26.201549810398898</v>
      </c>
      <c r="K14" s="25">
        <f>lc_detailed!BE15</f>
        <v>11.386217261862534</v>
      </c>
      <c r="L14" s="25">
        <f>lc_detailed!BF15</f>
        <v>116.84791455349433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-498.68563184038442</v>
      </c>
      <c r="P14" s="25">
        <f>lc_detailed!BK15</f>
        <v>91.101080485584873</v>
      </c>
      <c r="Q14" s="25">
        <f>lc_detailed!AS15</f>
        <v>500.49654496410625</v>
      </c>
      <c r="R14" s="25"/>
    </row>
    <row r="15" spans="1:18" x14ac:dyDescent="0.2">
      <c r="A15" t="str">
        <f>lc_detailed!AQ16</f>
        <v>TX_B-H2in</v>
      </c>
      <c r="B15" s="25">
        <f>lc_detailed!AV16</f>
        <v>30.571228257388643</v>
      </c>
      <c r="C15" s="25">
        <f>lc_detailed!AW16</f>
        <v>4.6437792816172987</v>
      </c>
      <c r="D15" s="25">
        <f>lc_detailed!AX16</f>
        <v>7.8805144429952678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61.747049161465014</v>
      </c>
      <c r="I15" s="25">
        <f>lc_detailed!BC16</f>
        <v>11.843234411429817</v>
      </c>
      <c r="J15" s="25">
        <f>lc_detailed!BD16</f>
        <v>26.201549810398898</v>
      </c>
      <c r="K15" s="25">
        <f>lc_detailed!BE16</f>
        <v>11.386217261862534</v>
      </c>
      <c r="L15" s="25">
        <f>lc_detailed!BF16</f>
        <v>116.84791455349433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-471.85068207691694</v>
      </c>
      <c r="P15" s="25">
        <f>lc_detailed!BK16</f>
        <v>91.101080485584873</v>
      </c>
      <c r="Q15" s="25">
        <f>lc_detailed!AS16</f>
        <v>507.91095651454248</v>
      </c>
      <c r="R15" s="25"/>
    </row>
    <row r="16" spans="1:18" x14ac:dyDescent="0.2">
      <c r="A16" t="str">
        <f>lc_detailed!AQ17</f>
        <v>NCEN_B-H2in</v>
      </c>
      <c r="B16" s="25">
        <f>lc_detailed!AV17</f>
        <v>45.48093225954009</v>
      </c>
      <c r="C16" s="25">
        <f>lc_detailed!AW17</f>
        <v>7.0709976683332973</v>
      </c>
      <c r="D16" s="25">
        <f>lc_detailed!AX17</f>
        <v>11.999515022660512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62.191461111746264</v>
      </c>
      <c r="I16" s="25">
        <f>lc_detailed!BC17</f>
        <v>11.843234411429817</v>
      </c>
      <c r="J16" s="25">
        <f>lc_detailed!BD17</f>
        <v>26.201549810398898</v>
      </c>
      <c r="K16" s="25">
        <f>lc_detailed!BE17</f>
        <v>11.386217261862534</v>
      </c>
      <c r="L16" s="25">
        <f>lc_detailed!BF17</f>
        <v>116.84791455349433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-361.08483930085214</v>
      </c>
      <c r="P16" s="25">
        <f>lc_detailed!BK17</f>
        <v>91.101080485584873</v>
      </c>
      <c r="Q16" s="25">
        <f>lc_detailed!AS17</f>
        <v>640.57713420942127</v>
      </c>
      <c r="R16" s="25"/>
    </row>
    <row r="17" spans="1:18" x14ac:dyDescent="0.2">
      <c r="A17" t="str">
        <f>lc_detailed!AQ18</f>
        <v>CEN_B-H2in</v>
      </c>
      <c r="B17" s="25">
        <f>lc_detailed!AV18</f>
        <v>42.349584927598521</v>
      </c>
      <c r="C17" s="25">
        <f>lc_detailed!AW18</f>
        <v>5.7823498949349714</v>
      </c>
      <c r="D17" s="25">
        <f>lc_detailed!AX18</f>
        <v>9.8126739231277984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62.191461111746264</v>
      </c>
      <c r="I17" s="25">
        <f>lc_detailed!BC18</f>
        <v>11.843234411429817</v>
      </c>
      <c r="J17" s="25">
        <f>lc_detailed!BD18</f>
        <v>26.201549810398898</v>
      </c>
      <c r="K17" s="25">
        <f>lc_detailed!BE18</f>
        <v>11.386217261862534</v>
      </c>
      <c r="L17" s="25">
        <f>lc_detailed!BF18</f>
        <v>116.84791455349433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-415.94739048103264</v>
      </c>
      <c r="P17" s="25">
        <f>lc_detailed!BK18</f>
        <v>91.101080485584873</v>
      </c>
      <c r="Q17" s="25">
        <f>lc_detailed!AS18</f>
        <v>579.10774682436806</v>
      </c>
      <c r="R17" s="25"/>
    </row>
    <row r="18" spans="1:18" x14ac:dyDescent="0.2">
      <c r="A18" t="str">
        <f>lc_detailed!AQ19</f>
        <v>SE_B-H2in</v>
      </c>
      <c r="B18" s="25">
        <f>lc_detailed!AV19</f>
        <v>49.535403992676379</v>
      </c>
      <c r="C18" s="25">
        <f>lc_detailed!AW19</f>
        <v>8.7708848580038428</v>
      </c>
      <c r="D18" s="25">
        <f>lc_detailed!AX19</f>
        <v>14.884231271490476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62.191461111746264</v>
      </c>
      <c r="I18" s="25">
        <f>lc_detailed!BC19</f>
        <v>11.843234411429817</v>
      </c>
      <c r="J18" s="25">
        <f>lc_detailed!BD19</f>
        <v>26.201549810398898</v>
      </c>
      <c r="K18" s="25">
        <f>lc_detailed!BE19</f>
        <v>11.386217261862534</v>
      </c>
      <c r="L18" s="25">
        <f>lc_detailed!BF19</f>
        <v>116.84791455349433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-327.75031898293912</v>
      </c>
      <c r="P18" s="25">
        <f>lc_detailed!BK19</f>
        <v>91.101080485584873</v>
      </c>
      <c r="Q18" s="25">
        <f>lc_detailed!AS19</f>
        <v>682.55072969897128</v>
      </c>
      <c r="R18" s="25"/>
    </row>
    <row r="19" spans="1:18" x14ac:dyDescent="0.2">
      <c r="A19" t="str">
        <f>lc_detailed!AQ20</f>
        <v>MIDAT_B-H2in</v>
      </c>
      <c r="B19" s="25">
        <f>lc_detailed!AV20</f>
        <v>51.617772862038194</v>
      </c>
      <c r="C19" s="25">
        <f>lc_detailed!AW20</f>
        <v>9.0528246089782503</v>
      </c>
      <c r="D19" s="25">
        <f>lc_detailed!AX20</f>
        <v>15.362684304002933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62.191461111746264</v>
      </c>
      <c r="I19" s="25">
        <f>lc_detailed!BC20</f>
        <v>11.843234411429817</v>
      </c>
      <c r="J19" s="25">
        <f>lc_detailed!BD20</f>
        <v>26.201549810398898</v>
      </c>
      <c r="K19" s="25">
        <f>lc_detailed!BE20</f>
        <v>11.386217261862534</v>
      </c>
      <c r="L19" s="25">
        <f>lc_detailed!BF20</f>
        <v>116.84791455349433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-315.6264887377132</v>
      </c>
      <c r="P19" s="25">
        <f>lc_detailed!BK20</f>
        <v>91.101080485584873</v>
      </c>
      <c r="Q19" s="25">
        <f>lc_detailed!AS20</f>
        <v>697.51732159704579</v>
      </c>
      <c r="R19" s="25"/>
    </row>
    <row r="20" spans="1:18" x14ac:dyDescent="0.2">
      <c r="A20" t="str">
        <f>lc_detailed!AQ21</f>
        <v>NE_B-H2in</v>
      </c>
      <c r="B20" s="25">
        <f>lc_detailed!AV21</f>
        <v>54.840989070198766</v>
      </c>
      <c r="C20" s="25">
        <f>lc_detailed!AW21</f>
        <v>10.902007848174145</v>
      </c>
      <c r="D20" s="25">
        <f>lc_detailed!AX21</f>
        <v>18.500756624088055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62.191461111746264</v>
      </c>
      <c r="I20" s="25">
        <f>lc_detailed!BC21</f>
        <v>11.843234411429817</v>
      </c>
      <c r="J20" s="25">
        <f>lc_detailed!BD21</f>
        <v>26.201549810398898</v>
      </c>
      <c r="K20" s="25">
        <f>lc_detailed!BE21</f>
        <v>11.386217261862534</v>
      </c>
      <c r="L20" s="25">
        <f>lc_detailed!BF21</f>
        <v>116.84791455349433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-264.28414937649762</v>
      </c>
      <c r="P20" s="25">
        <f>lc_detailed!BK21</f>
        <v>91.101080485584873</v>
      </c>
      <c r="Q20" s="25">
        <f>lc_detailed!AS21</f>
        <v>757.07013272570271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2026-07-01T01:01:35Z</dcterms:modified>
</cp:coreProperties>
</file>