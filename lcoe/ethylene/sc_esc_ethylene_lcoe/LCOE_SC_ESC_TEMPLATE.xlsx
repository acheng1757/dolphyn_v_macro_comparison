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7500" tabRatio="600" firstSheet="0" activeTab="0" autoFilterDateGrouping="1"/>
  </bookViews>
  <sheets>
    <sheet xmlns:r="http://schemas.openxmlformats.org/officeDocument/2006/relationships" name="lc_detailed" sheetId="1" state="visible" r:id="rId1"/>
    <sheet xmlns:r="http://schemas.openxmlformats.org/officeDocument/2006/relationships" name="lc_summary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7">
    <font>
      <name val="Calibri"/>
      <family val="2"/>
      <color theme="1"/>
      <sz val="12"/>
      <scheme val="minor"/>
    </font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1"/>
      <scheme val="minor"/>
    </font>
  </fonts>
  <fills count="17">
    <fill>
      <patternFill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  <fill>
      <patternFill patternType="solid">
        <fgColor rgb="FFF5D3D6"/>
        <bgColor rgb="FFADD8E6"/>
      </patternFill>
    </fill>
    <fill>
      <patternFill patternType="solid">
        <fgColor rgb="FF9E1E13"/>
        <bgColor indexed="64"/>
      </patternFill>
    </fill>
    <fill>
      <patternFill patternType="solid">
        <fgColor rgb="FFF3DEFA"/>
        <bgColor rgb="FFADD8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2" fillId="4" borderId="0" pivotButton="0" quotePrefix="0" xfId="0"/>
    <xf numFmtId="164" fontId="1" fillId="0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3" fillId="0" borderId="0" pivotButton="0" quotePrefix="0" xfId="0"/>
    <xf numFmtId="0" fontId="3" fillId="7" borderId="0" pivotButton="0" quotePrefix="0" xfId="0"/>
    <xf numFmtId="0" fontId="1" fillId="7" borderId="0" pivotButton="0" quotePrefix="0" xfId="0"/>
    <xf numFmtId="164" fontId="1" fillId="8" borderId="0" pivotButton="0" quotePrefix="0" xfId="0"/>
    <xf numFmtId="0" fontId="0" fillId="9" borderId="0" pivotButton="0" quotePrefix="0" xfId="0"/>
    <xf numFmtId="0" fontId="4" fillId="10" borderId="0" pivotButton="0" quotePrefix="0" xfId="0"/>
    <xf numFmtId="0" fontId="2" fillId="11" borderId="0" pivotButton="0" quotePrefix="0" xfId="0"/>
    <xf numFmtId="0" fontId="0" fillId="12" borderId="0" pivotButton="0" quotePrefix="0" xfId="0"/>
    <xf numFmtId="0" fontId="1" fillId="13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2" fillId="5" borderId="0" applyAlignment="1" pivotButton="0" quotePrefix="0" xfId="0">
      <alignment horizontal="left" wrapText="1"/>
    </xf>
    <xf numFmtId="2" fontId="0" fillId="0" borderId="0" pivotButton="0" quotePrefix="0" xfId="0"/>
    <xf numFmtId="0" fontId="0" fillId="14" borderId="0" pivotButton="0" quotePrefix="0" xfId="0"/>
    <xf numFmtId="0" fontId="2" fillId="15" borderId="0" pivotButton="0" quotePrefix="0" xfId="0"/>
    <xf numFmtId="0" fontId="2" fillId="0" borderId="0" applyAlignment="1" pivotButton="0" quotePrefix="0" xfId="0">
      <alignment horizontal="left" wrapText="1"/>
    </xf>
    <xf numFmtId="0" fontId="0" fillId="16" borderId="0" pivotButton="0" quotePrefix="0" xfId="0"/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K108"/>
  <sheetViews>
    <sheetView tabSelected="1" topLeftCell="AZ16" zoomScaleNormal="157" workbookViewId="0">
      <selection activeCell="BH25" sqref="BH25"/>
    </sheetView>
  </sheetViews>
  <sheetFormatPr baseColWidth="10" defaultRowHeight="16"/>
  <cols>
    <col width="2.6640625" customWidth="1" style="1" min="1" max="1"/>
    <col width="19.6640625" customWidth="1" style="1" min="2" max="2"/>
    <col width="10" bestFit="1" customWidth="1" style="1" min="3" max="3"/>
    <col width="4.5" bestFit="1" customWidth="1" style="1" min="4" max="4"/>
    <col width="14" customWidth="1" style="1" min="5" max="5"/>
    <col width="12.33203125" customWidth="1" style="1" min="6" max="6"/>
    <col width="14.6640625" customWidth="1" style="1" min="7" max="7"/>
    <col width="37.5" bestFit="1" customWidth="1" style="1" min="8" max="8"/>
    <col width="16.33203125" customWidth="1" style="1" min="9" max="9"/>
    <col width="15.1640625" customWidth="1" style="1" min="10" max="10"/>
    <col width="33.83203125" bestFit="1" customWidth="1" style="1" min="11" max="11"/>
    <col width="34.83203125" bestFit="1" customWidth="1" style="1" min="12" max="12"/>
    <col width="34.83203125" customWidth="1" style="1" min="13" max="14"/>
    <col width="17" customWidth="1" style="1" min="15" max="15"/>
    <col width="12.1640625" customWidth="1" style="1" min="16" max="16"/>
    <col width="27.83203125" bestFit="1" customWidth="1" style="1" min="17" max="17"/>
    <col width="26" customWidth="1" style="1" min="18" max="18"/>
    <col width="3" customWidth="1" style="1" min="19" max="19"/>
    <col width="11.5" bestFit="1" customWidth="1" style="1" min="20" max="20"/>
    <col width="15.33203125" bestFit="1" customWidth="1" style="1" min="21" max="21"/>
    <col width="19.5" bestFit="1" customWidth="1" style="1" min="22" max="22"/>
    <col width="18.6640625" bestFit="1" customWidth="1" style="1" min="23" max="23"/>
    <col width="17.33203125" bestFit="1" customWidth="1" style="1" min="24" max="24"/>
    <col width="21.5" bestFit="1" customWidth="1" style="1" min="25" max="25"/>
    <col width="17.1640625" bestFit="1" customWidth="1" style="1" min="26" max="26"/>
    <col width="3.33203125" customWidth="1" min="27" max="27"/>
    <col width="18.83203125" customWidth="1" style="1" min="28" max="28"/>
    <col width="19.83203125" customWidth="1" style="1" min="29" max="29"/>
    <col width="15.6640625" bestFit="1" customWidth="1" style="1" min="30" max="30"/>
    <col width="15.6640625" customWidth="1" style="1" min="31" max="31"/>
    <col width="18.33203125" bestFit="1" customWidth="1" style="1" min="32" max="32"/>
    <col width="14.1640625" bestFit="1" customWidth="1" style="1" min="33" max="33"/>
    <col width="12.6640625" bestFit="1" customWidth="1" style="1" min="34" max="34"/>
    <col width="15.1640625" bestFit="1" customWidth="1" style="1" min="35" max="35"/>
    <col width="17.33203125" bestFit="1" customWidth="1" style="1" min="36" max="36"/>
    <col width="17.1640625" bestFit="1" customWidth="1" style="1" min="37" max="37"/>
    <col width="15.5" customWidth="1" style="1" min="38" max="38"/>
    <col width="13.6640625" bestFit="1" customWidth="1" style="1" min="39" max="39"/>
    <col width="12.1640625" bestFit="1" customWidth="1" style="1" min="40" max="40"/>
    <col width="14.5" bestFit="1" customWidth="1" style="1" min="41" max="41"/>
    <col width="10.5" customWidth="1" style="1" min="42" max="42"/>
    <col width="17.83203125" bestFit="1" customWidth="1" style="1" min="43" max="43"/>
    <col width="19.6640625" bestFit="1" customWidth="1" style="1" min="44" max="44"/>
    <col width="12.1640625" customWidth="1" style="1" min="45" max="45"/>
    <col width="17.83203125" bestFit="1" customWidth="1" style="1" min="46" max="46"/>
    <col width="19.33203125" bestFit="1" customWidth="1" style="1" min="47" max="47"/>
    <col width="3.33203125" customWidth="1" style="1" min="48" max="48"/>
    <col width="12.83203125" customWidth="1" style="1" min="49" max="49"/>
    <col width="23.33203125" bestFit="1" customWidth="1" style="1" min="50" max="50"/>
    <col width="14.6640625" bestFit="1" customWidth="1" style="1" min="51" max="51"/>
    <col width="19.1640625" bestFit="1" customWidth="1" style="1" min="52" max="52"/>
    <col width="3.6640625" customWidth="1" style="1" min="53" max="53"/>
    <col width="21.6640625" bestFit="1" customWidth="1" style="1" min="54" max="54"/>
    <col width="18.33203125" bestFit="1" customWidth="1" style="1" min="55" max="55"/>
    <col width="3.33203125" customWidth="1" style="1" min="56" max="56"/>
    <col width="23" bestFit="1" customWidth="1" style="1" min="57" max="57"/>
    <col width="24" bestFit="1" customWidth="1" style="1" min="58" max="58"/>
    <col width="22.1640625" bestFit="1" customWidth="1" style="1" min="59" max="59"/>
    <col width="23.6640625" bestFit="1" customWidth="1" style="1" min="60" max="60"/>
    <col width="23.1640625" bestFit="1" customWidth="1" style="1" min="61" max="61"/>
    <col width="3" customWidth="1" style="1" min="62" max="62"/>
    <col width="43.5" bestFit="1" customWidth="1" style="1" min="63" max="63"/>
    <col width="10.83203125" customWidth="1" style="1" min="64" max="83"/>
    <col width="10.83203125" customWidth="1" style="1" min="84" max="16384"/>
  </cols>
  <sheetData>
    <row r="2">
      <c r="B2" s="1" t="inlineStr">
        <is>
          <t>Asset Parameters (normalized by commodity feedstock)</t>
        </is>
      </c>
      <c r="T2" s="1" t="inlineStr">
        <is>
          <t>Duals</t>
        </is>
      </c>
      <c r="AB2" s="1" t="inlineStr">
        <is>
          <t>LCOE for assets with ethane capacity ($/t-ethylene)</t>
        </is>
      </c>
      <c r="AD2" s="1" t="inlineStr">
        <is>
          <t>CI</t>
        </is>
      </c>
      <c r="AE2" s="1" t="inlineStr">
        <is>
          <t>CREDIT</t>
        </is>
      </c>
      <c r="AP2" s="1" t="inlineStr">
        <is>
          <t>CARBON INTENSITY</t>
        </is>
      </c>
      <c r="AS2" s="1" t="inlineStr">
        <is>
          <t>CREDIT</t>
        </is>
      </c>
      <c r="AW2" s="1" t="inlineStr">
        <is>
          <t>Carbon Content</t>
        </is>
      </c>
      <c r="BB2" s="1" t="inlineStr">
        <is>
          <t>Carbon Inputs</t>
        </is>
      </c>
      <c r="BE2" s="1" t="inlineStr">
        <is>
          <t>Carbon Outputs</t>
        </is>
      </c>
      <c r="BK2" s="1" t="inlineStr">
        <is>
          <t>Sanity Checks</t>
        </is>
      </c>
    </row>
    <row r="3">
      <c r="B3" s="2" t="inlineStr">
        <is>
          <t>id</t>
        </is>
      </c>
      <c r="C3" s="2" t="inlineStr">
        <is>
          <t>commodity</t>
        </is>
      </c>
      <c r="D3" s="2" t="inlineStr">
        <is>
          <t>CCS</t>
        </is>
      </c>
      <c r="E3" s="2" t="inlineStr">
        <is>
          <t>h2_consumption (MWh/MWh-ethane)</t>
        </is>
      </c>
      <c r="F3" s="2" t="inlineStr">
        <is>
          <t>h2_production (MWh/MWh-ethane)</t>
        </is>
      </c>
      <c r="G3" s="2" t="inlineStr">
        <is>
          <t>elec_consumption (MWh/MWh-ethane)</t>
        </is>
      </c>
      <c r="H3" s="2" t="inlineStr">
        <is>
          <t>ethylene_production (t-ethylene/MWh-ethane)</t>
        </is>
      </c>
      <c r="I3" s="2" t="inlineStr">
        <is>
          <t>natgas_consumption (MWh/MWh-ethane)</t>
        </is>
      </c>
      <c r="J3" s="2" t="inlineStr">
        <is>
          <t>natgas_production (MWh/MWh-ethane)</t>
        </is>
      </c>
      <c r="K3" s="2" t="inlineStr">
        <is>
          <t>process_capture_rate (t-CO2/MWh-ethane)</t>
        </is>
      </c>
      <c r="L3" s="2" t="inlineStr">
        <is>
          <t>process_emission_rate (t-CO2/MWh-ethane)</t>
        </is>
      </c>
      <c r="M3" s="2" t="inlineStr">
        <is>
          <t>fuel_capture_rate (t-CO2/MWh-ethane)</t>
        </is>
      </c>
      <c r="N3" s="2" t="inlineStr">
        <is>
          <t>fuel_emission_rate (t-CO2/MWh-ethane)</t>
        </is>
      </c>
      <c r="O3" s="2" t="inlineStr">
        <is>
          <t>investment_cost ($/yr per MW ethane)</t>
        </is>
      </c>
      <c r="P3" s="2" t="inlineStr">
        <is>
          <t>fixed_om_cost ($/yr per MW ethane)</t>
        </is>
      </c>
      <c r="Q3" s="2" t="inlineStr">
        <is>
          <t>variable_om_cost ($/MWh-ethane)</t>
        </is>
      </c>
      <c r="R3" s="7" t="inlineStr">
        <is>
          <t>LPG production (t-LPG/t-ethylene)</t>
        </is>
      </c>
      <c r="T3" s="14" t="inlineStr">
        <is>
          <t>co2_sink ($/t)</t>
        </is>
      </c>
      <c r="U3" s="14" t="inlineStr">
        <is>
          <t>co2_captured ($/t)</t>
        </is>
      </c>
      <c r="V3" s="22" t="inlineStr">
        <is>
          <t>ethane_supply ($/MWh)</t>
        </is>
      </c>
      <c r="W3" s="14" t="inlineStr">
        <is>
          <t>elec_demand ($/MWh)</t>
        </is>
      </c>
      <c r="X3" s="14" t="inlineStr">
        <is>
          <t>h2_balance ($/MWh)</t>
        </is>
      </c>
      <c r="Y3" s="14" t="inlineStr">
        <is>
          <t>gasoline_balance ($/MWh)</t>
        </is>
      </c>
      <c r="Z3" s="14" t="inlineStr">
        <is>
          <t>ng_balance ($/MWh)</t>
        </is>
      </c>
      <c r="AB3" s="4" t="inlineStr">
        <is>
          <t>id_LC</t>
        </is>
      </c>
      <c r="AC3" s="4" t="inlineStr">
        <is>
          <t>commodity_LC</t>
        </is>
      </c>
      <c r="AD3" s="3" t="inlineStr">
        <is>
          <t>LCOE ($/t-ethylene)</t>
        </is>
      </c>
      <c r="AE3" s="6" t="inlineStr">
        <is>
          <t>LCOE ($/t-ethylene)</t>
        </is>
      </c>
      <c r="AF3" s="7" t="inlineStr">
        <is>
          <t>Diff. Between Methods</t>
        </is>
      </c>
      <c r="AG3" s="4" t="inlineStr">
        <is>
          <t>h2_consumption</t>
        </is>
      </c>
      <c r="AH3" s="4" t="inlineStr">
        <is>
          <t>h2_production</t>
        </is>
      </c>
      <c r="AI3" s="4" t="inlineStr">
        <is>
          <t>elec_consumption</t>
        </is>
      </c>
      <c r="AJ3" s="4" t="inlineStr">
        <is>
          <t>ethane_consumption</t>
        </is>
      </c>
      <c r="AK3" s="4" t="inlineStr">
        <is>
          <t>natgas_consumption</t>
        </is>
      </c>
      <c r="AL3" s="4" t="inlineStr">
        <is>
          <t>natgas_production</t>
        </is>
      </c>
      <c r="AM3" s="4" t="inlineStr">
        <is>
          <t>investment_cost</t>
        </is>
      </c>
      <c r="AN3" s="4" t="inlineStr">
        <is>
          <t>fixed_om_cost</t>
        </is>
      </c>
      <c r="AO3" s="4" t="inlineStr">
        <is>
          <t>variable_om_cost</t>
        </is>
      </c>
      <c r="AP3" s="3" t="inlineStr">
        <is>
          <t>CI</t>
        </is>
      </c>
      <c r="AQ3" s="3" t="inlineStr">
        <is>
          <t>modified capture cost</t>
        </is>
      </c>
      <c r="AR3" s="3" t="inlineStr">
        <is>
          <t>modified emissions cost</t>
        </is>
      </c>
      <c r="AS3" s="6" t="inlineStr">
        <is>
          <t>CI</t>
        </is>
      </c>
      <c r="AT3" s="6" t="inlineStr">
        <is>
          <t>modified capture cost</t>
        </is>
      </c>
      <c r="AU3" s="6" t="inlineStr">
        <is>
          <t>modified emissions cost</t>
        </is>
      </c>
      <c r="AW3" s="7" t="inlineStr">
        <is>
          <t>Ethylene (t-CO2/t-ethylene)</t>
        </is>
      </c>
      <c r="AX3" s="7" t="inlineStr">
        <is>
          <t>Ethane (t-CO2/MWh-ethane)</t>
        </is>
      </c>
      <c r="AY3" s="7" t="inlineStr">
        <is>
          <t>LPG (t-CO2/t-LPG)</t>
        </is>
      </c>
      <c r="AZ3" s="7" t="inlineStr">
        <is>
          <t>NG (t-CO2/MWh-NG)</t>
        </is>
      </c>
      <c r="BB3" s="7" t="inlineStr">
        <is>
          <t>Ethane (t-CO2/t-ethylene)</t>
        </is>
      </c>
      <c r="BC3" s="7" t="inlineStr">
        <is>
          <t>NG (t-CO2/t-ethylene)</t>
        </is>
      </c>
      <c r="BE3" s="7" t="inlineStr">
        <is>
          <t>Ethylene (t-CO2/t-ethylene)</t>
        </is>
      </c>
      <c r="BF3" s="7" t="inlineStr">
        <is>
          <t>LPG Production (t-CO2/t-LPG)</t>
        </is>
      </c>
      <c r="BG3" s="7" t="inlineStr">
        <is>
          <t>Methane (t-CO2/t-ethylene)</t>
        </is>
      </c>
      <c r="BH3" s="7" t="inlineStr">
        <is>
          <t>Emissions (t-CO2/t-ethylene)</t>
        </is>
      </c>
      <c r="BI3" s="7" t="inlineStr">
        <is>
          <t>Captured (t-CO2/t-ethylene)</t>
        </is>
      </c>
      <c r="BK3" s="7" t="inlineStr">
        <is>
          <t>Diff. Between Input and Output CO2 (t-CO2/t-ethylene)</t>
        </is>
      </c>
    </row>
    <row r="4">
      <c r="B4" s="13" t="inlineStr">
        <is>
          <t>SW_TSC</t>
        </is>
      </c>
      <c r="C4" s="12" t="inlineStr">
        <is>
          <t>Ethane</t>
        </is>
      </c>
      <c r="D4" s="12" t="n">
        <v>0</v>
      </c>
      <c r="E4" s="12" t="n">
        <v>0</v>
      </c>
      <c r="F4" s="12" t="n">
        <v>0</v>
      </c>
      <c r="G4" s="12" t="n">
        <v>0</v>
      </c>
      <c r="H4" s="12" t="n">
        <v>0.05310189724</v>
      </c>
      <c r="I4" s="12" t="n">
        <v>0.02270169876</v>
      </c>
      <c r="J4" s="12" t="n">
        <v>0</v>
      </c>
      <c r="K4" s="12" t="n">
        <v>0</v>
      </c>
      <c r="L4" s="12" t="n">
        <v>0.059012541</v>
      </c>
      <c r="M4" s="12" t="n"/>
      <c r="N4" s="12" t="n"/>
      <c r="O4" s="12" t="n">
        <v>99124.32016</v>
      </c>
      <c r="P4" s="12" t="n">
        <v>54251.99777</v>
      </c>
      <c r="Q4" s="12" t="n">
        <v>1.676159756</v>
      </c>
      <c r="R4" s="24" t="n">
        <v>0.2020556</v>
      </c>
      <c r="T4" s="15" t="n">
        <v>73.71884</v>
      </c>
      <c r="U4" s="15" t="n">
        <v>-4.302149</v>
      </c>
      <c r="V4" s="21" t="n">
        <v>21.9863533</v>
      </c>
      <c r="W4" s="15" t="n">
        <v>21.021514</v>
      </c>
      <c r="X4" s="15" t="n">
        <v>9.044067999999999</v>
      </c>
      <c r="Y4" s="16" t="n">
        <v>-126.225199</v>
      </c>
      <c r="Z4" s="15" t="n">
        <v>10.321106</v>
      </c>
      <c r="AB4" s="1">
        <f>B4</f>
        <v/>
      </c>
      <c r="AC4" s="1">
        <f>C4</f>
        <v/>
      </c>
      <c r="AD4" s="11">
        <f>SUM(AG4:AO4)+AQ4+AR4</f>
        <v/>
      </c>
      <c r="AE4" s="11">
        <f>SUM(AG4:AO4)+AT4+AU4</f>
        <v/>
      </c>
      <c r="AF4" s="5">
        <f>AD4-AE4</f>
        <v/>
      </c>
      <c r="AG4" s="5">
        <f>E4/H4*X4</f>
        <v/>
      </c>
      <c r="AH4" s="1">
        <f>F4/H4*X4*-1</f>
        <v/>
      </c>
      <c r="AI4" s="1">
        <f>G4/H4*W4</f>
        <v/>
      </c>
      <c r="AJ4" s="1">
        <f>1/H4*V4</f>
        <v/>
      </c>
      <c r="AK4" s="1">
        <f>I4/H4*Z4</f>
        <v/>
      </c>
      <c r="AL4" s="1">
        <f>J4/H4*Z4*-1</f>
        <v/>
      </c>
      <c r="AM4" s="1">
        <f>O4/H4/(0.9*8760)</f>
        <v/>
      </c>
      <c r="AN4" s="1">
        <f>P4/H4/(0.9*8760)</f>
        <v/>
      </c>
      <c r="AO4" s="1">
        <f>Q4/H4</f>
        <v/>
      </c>
      <c r="AP4" s="1">
        <f>BG4+BH4+BI4</f>
        <v/>
      </c>
      <c r="AQ4" s="1">
        <f>(T4+U4)*-1*(K4+M4)/H4</f>
        <v/>
      </c>
      <c r="AR4" s="1">
        <f>AP4*T4</f>
        <v/>
      </c>
      <c r="AS4" s="1">
        <f>BG4+BH4</f>
        <v/>
      </c>
      <c r="AT4" s="1">
        <f>U4*(K4+M4)*-1/H4</f>
        <v/>
      </c>
      <c r="AU4" s="1">
        <f>AS4*T4</f>
        <v/>
      </c>
      <c r="AW4" s="9">
        <f>22/7</f>
        <v/>
      </c>
      <c r="AX4" s="10" t="n">
        <v>0.203205751129122</v>
      </c>
      <c r="AY4" s="10" t="n">
        <v>3.1429329</v>
      </c>
      <c r="AZ4" s="9" t="n">
        <v>0.182890835326593</v>
      </c>
      <c r="BB4" s="10">
        <f>1/H4*AX4</f>
        <v/>
      </c>
      <c r="BC4" s="10">
        <f>I4/H4*AZ4</f>
        <v/>
      </c>
      <c r="BE4" s="10">
        <f>AW4</f>
        <v/>
      </c>
      <c r="BF4" s="10">
        <f>AY4*R4</f>
        <v/>
      </c>
      <c r="BG4" s="10">
        <f>J4/H4*AZ4</f>
        <v/>
      </c>
      <c r="BH4" s="10">
        <f>(L4+N4)/H4</f>
        <v/>
      </c>
      <c r="BI4" s="10">
        <f>(K4+M4)/H4</f>
        <v/>
      </c>
      <c r="BK4" s="1">
        <f>SUM(BE4:BI4)-SUM(BB4:BC4)</f>
        <v/>
      </c>
    </row>
    <row r="5">
      <c r="B5" s="13" t="inlineStr">
        <is>
          <t>TX_TSC</t>
        </is>
      </c>
      <c r="C5" s="12" t="inlineStr">
        <is>
          <t>Ethane</t>
        </is>
      </c>
      <c r="D5" s="12" t="n">
        <v>0</v>
      </c>
      <c r="E5" s="12" t="n">
        <v>0</v>
      </c>
      <c r="F5" s="12" t="n">
        <v>0</v>
      </c>
      <c r="G5" s="12" t="n">
        <v>0</v>
      </c>
      <c r="H5" s="12" t="n">
        <v>0.05310189724</v>
      </c>
      <c r="I5" s="12" t="n">
        <v>0.02270169876</v>
      </c>
      <c r="J5" s="12" t="n">
        <v>0</v>
      </c>
      <c r="K5" s="12" t="n">
        <v>0</v>
      </c>
      <c r="L5" s="12" t="n">
        <v>0.059012541</v>
      </c>
      <c r="M5" s="12" t="n"/>
      <c r="N5" s="12" t="n"/>
      <c r="O5" s="12" t="n">
        <v>99124.32016</v>
      </c>
      <c r="P5" s="12" t="n">
        <v>54251.99777</v>
      </c>
      <c r="Q5" s="12" t="n">
        <v>1.676159756</v>
      </c>
      <c r="R5" s="24" t="n">
        <v>0.2020556</v>
      </c>
      <c r="T5" s="15" t="n">
        <v>73.71884</v>
      </c>
      <c r="U5" s="15" t="n">
        <v>-5.000084</v>
      </c>
      <c r="V5" s="21" t="n">
        <v>21.9863533</v>
      </c>
      <c r="W5" s="15" t="n">
        <v>21.357777</v>
      </c>
      <c r="X5" s="15" t="n">
        <v>7.54831</v>
      </c>
      <c r="Y5" s="16" t="n">
        <v>-126.782873</v>
      </c>
      <c r="Z5" s="15" t="n">
        <v>8.60172</v>
      </c>
      <c r="AB5" s="1">
        <f>B5</f>
        <v/>
      </c>
      <c r="AC5" s="1">
        <f>C5</f>
        <v/>
      </c>
      <c r="AD5" s="11">
        <f>SUM(AG5:AO5)+AQ5+AR5</f>
        <v/>
      </c>
      <c r="AE5" s="11">
        <f>SUM(AG5:AO5)+AT5+AU5</f>
        <v/>
      </c>
      <c r="AF5" s="5">
        <f>AD5-AE5</f>
        <v/>
      </c>
      <c r="AG5" s="5">
        <f>E5/H5*X5</f>
        <v/>
      </c>
      <c r="AH5" s="1">
        <f>F5/H5*X5*-1</f>
        <v/>
      </c>
      <c r="AI5" s="1">
        <f>G5/H5*W5</f>
        <v/>
      </c>
      <c r="AJ5" s="1">
        <f>1/H5*V5</f>
        <v/>
      </c>
      <c r="AK5" s="1">
        <f>I5/H5*Z5</f>
        <v/>
      </c>
      <c r="AL5" s="1">
        <f>J5/H5*Z5*-1</f>
        <v/>
      </c>
      <c r="AM5" s="1">
        <f>O5/H5/(0.9*8760)</f>
        <v/>
      </c>
      <c r="AN5" s="1">
        <f>P5/H5/(0.9*8760)</f>
        <v/>
      </c>
      <c r="AO5" s="1">
        <f>Q5/H5</f>
        <v/>
      </c>
      <c r="AP5" s="1">
        <f>BG5+BH5+BI5</f>
        <v/>
      </c>
      <c r="AQ5" s="1">
        <f>(T5+U5)*-1*(K5+M5)/H5</f>
        <v/>
      </c>
      <c r="AR5" s="1">
        <f>AP5*T5</f>
        <v/>
      </c>
      <c r="AS5" s="1">
        <f>BG5+BH5</f>
        <v/>
      </c>
      <c r="AT5" s="1">
        <f>U5*(K5+M5)*-1/H5</f>
        <v/>
      </c>
      <c r="AU5" s="1">
        <f>AS5*T5</f>
        <v/>
      </c>
      <c r="AW5" s="9">
        <f>22/7</f>
        <v/>
      </c>
      <c r="AX5" s="10" t="n">
        <v>0.203205751129122</v>
      </c>
      <c r="AY5" s="10" t="n">
        <v>3.1429329</v>
      </c>
      <c r="AZ5" s="9" t="n">
        <v>0.182890835326593</v>
      </c>
      <c r="BB5" s="10">
        <f>1/H5*AX5</f>
        <v/>
      </c>
      <c r="BC5" s="10">
        <f>I5/H5*AZ5</f>
        <v/>
      </c>
      <c r="BE5" s="10">
        <f>AW5</f>
        <v/>
      </c>
      <c r="BF5" s="10">
        <f>AY5*R5</f>
        <v/>
      </c>
      <c r="BG5" s="10">
        <f>J5/H5*AZ5</f>
        <v/>
      </c>
      <c r="BH5" s="10">
        <f>(L5+N5)/H5</f>
        <v/>
      </c>
      <c r="BI5" s="10">
        <f>(K5+M5)/H5</f>
        <v/>
      </c>
      <c r="BK5" s="1">
        <f>SUM(BE5:BI5)-SUM(BB5:BC5)</f>
        <v/>
      </c>
    </row>
    <row r="6">
      <c r="B6" s="13" t="inlineStr">
        <is>
          <t>NCEN_TSC</t>
        </is>
      </c>
      <c r="C6" s="12" t="inlineStr">
        <is>
          <t>Ethane</t>
        </is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0.05310189724</v>
      </c>
      <c r="I6" s="12" t="n">
        <v>0.02270169876</v>
      </c>
      <c r="J6" s="12" t="n">
        <v>0</v>
      </c>
      <c r="K6" s="12" t="n">
        <v>0</v>
      </c>
      <c r="L6" s="12" t="n">
        <v>0.059012541</v>
      </c>
      <c r="M6" s="12" t="n"/>
      <c r="N6" s="12" t="n"/>
      <c r="O6" s="12" t="n">
        <v>99124.32016</v>
      </c>
      <c r="P6" s="12" t="n">
        <v>54251.99777</v>
      </c>
      <c r="Q6" s="12" t="n">
        <v>1.676159756</v>
      </c>
      <c r="R6" s="24" t="n">
        <v>0.2020556</v>
      </c>
      <c r="T6" s="15" t="n">
        <v>73.71884</v>
      </c>
      <c r="U6" s="15" t="n">
        <v>-6.097314</v>
      </c>
      <c r="V6" s="21" t="n">
        <v>21.9863533</v>
      </c>
      <c r="W6" s="15" t="n">
        <v>22.90669</v>
      </c>
      <c r="X6" s="15" t="n">
        <v>13.197062</v>
      </c>
      <c r="Y6" s="16" t="n">
        <v>-129.528977</v>
      </c>
      <c r="Z6" s="15" t="n">
        <v>14.953878</v>
      </c>
      <c r="AB6" s="1">
        <f>B6</f>
        <v/>
      </c>
      <c r="AC6" s="1">
        <f>C6</f>
        <v/>
      </c>
      <c r="AD6" s="11">
        <f>SUM(AG6:AO6)+AQ6+AR6</f>
        <v/>
      </c>
      <c r="AE6" s="11">
        <f>SUM(AG6:AO6)+AT6+AU6</f>
        <v/>
      </c>
      <c r="AF6" s="5">
        <f>AD6-AE6</f>
        <v/>
      </c>
      <c r="AG6" s="5">
        <f>E6/H6*X6</f>
        <v/>
      </c>
      <c r="AH6" s="1">
        <f>F6/H6*X6*-1</f>
        <v/>
      </c>
      <c r="AI6" s="1">
        <f>G6/H6*W6</f>
        <v/>
      </c>
      <c r="AJ6" s="1">
        <f>1/H6*V6</f>
        <v/>
      </c>
      <c r="AK6" s="1">
        <f>I6/H6*Z6</f>
        <v/>
      </c>
      <c r="AL6" s="1">
        <f>J6/H6*Z6*-1</f>
        <v/>
      </c>
      <c r="AM6" s="1">
        <f>O6/H6/(0.9*8760)</f>
        <v/>
      </c>
      <c r="AN6" s="1">
        <f>P6/H6/(0.9*8760)</f>
        <v/>
      </c>
      <c r="AO6" s="1">
        <f>Q6/H6</f>
        <v/>
      </c>
      <c r="AP6" s="1">
        <f>BG6+BH6+BI6</f>
        <v/>
      </c>
      <c r="AQ6" s="1">
        <f>(T6+U6)*-1*(K6+M6)/H6</f>
        <v/>
      </c>
      <c r="AR6" s="1">
        <f>AP6*T6</f>
        <v/>
      </c>
      <c r="AS6" s="1">
        <f>BG6+BH6</f>
        <v/>
      </c>
      <c r="AT6" s="1">
        <f>U6*(K6+M6)*-1/H6</f>
        <v/>
      </c>
      <c r="AU6" s="1">
        <f>AS6*T6</f>
        <v/>
      </c>
      <c r="AW6" s="9">
        <f>22/7</f>
        <v/>
      </c>
      <c r="AX6" s="10" t="n">
        <v>0.203205751129122</v>
      </c>
      <c r="AY6" s="10" t="n">
        <v>3.1429329</v>
      </c>
      <c r="AZ6" s="9" t="n">
        <v>0.182890835326593</v>
      </c>
      <c r="BB6" s="10">
        <f>1/H6*AX6</f>
        <v/>
      </c>
      <c r="BC6" s="10">
        <f>I6/H6*AZ6</f>
        <v/>
      </c>
      <c r="BE6" s="10">
        <f>AW6</f>
        <v/>
      </c>
      <c r="BF6" s="10">
        <f>AY6*R6</f>
        <v/>
      </c>
      <c r="BG6" s="10">
        <f>J6/H6*AZ6</f>
        <v/>
      </c>
      <c r="BH6" s="10">
        <f>(L6+N6)/H6</f>
        <v/>
      </c>
      <c r="BI6" s="10">
        <f>(K6+M6)/H6</f>
        <v/>
      </c>
      <c r="BK6" s="1">
        <f>SUM(BE6:BI6)-SUM(BB6:BC6)</f>
        <v/>
      </c>
    </row>
    <row r="7">
      <c r="B7" s="13" t="inlineStr">
        <is>
          <t>CEN_TSC</t>
        </is>
      </c>
      <c r="C7" s="12" t="inlineStr">
        <is>
          <t>Ethane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0.05310189724</v>
      </c>
      <c r="I7" s="12" t="n">
        <v>0.02270169876</v>
      </c>
      <c r="J7" s="12" t="n">
        <v>0</v>
      </c>
      <c r="K7" s="12" t="n">
        <v>0</v>
      </c>
      <c r="L7" s="12" t="n">
        <v>0.059012541</v>
      </c>
      <c r="M7" s="12" t="n"/>
      <c r="N7" s="12" t="n"/>
      <c r="O7" s="12" t="n">
        <v>99124.32016</v>
      </c>
      <c r="P7" s="12" t="n">
        <v>54251.99777</v>
      </c>
      <c r="Q7" s="12" t="n">
        <v>1.676159756</v>
      </c>
      <c r="R7" s="24" t="n">
        <v>0.2020556</v>
      </c>
      <c r="T7" s="15" t="n">
        <v>73.71884</v>
      </c>
      <c r="U7" s="15" t="n">
        <v>-6.199254</v>
      </c>
      <c r="V7" s="21" t="n">
        <v>21.9863533</v>
      </c>
      <c r="W7" s="15" t="n">
        <v>22.465142</v>
      </c>
      <c r="X7" s="15" t="n">
        <v>13.285634</v>
      </c>
      <c r="Y7" s="16" t="n">
        <v>-129.681448</v>
      </c>
      <c r="Z7" s="15" t="n">
        <v>15.046749</v>
      </c>
      <c r="AB7" s="1">
        <f>B7</f>
        <v/>
      </c>
      <c r="AC7" s="1">
        <f>C7</f>
        <v/>
      </c>
      <c r="AD7" s="11">
        <f>SUM(AG7:AO7)+AQ7+AR7</f>
        <v/>
      </c>
      <c r="AE7" s="11">
        <f>SUM(AG7:AO7)+AT7+AU7</f>
        <v/>
      </c>
      <c r="AF7" s="5">
        <f>AD7-AE7</f>
        <v/>
      </c>
      <c r="AG7" s="5">
        <f>E7/H7*X7</f>
        <v/>
      </c>
      <c r="AH7" s="1">
        <f>F7/H7*X7*-1</f>
        <v/>
      </c>
      <c r="AI7" s="1">
        <f>G7/H7*W7</f>
        <v/>
      </c>
      <c r="AJ7" s="1">
        <f>1/H7*V7</f>
        <v/>
      </c>
      <c r="AK7" s="1">
        <f>I7/H7*Z7</f>
        <v/>
      </c>
      <c r="AL7" s="1">
        <f>J7/H7*Z7*-1</f>
        <v/>
      </c>
      <c r="AM7" s="1">
        <f>O7/H7/(0.9*8760)</f>
        <v/>
      </c>
      <c r="AN7" s="1">
        <f>P7/H7/(0.9*8760)</f>
        <v/>
      </c>
      <c r="AO7" s="1">
        <f>Q7/H7</f>
        <v/>
      </c>
      <c r="AP7" s="1">
        <f>BG7+BH7+BI7</f>
        <v/>
      </c>
      <c r="AQ7" s="1">
        <f>(T7+U7)*-1*(K7+M7)/H7</f>
        <v/>
      </c>
      <c r="AR7" s="1">
        <f>AP7*T7</f>
        <v/>
      </c>
      <c r="AS7" s="1">
        <f>BG7+BH7</f>
        <v/>
      </c>
      <c r="AT7" s="1">
        <f>U7*(K7+M7)*-1/H7</f>
        <v/>
      </c>
      <c r="AU7" s="1">
        <f>AS7*T7</f>
        <v/>
      </c>
      <c r="AW7" s="9">
        <f>22/7</f>
        <v/>
      </c>
      <c r="AX7" s="10" t="n">
        <v>0.203205751129122</v>
      </c>
      <c r="AY7" s="10" t="n">
        <v>3.1429329</v>
      </c>
      <c r="AZ7" s="9" t="n">
        <v>0.182890835326593</v>
      </c>
      <c r="BB7" s="10">
        <f>1/H7*AX7</f>
        <v/>
      </c>
      <c r="BC7" s="10">
        <f>I7/H7*AZ7</f>
        <v/>
      </c>
      <c r="BE7" s="10">
        <f>AW7</f>
        <v/>
      </c>
      <c r="BF7" s="10">
        <f>AY7*R7</f>
        <v/>
      </c>
      <c r="BG7" s="10">
        <f>J7/H7*AZ7</f>
        <v/>
      </c>
      <c r="BH7" s="10">
        <f>(L7+N7)/H7</f>
        <v/>
      </c>
      <c r="BI7" s="10">
        <f>(K7+M7)/H7</f>
        <v/>
      </c>
      <c r="BK7" s="1">
        <f>SUM(BE7:BI7)-SUM(BB7:BC7)</f>
        <v/>
      </c>
    </row>
    <row r="8">
      <c r="B8" s="13" t="inlineStr">
        <is>
          <t>SE_TSC</t>
        </is>
      </c>
      <c r="C8" s="12" t="inlineStr">
        <is>
          <t>Ethane</t>
        </is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0.05310189724</v>
      </c>
      <c r="I8" s="12" t="n">
        <v>0.02270169876</v>
      </c>
      <c r="J8" s="12" t="n">
        <v>0</v>
      </c>
      <c r="K8" s="12" t="n">
        <v>0</v>
      </c>
      <c r="L8" s="12" t="n">
        <v>0.059012541</v>
      </c>
      <c r="M8" s="12" t="n"/>
      <c r="N8" s="12" t="n"/>
      <c r="O8" s="12" t="n">
        <v>99124.32016</v>
      </c>
      <c r="P8" s="12" t="n">
        <v>54251.99777</v>
      </c>
      <c r="Q8" s="12" t="n">
        <v>1.676159756</v>
      </c>
      <c r="R8" s="24" t="n">
        <v>0.2020556</v>
      </c>
      <c r="T8" s="15" t="n">
        <v>73.71884</v>
      </c>
      <c r="U8" s="15" t="n">
        <v>-6.091002</v>
      </c>
      <c r="V8" s="21" t="n">
        <v>21.9863533</v>
      </c>
      <c r="W8" s="15" t="n">
        <v>21.266241</v>
      </c>
      <c r="X8" s="15" t="n">
        <v>7.267779</v>
      </c>
      <c r="Y8" s="16" t="n">
        <v>-128.077631</v>
      </c>
      <c r="Z8" s="15" t="n">
        <v>7.96358</v>
      </c>
      <c r="AB8" s="1">
        <f>B8</f>
        <v/>
      </c>
      <c r="AC8" s="1">
        <f>C8</f>
        <v/>
      </c>
      <c r="AD8" s="11">
        <f>SUM(AG8:AO8)+AQ8+AR8</f>
        <v/>
      </c>
      <c r="AE8" s="11">
        <f>SUM(AG8:AO8)+AT8+AU8</f>
        <v/>
      </c>
      <c r="AF8" s="5">
        <f>AD8-AE8</f>
        <v/>
      </c>
      <c r="AG8" s="5">
        <f>E8/H8*X8</f>
        <v/>
      </c>
      <c r="AH8" s="1">
        <f>F8/H8*X8*-1</f>
        <v/>
      </c>
      <c r="AI8" s="1">
        <f>G8/H8*W8</f>
        <v/>
      </c>
      <c r="AJ8" s="1">
        <f>1/H8*V8</f>
        <v/>
      </c>
      <c r="AK8" s="1">
        <f>I8/H8*Z8</f>
        <v/>
      </c>
      <c r="AL8" s="1">
        <f>J8/H8*Z8*-1</f>
        <v/>
      </c>
      <c r="AM8" s="1">
        <f>O8/H8/(0.9*8760)</f>
        <v/>
      </c>
      <c r="AN8" s="1">
        <f>P8/H8/(0.9*8760)</f>
        <v/>
      </c>
      <c r="AO8" s="1">
        <f>Q8/H8</f>
        <v/>
      </c>
      <c r="AP8" s="1">
        <f>BG8+BH8+BI8</f>
        <v/>
      </c>
      <c r="AQ8" s="1">
        <f>(T8+U8)*-1*(K8+M8)/H8</f>
        <v/>
      </c>
      <c r="AR8" s="1">
        <f>AP8*T8</f>
        <v/>
      </c>
      <c r="AS8" s="1">
        <f>BG8+BH8</f>
        <v/>
      </c>
      <c r="AT8" s="1">
        <f>U8*(K8+M8)*-1/H8</f>
        <v/>
      </c>
      <c r="AU8" s="1">
        <f>AS8*T8</f>
        <v/>
      </c>
      <c r="AW8" s="9">
        <f>22/7</f>
        <v/>
      </c>
      <c r="AX8" s="10" t="n">
        <v>0.203205751129122</v>
      </c>
      <c r="AY8" s="10" t="n">
        <v>3.1429329</v>
      </c>
      <c r="AZ8" s="9" t="n">
        <v>0.182890835326593</v>
      </c>
      <c r="BB8" s="10">
        <f>1/H8*AX8</f>
        <v/>
      </c>
      <c r="BC8" s="10">
        <f>I8/H8*AZ8</f>
        <v/>
      </c>
      <c r="BE8" s="10">
        <f>AW8</f>
        <v/>
      </c>
      <c r="BF8" s="10">
        <f>AY8*R8</f>
        <v/>
      </c>
      <c r="BG8" s="10">
        <f>J8/H8*AZ8</f>
        <v/>
      </c>
      <c r="BH8" s="10">
        <f>(L8+N8)/H8</f>
        <v/>
      </c>
      <c r="BI8" s="10">
        <f>(K8+M8)/H8</f>
        <v/>
      </c>
      <c r="BK8" s="1">
        <f>SUM(BE8:BI8)-SUM(BB8:BC8)</f>
        <v/>
      </c>
    </row>
    <row r="9">
      <c r="B9" s="13" t="inlineStr">
        <is>
          <t>MIDAT_TSC</t>
        </is>
      </c>
      <c r="C9" s="12" t="inlineStr">
        <is>
          <t>Ethane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0.05310189724</v>
      </c>
      <c r="I9" s="12" t="n">
        <v>0.02270169876</v>
      </c>
      <c r="J9" s="12" t="n">
        <v>0</v>
      </c>
      <c r="K9" s="12" t="n">
        <v>0</v>
      </c>
      <c r="L9" s="12" t="n">
        <v>0.059012541</v>
      </c>
      <c r="M9" s="12" t="n"/>
      <c r="N9" s="12" t="n"/>
      <c r="O9" s="12" t="n">
        <v>99124.32016</v>
      </c>
      <c r="P9" s="12" t="n">
        <v>54251.99777</v>
      </c>
      <c r="Q9" s="12" t="n">
        <v>1.676159756</v>
      </c>
      <c r="R9" s="24" t="n">
        <v>0.2020556</v>
      </c>
      <c r="T9" s="15" t="n">
        <v>73.71884</v>
      </c>
      <c r="U9" s="15" t="n">
        <v>-16.179128</v>
      </c>
      <c r="V9" s="21" t="n">
        <v>21.9863533</v>
      </c>
      <c r="W9" s="15" t="n">
        <v>21.500722</v>
      </c>
      <c r="X9" s="15" t="n">
        <v>7.532437</v>
      </c>
      <c r="Y9" s="16" t="n">
        <v>-140.741334</v>
      </c>
      <c r="Z9" s="15" t="n">
        <v>5.407672</v>
      </c>
      <c r="AB9" s="1">
        <f>B9</f>
        <v/>
      </c>
      <c r="AC9" s="1">
        <f>C9</f>
        <v/>
      </c>
      <c r="AD9" s="11">
        <f>SUM(AG9:AO9)+AQ9+AR9</f>
        <v/>
      </c>
      <c r="AE9" s="11">
        <f>SUM(AG9:AO9)+AT9+AU9</f>
        <v/>
      </c>
      <c r="AF9" s="5">
        <f>AD9-AE9</f>
        <v/>
      </c>
      <c r="AG9" s="5">
        <f>E9/H9*X9</f>
        <v/>
      </c>
      <c r="AH9" s="1">
        <f>F9/H9*X9*-1</f>
        <v/>
      </c>
      <c r="AI9" s="1">
        <f>G9/H9*W9</f>
        <v/>
      </c>
      <c r="AJ9" s="1">
        <f>1/H9*V9</f>
        <v/>
      </c>
      <c r="AK9" s="1">
        <f>I9/H9*Z9</f>
        <v/>
      </c>
      <c r="AL9" s="1">
        <f>J9/H9*Z9*-1</f>
        <v/>
      </c>
      <c r="AM9" s="1">
        <f>O9/H9/(0.9*8760)</f>
        <v/>
      </c>
      <c r="AN9" s="1">
        <f>P9/H9/(0.9*8760)</f>
        <v/>
      </c>
      <c r="AO9" s="1">
        <f>Q9/H9</f>
        <v/>
      </c>
      <c r="AP9" s="1">
        <f>BG9+BH9+BI9</f>
        <v/>
      </c>
      <c r="AQ9" s="1">
        <f>(T9+U9)*-1*(K9+M9)/H9</f>
        <v/>
      </c>
      <c r="AR9" s="1">
        <f>AP9*T9</f>
        <v/>
      </c>
      <c r="AS9" s="1">
        <f>BG9+BH9</f>
        <v/>
      </c>
      <c r="AT9" s="1">
        <f>U9*(K9+M9)*-1/H9</f>
        <v/>
      </c>
      <c r="AU9" s="1">
        <f>AS9*T9</f>
        <v/>
      </c>
      <c r="AW9" s="9">
        <f>22/7</f>
        <v/>
      </c>
      <c r="AX9" s="10" t="n">
        <v>0.203205751129122</v>
      </c>
      <c r="AY9" s="10" t="n">
        <v>3.1429329</v>
      </c>
      <c r="AZ9" s="9" t="n">
        <v>0.182890835326593</v>
      </c>
      <c r="BB9" s="10">
        <f>1/H9*AX9</f>
        <v/>
      </c>
      <c r="BC9" s="10">
        <f>I9/H9*AZ9</f>
        <v/>
      </c>
      <c r="BE9" s="10">
        <f>AW9</f>
        <v/>
      </c>
      <c r="BF9" s="10">
        <f>AY9*R9</f>
        <v/>
      </c>
      <c r="BG9" s="10">
        <f>J9/H9*AZ9</f>
        <v/>
      </c>
      <c r="BH9" s="10">
        <f>(L9+N9)/H9</f>
        <v/>
      </c>
      <c r="BI9" s="10">
        <f>(K9+M9)/H9</f>
        <v/>
      </c>
      <c r="BK9" s="1">
        <f>SUM(BE9:BI9)-SUM(BB9:BC9)</f>
        <v/>
      </c>
    </row>
    <row r="10">
      <c r="B10" s="13" t="inlineStr">
        <is>
          <t>NE_TSC</t>
        </is>
      </c>
      <c r="C10" s="12" t="inlineStr">
        <is>
          <t>Ethane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0.05310189724</v>
      </c>
      <c r="I10" s="12" t="n">
        <v>0.02270169876</v>
      </c>
      <c r="J10" s="12" t="n">
        <v>0</v>
      </c>
      <c r="K10" s="12" t="n">
        <v>0</v>
      </c>
      <c r="L10" s="12" t="n">
        <v>0.059012541</v>
      </c>
      <c r="M10" s="12" t="n"/>
      <c r="N10" s="12" t="n"/>
      <c r="O10" s="12" t="n">
        <v>99124.32016</v>
      </c>
      <c r="P10" s="12" t="n">
        <v>54251.99777</v>
      </c>
      <c r="Q10" s="12" t="n">
        <v>1.676159756</v>
      </c>
      <c r="R10" s="24" t="n">
        <v>0.2020556</v>
      </c>
      <c r="T10" s="15" t="n">
        <v>73.71884</v>
      </c>
      <c r="U10" s="15" t="n">
        <v>-23.276809</v>
      </c>
      <c r="V10" s="21" t="n">
        <v>21.9863533</v>
      </c>
      <c r="W10" s="15" t="n">
        <v>20.789991</v>
      </c>
      <c r="X10" s="15" t="n">
        <v>9.19598</v>
      </c>
      <c r="Y10" s="16" t="n">
        <v>-150.755789</v>
      </c>
      <c r="Z10" s="15" t="n">
        <v>8.960454</v>
      </c>
      <c r="AB10" s="1">
        <f>B10</f>
        <v/>
      </c>
      <c r="AC10" s="1">
        <f>C10</f>
        <v/>
      </c>
      <c r="AD10" s="11">
        <f>SUM(AG10:AO10)+AQ10+AR10</f>
        <v/>
      </c>
      <c r="AE10" s="11">
        <f>SUM(AG10:AO10)+AT10+AU10</f>
        <v/>
      </c>
      <c r="AF10" s="5">
        <f>AD10-AE10</f>
        <v/>
      </c>
      <c r="AG10" s="5">
        <f>E10/H10*X10</f>
        <v/>
      </c>
      <c r="AH10" s="1">
        <f>F10/H10*X10*-1</f>
        <v/>
      </c>
      <c r="AI10" s="1">
        <f>G10/H10*W10</f>
        <v/>
      </c>
      <c r="AJ10" s="1">
        <f>1/H10*V10</f>
        <v/>
      </c>
      <c r="AK10" s="1">
        <f>I10/H10*Z10</f>
        <v/>
      </c>
      <c r="AL10" s="1">
        <f>J10/H10*Z10*-1</f>
        <v/>
      </c>
      <c r="AM10" s="1">
        <f>O10/H10/(0.9*8760)</f>
        <v/>
      </c>
      <c r="AN10" s="1">
        <f>P10/H10/(0.9*8760)</f>
        <v/>
      </c>
      <c r="AO10" s="1">
        <f>Q10/H10</f>
        <v/>
      </c>
      <c r="AP10" s="1">
        <f>BG10+BH10+BI10</f>
        <v/>
      </c>
      <c r="AQ10" s="1">
        <f>(T10+U10)*-1*(K10+M10)/H10</f>
        <v/>
      </c>
      <c r="AR10" s="1">
        <f>AP10*T10</f>
        <v/>
      </c>
      <c r="AS10" s="1">
        <f>BG10+BH10</f>
        <v/>
      </c>
      <c r="AT10" s="1">
        <f>U10*(K10+M10)*-1/H10</f>
        <v/>
      </c>
      <c r="AU10" s="1">
        <f>AS10*T10</f>
        <v/>
      </c>
      <c r="AW10" s="9">
        <f>22/7</f>
        <v/>
      </c>
      <c r="AX10" s="10" t="n">
        <v>0.203205751129122</v>
      </c>
      <c r="AY10" s="10" t="n">
        <v>3.1429329</v>
      </c>
      <c r="AZ10" s="9" t="n">
        <v>0.182890835326593</v>
      </c>
      <c r="BB10" s="10">
        <f>1/H10*AX10</f>
        <v/>
      </c>
      <c r="BC10" s="10">
        <f>I10/H10*AZ10</f>
        <v/>
      </c>
      <c r="BE10" s="10">
        <f>AW10</f>
        <v/>
      </c>
      <c r="BF10" s="10">
        <f>AY10*R10</f>
        <v/>
      </c>
      <c r="BG10" s="10">
        <f>J10/H10*AZ10</f>
        <v/>
      </c>
      <c r="BH10" s="10">
        <f>(L10+N10)/H10</f>
        <v/>
      </c>
      <c r="BI10" s="10">
        <f>(K10+M10)/H10</f>
        <v/>
      </c>
      <c r="BK10" s="1">
        <f>SUM(BE10:BI10)-SUM(BB10:BC10)</f>
        <v/>
      </c>
    </row>
    <row r="11">
      <c r="B11" s="13" t="inlineStr">
        <is>
          <t>SW_TSC+CC90</t>
        </is>
      </c>
      <c r="C11" s="12" t="inlineStr">
        <is>
          <t>Ethane</t>
        </is>
      </c>
      <c r="D11" s="12" t="n">
        <v>0.9</v>
      </c>
      <c r="E11" s="12" t="n">
        <v>0</v>
      </c>
      <c r="F11" s="12" t="n">
        <v>0</v>
      </c>
      <c r="G11" s="12" t="n">
        <v>0.008052966438000001</v>
      </c>
      <c r="H11" s="12" t="n">
        <v>0.05310189724</v>
      </c>
      <c r="I11" s="12" t="n">
        <v>0.02270169876</v>
      </c>
      <c r="J11" s="12" t="n">
        <v>0</v>
      </c>
      <c r="K11" s="12" t="n">
        <v>0.053111287</v>
      </c>
      <c r="L11" s="12" t="n">
        <v>0.005901254</v>
      </c>
      <c r="M11" s="12" t="n"/>
      <c r="N11" s="12" t="n"/>
      <c r="O11" s="12" t="n">
        <v>106875.1697</v>
      </c>
      <c r="P11" s="12" t="n">
        <v>58496.38728</v>
      </c>
      <c r="Q11" s="12" t="n">
        <v>1.807224085</v>
      </c>
      <c r="R11" s="24" t="n">
        <v>0.2020556</v>
      </c>
      <c r="T11" s="15" t="n">
        <v>73.71884</v>
      </c>
      <c r="U11" s="15" t="n">
        <v>-4.302149</v>
      </c>
      <c r="V11" s="21" t="n">
        <v>21.9863533</v>
      </c>
      <c r="W11" s="15" t="n">
        <v>21.021514</v>
      </c>
      <c r="X11" s="15" t="n">
        <v>9.044067999999999</v>
      </c>
      <c r="Y11" s="16" t="n">
        <v>-126.225199</v>
      </c>
      <c r="Z11" s="15" t="n">
        <v>10.321106</v>
      </c>
      <c r="AB11" s="1">
        <f>B11</f>
        <v/>
      </c>
      <c r="AC11" s="1">
        <f>C11</f>
        <v/>
      </c>
      <c r="AD11" s="11">
        <f>SUM(AG11:AO11)+AQ11+AR11</f>
        <v/>
      </c>
      <c r="AE11" s="11">
        <f>SUM(AG11:AO11)+AT11+AU11</f>
        <v/>
      </c>
      <c r="AF11" s="5">
        <f>AD11-AE11</f>
        <v/>
      </c>
      <c r="AG11" s="5">
        <f>E11/H11*X11</f>
        <v/>
      </c>
      <c r="AH11" s="1">
        <f>F11/H11*X11*-1</f>
        <v/>
      </c>
      <c r="AI11" s="1">
        <f>G11/H11*W11</f>
        <v/>
      </c>
      <c r="AJ11" s="1">
        <f>1/H11*V11</f>
        <v/>
      </c>
      <c r="AK11" s="1">
        <f>I11/H11*Z11</f>
        <v/>
      </c>
      <c r="AL11" s="1">
        <f>J11/H11*Z11*-1</f>
        <v/>
      </c>
      <c r="AM11" s="1">
        <f>O11/H11/(0.9*8760)</f>
        <v/>
      </c>
      <c r="AN11" s="1">
        <f>P11/H11/(0.9*8760)</f>
        <v/>
      </c>
      <c r="AO11" s="1">
        <f>Q11/H11</f>
        <v/>
      </c>
      <c r="AP11" s="1">
        <f>BG11+BH11+BI11</f>
        <v/>
      </c>
      <c r="AQ11" s="1">
        <f>(T11+U11)*-1*(K11+M11)/H11</f>
        <v/>
      </c>
      <c r="AR11" s="1">
        <f>AP11*T11</f>
        <v/>
      </c>
      <c r="AS11" s="1">
        <f>BG11+BH11</f>
        <v/>
      </c>
      <c r="AT11" s="1">
        <f>U11*(K11+M11)*-1/H11</f>
        <v/>
      </c>
      <c r="AU11" s="1">
        <f>AS11*T11</f>
        <v/>
      </c>
      <c r="AW11" s="9">
        <f>22/7</f>
        <v/>
      </c>
      <c r="AX11" s="10" t="n">
        <v>0.203205751129122</v>
      </c>
      <c r="AY11" s="10" t="n">
        <v>3.1429329</v>
      </c>
      <c r="AZ11" s="9" t="n">
        <v>0.182890835326593</v>
      </c>
      <c r="BB11" s="10">
        <f>1/H11*AX11</f>
        <v/>
      </c>
      <c r="BC11" s="10">
        <f>I11/H11*AZ11</f>
        <v/>
      </c>
      <c r="BE11" s="10">
        <f>AW11</f>
        <v/>
      </c>
      <c r="BF11" s="10">
        <f>AY11*R11</f>
        <v/>
      </c>
      <c r="BG11" s="10">
        <f>J11/H11*AZ11</f>
        <v/>
      </c>
      <c r="BH11" s="10">
        <f>(L11+N11)/H11</f>
        <v/>
      </c>
      <c r="BI11" s="10">
        <f>(K11+M11)/H11</f>
        <v/>
      </c>
      <c r="BK11" s="1">
        <f>SUM(BE11:BI11)-SUM(BB11:BC11)</f>
        <v/>
      </c>
    </row>
    <row r="12">
      <c r="B12" s="13" t="inlineStr">
        <is>
          <t>SW_TSC:H2</t>
        </is>
      </c>
      <c r="C12" s="12" t="inlineStr">
        <is>
          <t>Ethane</t>
        </is>
      </c>
      <c r="D12" s="12" t="n">
        <v>0</v>
      </c>
      <c r="E12" s="12" t="n">
        <v>0</v>
      </c>
      <c r="F12" s="12" t="n">
        <v>0.1598531434</v>
      </c>
      <c r="G12" s="12" t="n">
        <v>0</v>
      </c>
      <c r="H12" s="12" t="n">
        <v>0.05310189724</v>
      </c>
      <c r="I12" s="12" t="n">
        <v>0.1318322859</v>
      </c>
      <c r="J12" s="12" t="n">
        <v>0</v>
      </c>
      <c r="K12" s="12" t="n">
        <v>0</v>
      </c>
      <c r="L12" s="12" t="n">
        <v>0.078770441</v>
      </c>
      <c r="M12" s="12" t="n"/>
      <c r="N12" s="12" t="n"/>
      <c r="O12" s="12" t="n">
        <v>99124.32016</v>
      </c>
      <c r="P12" s="12" t="n">
        <v>54251.99777</v>
      </c>
      <c r="Q12" s="12" t="n">
        <v>1.676159756</v>
      </c>
      <c r="R12" s="24" t="n">
        <v>0.2020556</v>
      </c>
      <c r="T12" s="15" t="n">
        <v>73.71884</v>
      </c>
      <c r="U12" s="15" t="n">
        <v>-4.302149</v>
      </c>
      <c r="V12" s="21" t="n">
        <v>21.9863533</v>
      </c>
      <c r="W12" s="15" t="n">
        <v>21.021514</v>
      </c>
      <c r="X12" s="15" t="n">
        <v>9.044067999999999</v>
      </c>
      <c r="Y12" s="16" t="n">
        <v>-126.225199</v>
      </c>
      <c r="Z12" s="15" t="n">
        <v>10.321106</v>
      </c>
      <c r="AB12" s="1">
        <f>B12</f>
        <v/>
      </c>
      <c r="AC12" s="1">
        <f>C12</f>
        <v/>
      </c>
      <c r="AD12" s="11">
        <f>SUM(AG12:AO12)+AQ12+AR12</f>
        <v/>
      </c>
      <c r="AE12" s="11">
        <f>SUM(AG12:AO12)+AT12+AU12</f>
        <v/>
      </c>
      <c r="AF12" s="5">
        <f>AD12-AE12</f>
        <v/>
      </c>
      <c r="AG12" s="5">
        <f>E12/H12*X12</f>
        <v/>
      </c>
      <c r="AH12" s="1">
        <f>F12/H12*X12*-1</f>
        <v/>
      </c>
      <c r="AI12" s="1">
        <f>G12/H12*W12</f>
        <v/>
      </c>
      <c r="AJ12" s="1">
        <f>1/H12*V12</f>
        <v/>
      </c>
      <c r="AK12" s="1">
        <f>I12/H12*Z12</f>
        <v/>
      </c>
      <c r="AL12" s="1">
        <f>J12/H12*Z12*-1</f>
        <v/>
      </c>
      <c r="AM12" s="1">
        <f>O12/H12/(0.9*8760)</f>
        <v/>
      </c>
      <c r="AN12" s="1">
        <f>P12/H12/(0.9*8760)</f>
        <v/>
      </c>
      <c r="AO12" s="1">
        <f>Q12/H12</f>
        <v/>
      </c>
      <c r="AP12" s="1">
        <f>BG12+BH12+BI12</f>
        <v/>
      </c>
      <c r="AQ12" s="1">
        <f>(T12+U12)*-1*(K12+M12)/H12</f>
        <v/>
      </c>
      <c r="AR12" s="1">
        <f>AP12*T12</f>
        <v/>
      </c>
      <c r="AS12" s="1">
        <f>BG12+BH12</f>
        <v/>
      </c>
      <c r="AT12" s="1">
        <f>U12*(K12+M12)*-1/H12</f>
        <v/>
      </c>
      <c r="AU12" s="1">
        <f>AS12*T12</f>
        <v/>
      </c>
      <c r="AW12" s="9">
        <f>22/7</f>
        <v/>
      </c>
      <c r="AX12" s="10" t="n">
        <v>0.203205751129122</v>
      </c>
      <c r="AY12" s="10" t="n">
        <v>3.1429329</v>
      </c>
      <c r="AZ12" s="9" t="n">
        <v>0.182890835326593</v>
      </c>
      <c r="BB12" s="10">
        <f>1/H12*AX12</f>
        <v/>
      </c>
      <c r="BC12" s="10">
        <f>I12/H12*AZ12</f>
        <v/>
      </c>
      <c r="BE12" s="10">
        <f>AW12</f>
        <v/>
      </c>
      <c r="BF12" s="10">
        <f>AY12*R12</f>
        <v/>
      </c>
      <c r="BG12" s="10">
        <f>J12/H12*AZ12</f>
        <v/>
      </c>
      <c r="BH12" s="10">
        <f>(L12+N12)/H12</f>
        <v/>
      </c>
      <c r="BI12" s="10">
        <f>(K12+M12)/H12</f>
        <v/>
      </c>
      <c r="BK12" s="1">
        <f>SUM(BE12:BI12)-SUM(BB12:BC12)</f>
        <v/>
      </c>
    </row>
    <row r="13">
      <c r="B13" s="13" t="inlineStr">
        <is>
          <t>SW_TSC+CC90:H2</t>
        </is>
      </c>
      <c r="C13" s="12" t="inlineStr">
        <is>
          <t>Ethane</t>
        </is>
      </c>
      <c r="D13" s="12" t="n">
        <v>0.9</v>
      </c>
      <c r="E13" s="12" t="n">
        <v>0</v>
      </c>
      <c r="F13" s="12" t="n">
        <v>0.1598531434</v>
      </c>
      <c r="G13" s="12" t="n">
        <v>0.009388736698</v>
      </c>
      <c r="H13" s="12" t="n">
        <v>0.05310189724</v>
      </c>
      <c r="I13" s="12" t="n">
        <v>0.1318322859</v>
      </c>
      <c r="J13" s="12" t="n">
        <v>0</v>
      </c>
      <c r="K13" s="12" t="n">
        <v>0.070893397</v>
      </c>
      <c r="L13" s="12" t="n">
        <v>0.007877044</v>
      </c>
      <c r="M13" s="12" t="n"/>
      <c r="N13" s="12" t="n"/>
      <c r="O13" s="12" t="n">
        <v>106900.9741</v>
      </c>
      <c r="P13" s="12" t="n">
        <v>58510.18581</v>
      </c>
      <c r="Q13" s="12" t="n">
        <v>1.807660423</v>
      </c>
      <c r="R13" s="24" t="n">
        <v>0.2020556</v>
      </c>
      <c r="T13" s="15" t="n">
        <v>73.71884</v>
      </c>
      <c r="U13" s="15" t="n">
        <v>-4.302149</v>
      </c>
      <c r="V13" s="21" t="n">
        <v>21.9863533</v>
      </c>
      <c r="W13" s="15" t="n">
        <v>21.021514</v>
      </c>
      <c r="X13" s="15" t="n">
        <v>9.044067999999999</v>
      </c>
      <c r="Y13" s="16" t="n">
        <v>-126.225199</v>
      </c>
      <c r="Z13" s="15" t="n">
        <v>10.321106</v>
      </c>
      <c r="AB13" s="1">
        <f>B13</f>
        <v/>
      </c>
      <c r="AC13" s="1">
        <f>C13</f>
        <v/>
      </c>
      <c r="AD13" s="11">
        <f>SUM(AG13:AO13)+AQ13+AR13</f>
        <v/>
      </c>
      <c r="AE13" s="11">
        <f>SUM(AG13:AO13)+AT13+AU13</f>
        <v/>
      </c>
      <c r="AF13" s="5">
        <f>AD13-AE13</f>
        <v/>
      </c>
      <c r="AG13" s="5">
        <f>E13/H13*X13</f>
        <v/>
      </c>
      <c r="AH13" s="1">
        <f>F13/H13*X13*-1</f>
        <v/>
      </c>
      <c r="AI13" s="1">
        <f>G13/H13*W13</f>
        <v/>
      </c>
      <c r="AJ13" s="1">
        <f>1/H13*V13</f>
        <v/>
      </c>
      <c r="AK13" s="1">
        <f>I13/H13*Z13</f>
        <v/>
      </c>
      <c r="AL13" s="1">
        <f>J13/H13*Z13*-1</f>
        <v/>
      </c>
      <c r="AM13" s="1">
        <f>O13/H13/(0.9*8760)</f>
        <v/>
      </c>
      <c r="AN13" s="1">
        <f>P13/H13/(0.9*8760)</f>
        <v/>
      </c>
      <c r="AO13" s="1">
        <f>Q13/H13</f>
        <v/>
      </c>
      <c r="AP13" s="1">
        <f>BG13+BH13+BI13</f>
        <v/>
      </c>
      <c r="AQ13" s="1">
        <f>(T13+U13)*-1*(K13+M13)/H13</f>
        <v/>
      </c>
      <c r="AR13" s="1">
        <f>AP13*T13</f>
        <v/>
      </c>
      <c r="AS13" s="1">
        <f>BG13+BH13</f>
        <v/>
      </c>
      <c r="AT13" s="1">
        <f>U13*(K13+M13)*-1/H13</f>
        <v/>
      </c>
      <c r="AU13" s="1">
        <f>AS13*T13</f>
        <v/>
      </c>
      <c r="AW13" s="9">
        <f>22/7</f>
        <v/>
      </c>
      <c r="AX13" s="10" t="n">
        <v>0.203205751129122</v>
      </c>
      <c r="AY13" s="10" t="n">
        <v>3.1429329</v>
      </c>
      <c r="AZ13" s="9" t="n">
        <v>0.182890835326593</v>
      </c>
      <c r="BB13" s="10">
        <f>1/H13*AX13</f>
        <v/>
      </c>
      <c r="BC13" s="10">
        <f>I13/H13*AZ13</f>
        <v/>
      </c>
      <c r="BE13" s="10">
        <f>AW13</f>
        <v/>
      </c>
      <c r="BF13" s="10">
        <f>AY13*R13</f>
        <v/>
      </c>
      <c r="BG13" s="10">
        <f>J13/H13*AZ13</f>
        <v/>
      </c>
      <c r="BH13" s="10">
        <f>(L13+N13)/H13</f>
        <v/>
      </c>
      <c r="BI13" s="10">
        <f>(K13+M13)/H13</f>
        <v/>
      </c>
      <c r="BK13" s="1">
        <f>SUM(BE13:BI13)-SUM(BB13:BC13)</f>
        <v/>
      </c>
    </row>
    <row r="14">
      <c r="B14" s="13" t="inlineStr">
        <is>
          <t>SW_TSC+H2in</t>
        </is>
      </c>
      <c r="C14" s="12" t="inlineStr">
        <is>
          <t>Ethane</t>
        </is>
      </c>
      <c r="D14" s="12" t="n">
        <v>0</v>
      </c>
      <c r="E14" s="12" t="n">
        <v>0.02226644157</v>
      </c>
      <c r="F14" s="12" t="n">
        <v>0</v>
      </c>
      <c r="G14" s="12" t="n">
        <v>0</v>
      </c>
      <c r="H14" s="12" t="n">
        <v>0.05310189724</v>
      </c>
      <c r="I14" s="12" t="n">
        <v>0</v>
      </c>
      <c r="J14" s="12" t="n">
        <v>0</v>
      </c>
      <c r="K14" s="12" t="n">
        <v>0</v>
      </c>
      <c r="L14" s="12" t="n">
        <v>0.054902438</v>
      </c>
      <c r="M14" s="12" t="n"/>
      <c r="N14" s="12" t="n"/>
      <c r="O14" s="12" t="n">
        <v>99124.32016</v>
      </c>
      <c r="P14" s="12" t="n">
        <v>54251.99777</v>
      </c>
      <c r="Q14" s="12" t="n">
        <v>1.676159756</v>
      </c>
      <c r="R14" s="24" t="n">
        <v>0.2020556</v>
      </c>
      <c r="T14" s="15" t="n">
        <v>73.71884</v>
      </c>
      <c r="U14" s="15" t="n">
        <v>-4.302149</v>
      </c>
      <c r="V14" s="21" t="n">
        <v>21.9863533</v>
      </c>
      <c r="W14" s="15" t="n">
        <v>21.021514</v>
      </c>
      <c r="X14" s="15" t="n">
        <v>9.044067999999999</v>
      </c>
      <c r="Y14" s="16" t="n">
        <v>-126.225199</v>
      </c>
      <c r="Z14" s="15" t="n">
        <v>10.321106</v>
      </c>
      <c r="AB14" s="1">
        <f>B14</f>
        <v/>
      </c>
      <c r="AC14" s="1">
        <f>C14</f>
        <v/>
      </c>
      <c r="AD14" s="11">
        <f>SUM(AG14:AO14)+AQ14+AR14</f>
        <v/>
      </c>
      <c r="AE14" s="11">
        <f>SUM(AG14:AO14)+AT14+AU14</f>
        <v/>
      </c>
      <c r="AF14" s="5">
        <f>AD14-AE14</f>
        <v/>
      </c>
      <c r="AG14" s="5">
        <f>E14/H14*X14</f>
        <v/>
      </c>
      <c r="AH14" s="1">
        <f>F14/H14*X14*-1</f>
        <v/>
      </c>
      <c r="AI14" s="1">
        <f>G14/H14*W14</f>
        <v/>
      </c>
      <c r="AJ14" s="1">
        <f>1/H14*V14</f>
        <v/>
      </c>
      <c r="AK14" s="1">
        <f>I14/H14*Z14</f>
        <v/>
      </c>
      <c r="AL14" s="1">
        <f>J14/H14*Z14*-1</f>
        <v/>
      </c>
      <c r="AM14" s="1">
        <f>O14/H14/(0.9*8760)</f>
        <v/>
      </c>
      <c r="AN14" s="1">
        <f>P14/H14/(0.9*8760)</f>
        <v/>
      </c>
      <c r="AO14" s="1">
        <f>Q14/H14</f>
        <v/>
      </c>
      <c r="AP14" s="1">
        <f>BG14+BH14+BI14</f>
        <v/>
      </c>
      <c r="AQ14" s="1">
        <f>(T14+U14)*-1*(K14+M14)/H14</f>
        <v/>
      </c>
      <c r="AR14" s="1">
        <f>AP14*T14</f>
        <v/>
      </c>
      <c r="AS14" s="1">
        <f>BG14+BH14</f>
        <v/>
      </c>
      <c r="AT14" s="1">
        <f>U14*(K14+M14)*-1/H14</f>
        <v/>
      </c>
      <c r="AU14" s="1">
        <f>AS14*T14</f>
        <v/>
      </c>
      <c r="AW14" s="9">
        <f>22/7</f>
        <v/>
      </c>
      <c r="AX14" s="10" t="n">
        <v>0.203205751129122</v>
      </c>
      <c r="AY14" s="10" t="n">
        <v>3.1429329</v>
      </c>
      <c r="AZ14" s="9" t="n">
        <v>0.182890835326593</v>
      </c>
      <c r="BB14" s="10">
        <f>1/H14*AX14</f>
        <v/>
      </c>
      <c r="BC14" s="10">
        <f>I14/H14*AZ14</f>
        <v/>
      </c>
      <c r="BE14" s="10">
        <f>AW14</f>
        <v/>
      </c>
      <c r="BF14" s="10">
        <f>AY14*R14</f>
        <v/>
      </c>
      <c r="BG14" s="10">
        <f>J14/H14*AZ14</f>
        <v/>
      </c>
      <c r="BH14" s="10">
        <f>(L14+N14)/H14</f>
        <v/>
      </c>
      <c r="BI14" s="10">
        <f>(K14+M14)/H14</f>
        <v/>
      </c>
      <c r="BK14" s="1">
        <f>SUM(BE14:BI14)-SUM(BB14:BC14)</f>
        <v/>
      </c>
    </row>
    <row r="15">
      <c r="B15" s="13" t="inlineStr">
        <is>
          <t>SW_TSC+H2in:CH4</t>
        </is>
      </c>
      <c r="C15" s="12" t="inlineStr">
        <is>
          <t>Ethane</t>
        </is>
      </c>
      <c r="D15" s="12" t="n">
        <v>0</v>
      </c>
      <c r="E15" s="12" t="n">
        <v>0.1375867019</v>
      </c>
      <c r="F15" s="12" t="n">
        <v>0</v>
      </c>
      <c r="G15" s="12" t="n">
        <v>0</v>
      </c>
      <c r="H15" s="12" t="n">
        <v>0.05310189724</v>
      </c>
      <c r="I15" s="12" t="n">
        <v>0</v>
      </c>
      <c r="J15" s="12" t="n">
        <v>0.1181424966</v>
      </c>
      <c r="K15" s="12" t="n">
        <v>0</v>
      </c>
      <c r="L15" s="12" t="n">
        <v>0.033512947</v>
      </c>
      <c r="M15" s="12" t="n"/>
      <c r="N15" s="12" t="n"/>
      <c r="O15" s="12" t="n">
        <v>99124.32016</v>
      </c>
      <c r="P15" s="12" t="n">
        <v>54251.99777</v>
      </c>
      <c r="Q15" s="12" t="n">
        <v>1.676159756</v>
      </c>
      <c r="R15" s="24" t="n">
        <v>0.2020556</v>
      </c>
      <c r="T15" s="15" t="n">
        <v>73.71884</v>
      </c>
      <c r="U15" s="15" t="n">
        <v>-4.302149</v>
      </c>
      <c r="V15" s="21" t="n">
        <v>21.9863533</v>
      </c>
      <c r="W15" s="15" t="n">
        <v>21.021514</v>
      </c>
      <c r="X15" s="15" t="n">
        <v>9.044067999999999</v>
      </c>
      <c r="Y15" s="16" t="n">
        <v>-126.225199</v>
      </c>
      <c r="Z15" s="15" t="n">
        <v>10.321106</v>
      </c>
      <c r="AB15" s="1">
        <f>B15</f>
        <v/>
      </c>
      <c r="AC15" s="1">
        <f>C15</f>
        <v/>
      </c>
      <c r="AD15" s="11">
        <f>SUM(AG15:AO15)+AQ15+AR15</f>
        <v/>
      </c>
      <c r="AE15" s="11">
        <f>SUM(AG15:AO15)+AT15+AU15</f>
        <v/>
      </c>
      <c r="AF15" s="5">
        <f>AD15-AE15</f>
        <v/>
      </c>
      <c r="AG15" s="5">
        <f>E15/H15*X15</f>
        <v/>
      </c>
      <c r="AH15" s="1">
        <f>F15/H15*X15*-1</f>
        <v/>
      </c>
      <c r="AI15" s="1">
        <f>G15/H15*W15</f>
        <v/>
      </c>
      <c r="AJ15" s="1">
        <f>1/H15*V15</f>
        <v/>
      </c>
      <c r="AK15" s="1">
        <f>I15/H15*Z15</f>
        <v/>
      </c>
      <c r="AL15" s="1">
        <f>J15/H15*Z15*-1</f>
        <v/>
      </c>
      <c r="AM15" s="1">
        <f>O15/H15/(0.9*8760)</f>
        <v/>
      </c>
      <c r="AN15" s="1">
        <f>P15/H15/(0.9*8760)</f>
        <v/>
      </c>
      <c r="AO15" s="1">
        <f>Q15/H15</f>
        <v/>
      </c>
      <c r="AP15" s="1">
        <f>BG15+BH15+BI15</f>
        <v/>
      </c>
      <c r="AQ15" s="1">
        <f>(T15+U15)*-1*(K15+M15)/H15</f>
        <v/>
      </c>
      <c r="AR15" s="1">
        <f>AP15*T15</f>
        <v/>
      </c>
      <c r="AS15" s="1">
        <f>BG15+BH15</f>
        <v/>
      </c>
      <c r="AT15" s="1">
        <f>U15*(K15+M15)*-1/H15</f>
        <v/>
      </c>
      <c r="AU15" s="1">
        <f>AS15*T15</f>
        <v/>
      </c>
      <c r="AW15" s="9">
        <f>22/7</f>
        <v/>
      </c>
      <c r="AX15" s="10" t="n">
        <v>0.203205751129122</v>
      </c>
      <c r="AY15" s="10" t="n">
        <v>3.1429329</v>
      </c>
      <c r="AZ15" s="9" t="n">
        <v>0.182890835326593</v>
      </c>
      <c r="BB15" s="10">
        <f>1/H15*AX15</f>
        <v/>
      </c>
      <c r="BC15" s="10">
        <f>I15/H15*AZ15</f>
        <v/>
      </c>
      <c r="BE15" s="10">
        <f>AW15</f>
        <v/>
      </c>
      <c r="BF15" s="10">
        <f>AY15*R15</f>
        <v/>
      </c>
      <c r="BG15" s="10">
        <f>J15/H15*AZ15</f>
        <v/>
      </c>
      <c r="BH15" s="10">
        <f>(L15+N15)/H15</f>
        <v/>
      </c>
      <c r="BI15" s="10">
        <f>(K15+M15)/H15</f>
        <v/>
      </c>
      <c r="BK15" s="1">
        <f>SUM(BE15:BI15)-SUM(BB15:BC15)</f>
        <v/>
      </c>
    </row>
    <row r="16">
      <c r="B16" s="13" t="inlineStr">
        <is>
          <t>TX_TSC+CC90</t>
        </is>
      </c>
      <c r="C16" s="12" t="inlineStr">
        <is>
          <t>Ethane</t>
        </is>
      </c>
      <c r="D16" s="12" t="n">
        <v>0.9</v>
      </c>
      <c r="E16" s="12" t="n">
        <v>0</v>
      </c>
      <c r="F16" s="12" t="n">
        <v>0</v>
      </c>
      <c r="G16" s="12" t="n">
        <v>0.008052966438000001</v>
      </c>
      <c r="H16" s="12" t="n">
        <v>0.05310189724</v>
      </c>
      <c r="I16" s="12" t="n">
        <v>0.02270169876</v>
      </c>
      <c r="J16" s="12" t="n">
        <v>0</v>
      </c>
      <c r="K16" s="12" t="n">
        <v>0.053111287</v>
      </c>
      <c r="L16" s="12" t="n">
        <v>0.005901254</v>
      </c>
      <c r="M16" s="12" t="n"/>
      <c r="N16" s="12" t="n"/>
      <c r="O16" s="12" t="n">
        <v>106875.1697</v>
      </c>
      <c r="P16" s="12" t="n">
        <v>58496.38728</v>
      </c>
      <c r="Q16" s="12" t="n">
        <v>1.807224085</v>
      </c>
      <c r="R16" s="24" t="n">
        <v>0.2020556</v>
      </c>
      <c r="T16" s="15" t="n">
        <v>73.71884</v>
      </c>
      <c r="U16" s="15" t="n">
        <v>-5.000084</v>
      </c>
      <c r="V16" s="21" t="n">
        <v>21.9863533</v>
      </c>
      <c r="W16" s="15" t="n">
        <v>21.357777</v>
      </c>
      <c r="X16" s="15" t="n">
        <v>7.54831</v>
      </c>
      <c r="Y16" s="16" t="n">
        <v>-126.782873</v>
      </c>
      <c r="Z16" s="15" t="n">
        <v>8.60172</v>
      </c>
      <c r="AB16" s="1">
        <f>B16</f>
        <v/>
      </c>
      <c r="AC16" s="1">
        <f>C16</f>
        <v/>
      </c>
      <c r="AD16" s="11">
        <f>SUM(AG16:AO16)+AQ16+AR16</f>
        <v/>
      </c>
      <c r="AE16" s="11">
        <f>SUM(AG16:AO16)+AT16+AU16</f>
        <v/>
      </c>
      <c r="AF16" s="5">
        <f>AD16-AE16</f>
        <v/>
      </c>
      <c r="AG16" s="5">
        <f>E16/H16*X16</f>
        <v/>
      </c>
      <c r="AH16" s="1">
        <f>F16/H16*X16*-1</f>
        <v/>
      </c>
      <c r="AI16" s="1">
        <f>G16/H16*W16</f>
        <v/>
      </c>
      <c r="AJ16" s="1">
        <f>1/H16*V16</f>
        <v/>
      </c>
      <c r="AK16" s="1">
        <f>I16/H16*Z16</f>
        <v/>
      </c>
      <c r="AL16" s="1">
        <f>J16/H16*Z16*-1</f>
        <v/>
      </c>
      <c r="AM16" s="1">
        <f>O16/H16/(0.9*8760)</f>
        <v/>
      </c>
      <c r="AN16" s="1">
        <f>P16/H16/(0.9*8760)</f>
        <v/>
      </c>
      <c r="AO16" s="1">
        <f>Q16/H16</f>
        <v/>
      </c>
      <c r="AP16" s="1">
        <f>BG16+BH16+BI16</f>
        <v/>
      </c>
      <c r="AQ16" s="1">
        <f>(T16+U16)*-1*(K16+M16)/H16</f>
        <v/>
      </c>
      <c r="AR16" s="1">
        <f>AP16*T16</f>
        <v/>
      </c>
      <c r="AS16" s="1">
        <f>BG16+BH16</f>
        <v/>
      </c>
      <c r="AT16" s="1">
        <f>U16*(K16+M16)*-1/H16</f>
        <v/>
      </c>
      <c r="AU16" s="1">
        <f>AS16*T16</f>
        <v/>
      </c>
      <c r="AW16" s="9">
        <f>22/7</f>
        <v/>
      </c>
      <c r="AX16" s="10" t="n">
        <v>0.203205751129122</v>
      </c>
      <c r="AY16" s="10" t="n">
        <v>3.1429329</v>
      </c>
      <c r="AZ16" s="9" t="n">
        <v>0.182890835326593</v>
      </c>
      <c r="BB16" s="10">
        <f>1/H16*AX16</f>
        <v/>
      </c>
      <c r="BC16" s="10">
        <f>I16/H16*AZ16</f>
        <v/>
      </c>
      <c r="BE16" s="10">
        <f>AW16</f>
        <v/>
      </c>
      <c r="BF16" s="10">
        <f>AY16*R16</f>
        <v/>
      </c>
      <c r="BG16" s="10">
        <f>J16/H16*AZ16</f>
        <v/>
      </c>
      <c r="BH16" s="10">
        <f>(L16+N16)/H16</f>
        <v/>
      </c>
      <c r="BI16" s="10">
        <f>(K16+M16)/H16</f>
        <v/>
      </c>
      <c r="BK16" s="1">
        <f>SUM(BE16:BI16)-SUM(BB16:BC16)</f>
        <v/>
      </c>
    </row>
    <row r="17" ht="17" customHeight="1">
      <c r="B17" s="13" t="inlineStr">
        <is>
          <t>TX_TSC:H2</t>
        </is>
      </c>
      <c r="C17" s="12" t="inlineStr">
        <is>
          <t>Ethane</t>
        </is>
      </c>
      <c r="D17" s="12" t="n">
        <v>0</v>
      </c>
      <c r="E17" s="12" t="n">
        <v>0</v>
      </c>
      <c r="F17" s="12" t="n">
        <v>0.1598531434</v>
      </c>
      <c r="G17" s="12" t="n">
        <v>0</v>
      </c>
      <c r="H17" s="12" t="n">
        <v>0.05310189724</v>
      </c>
      <c r="I17" s="12" t="n">
        <v>0.1318322859</v>
      </c>
      <c r="J17" s="12" t="n">
        <v>0</v>
      </c>
      <c r="K17" s="12" t="n">
        <v>0</v>
      </c>
      <c r="L17" s="12" t="n">
        <v>0.078770441</v>
      </c>
      <c r="M17" s="12" t="n"/>
      <c r="N17" s="12" t="n"/>
      <c r="O17" s="12" t="n">
        <v>99124.32016</v>
      </c>
      <c r="P17" s="12" t="n">
        <v>54251.99777</v>
      </c>
      <c r="Q17" s="12" t="n">
        <v>1.676159756</v>
      </c>
      <c r="R17" s="24" t="n">
        <v>0.2020556</v>
      </c>
      <c r="T17" s="15" t="n">
        <v>73.71884</v>
      </c>
      <c r="U17" s="15" t="n">
        <v>-5.000084</v>
      </c>
      <c r="V17" s="21" t="n">
        <v>21.9863533</v>
      </c>
      <c r="W17" s="15" t="n">
        <v>21.357777</v>
      </c>
      <c r="X17" s="15" t="n">
        <v>7.54831</v>
      </c>
      <c r="Y17" s="16" t="n">
        <v>-126.782873</v>
      </c>
      <c r="Z17" s="15" t="n">
        <v>8.60172</v>
      </c>
      <c r="AB17" s="1">
        <f>B17</f>
        <v/>
      </c>
      <c r="AC17" s="1">
        <f>C17</f>
        <v/>
      </c>
      <c r="AD17" s="11">
        <f>SUM(AG17:AO17)+AQ17+AR17</f>
        <v/>
      </c>
      <c r="AE17" s="11">
        <f>SUM(AG17:AO17)+AT17+AU17</f>
        <v/>
      </c>
      <c r="AF17" s="5">
        <f>AD17-AE17</f>
        <v/>
      </c>
      <c r="AG17" s="5">
        <f>E17/H17*X17</f>
        <v/>
      </c>
      <c r="AH17" s="1">
        <f>F17/H17*X17*-1</f>
        <v/>
      </c>
      <c r="AI17" s="1">
        <f>G17/H17*W17</f>
        <v/>
      </c>
      <c r="AJ17" s="1">
        <f>1/H17*V17</f>
        <v/>
      </c>
      <c r="AK17" s="1">
        <f>I17/H17*Z17</f>
        <v/>
      </c>
      <c r="AL17" s="1">
        <f>J17/H17*Z17*-1</f>
        <v/>
      </c>
      <c r="AM17" s="1">
        <f>O17/H17/(0.9*8760)</f>
        <v/>
      </c>
      <c r="AN17" s="1">
        <f>P17/H17/(0.9*8760)</f>
        <v/>
      </c>
      <c r="AO17" s="1">
        <f>Q17/H17</f>
        <v/>
      </c>
      <c r="AP17" s="1">
        <f>BG17+BH17+BI17</f>
        <v/>
      </c>
      <c r="AQ17" s="1">
        <f>(T17+U17)*-1*(K17+M17)/H17</f>
        <v/>
      </c>
      <c r="AR17" s="1">
        <f>AP17*T17</f>
        <v/>
      </c>
      <c r="AS17" s="1">
        <f>BG17+BH17</f>
        <v/>
      </c>
      <c r="AT17" s="1">
        <f>U17*(K17+M17)*-1/H17</f>
        <v/>
      </c>
      <c r="AU17" s="1">
        <f>AS17*T17</f>
        <v/>
      </c>
      <c r="AW17" s="9">
        <f>22/7</f>
        <v/>
      </c>
      <c r="AX17" s="10" t="n">
        <v>0.203205751129122</v>
      </c>
      <c r="AY17" s="10" t="n">
        <v>3.1429329</v>
      </c>
      <c r="AZ17" s="9" t="n">
        <v>0.182890835326593</v>
      </c>
      <c r="BB17" s="10">
        <f>1/H17*AX17</f>
        <v/>
      </c>
      <c r="BC17" s="10">
        <f>I17/H17*AZ17</f>
        <v/>
      </c>
      <c r="BE17" s="10">
        <f>AW17</f>
        <v/>
      </c>
      <c r="BF17" s="10">
        <f>AY17*R17</f>
        <v/>
      </c>
      <c r="BG17" s="10">
        <f>J17/H17*AZ17</f>
        <v/>
      </c>
      <c r="BH17" s="10">
        <f>(L17+N17)/H17</f>
        <v/>
      </c>
      <c r="BI17" s="10">
        <f>(K17+M17)/H17</f>
        <v/>
      </c>
      <c r="BK17" s="1">
        <f>SUM(BE17:BI17)-SUM(BB17:BC17)</f>
        <v/>
      </c>
    </row>
    <row r="18" ht="16" customHeight="1">
      <c r="B18" s="13" t="inlineStr">
        <is>
          <t>TX_TSC+CC90:H2</t>
        </is>
      </c>
      <c r="C18" s="12" t="inlineStr">
        <is>
          <t>Ethane</t>
        </is>
      </c>
      <c r="D18" s="12" t="n">
        <v>0.9</v>
      </c>
      <c r="E18" s="12" t="n">
        <v>0</v>
      </c>
      <c r="F18" s="12" t="n">
        <v>0.1598531434</v>
      </c>
      <c r="G18" s="12" t="n">
        <v>0.009388736698</v>
      </c>
      <c r="H18" s="12" t="n">
        <v>0.05310189724</v>
      </c>
      <c r="I18" s="12" t="n">
        <v>0.1318322859</v>
      </c>
      <c r="J18" s="12" t="n">
        <v>0</v>
      </c>
      <c r="K18" s="12" t="n">
        <v>0.070893397</v>
      </c>
      <c r="L18" s="12" t="n">
        <v>0.007877044</v>
      </c>
      <c r="M18" s="12" t="n"/>
      <c r="N18" s="12" t="n"/>
      <c r="O18" s="12" t="n">
        <v>106900.9741</v>
      </c>
      <c r="P18" s="12" t="n">
        <v>58510.18581</v>
      </c>
      <c r="Q18" s="12" t="n">
        <v>1.807660423</v>
      </c>
      <c r="R18" s="24" t="n">
        <v>0.2020556</v>
      </c>
      <c r="T18" s="15" t="n">
        <v>73.71884</v>
      </c>
      <c r="U18" s="15" t="n">
        <v>-5.000084</v>
      </c>
      <c r="V18" s="21" t="n">
        <v>21.9863533</v>
      </c>
      <c r="W18" s="15" t="n">
        <v>21.357777</v>
      </c>
      <c r="X18" s="15" t="n">
        <v>7.54831</v>
      </c>
      <c r="Y18" s="16" t="n">
        <v>-126.782873</v>
      </c>
      <c r="Z18" s="15" t="n">
        <v>8.60172</v>
      </c>
      <c r="AB18" s="1">
        <f>B18</f>
        <v/>
      </c>
      <c r="AC18" s="1">
        <f>C18</f>
        <v/>
      </c>
      <c r="AD18" s="11">
        <f>SUM(AG18:AO18)+AQ18+AR18</f>
        <v/>
      </c>
      <c r="AE18" s="11">
        <f>SUM(AG18:AO18)+AT18+AU18</f>
        <v/>
      </c>
      <c r="AF18" s="5">
        <f>AD18-AE18</f>
        <v/>
      </c>
      <c r="AG18" s="5">
        <f>E18/H18*X18</f>
        <v/>
      </c>
      <c r="AH18" s="1">
        <f>F18/H18*X18*-1</f>
        <v/>
      </c>
      <c r="AI18" s="1">
        <f>G18/H18*W18</f>
        <v/>
      </c>
      <c r="AJ18" s="1">
        <f>1/H18*V18</f>
        <v/>
      </c>
      <c r="AK18" s="1">
        <f>I18/H18*Z18</f>
        <v/>
      </c>
      <c r="AL18" s="1">
        <f>J18/H18*Z18*-1</f>
        <v/>
      </c>
      <c r="AM18" s="1">
        <f>O18/H18/(0.9*8760)</f>
        <v/>
      </c>
      <c r="AN18" s="1">
        <f>P18/H18/(0.9*8760)</f>
        <v/>
      </c>
      <c r="AO18" s="1">
        <f>Q18/H18</f>
        <v/>
      </c>
      <c r="AP18" s="1">
        <f>BG18+BH18+BI18</f>
        <v/>
      </c>
      <c r="AQ18" s="1">
        <f>(T18+U18)*-1*(K18+M18)/H18</f>
        <v/>
      </c>
      <c r="AR18" s="1">
        <f>AP18*T18</f>
        <v/>
      </c>
      <c r="AS18" s="1">
        <f>BG18+BH18</f>
        <v/>
      </c>
      <c r="AT18" s="1">
        <f>U18*(K18+M18)*-1/H18</f>
        <v/>
      </c>
      <c r="AU18" s="1">
        <f>AS18*T18</f>
        <v/>
      </c>
      <c r="AW18" s="9">
        <f>22/7</f>
        <v/>
      </c>
      <c r="AX18" s="10" t="n">
        <v>0.203205751129122</v>
      </c>
      <c r="AY18" s="10" t="n">
        <v>3.1429329</v>
      </c>
      <c r="AZ18" s="9" t="n">
        <v>0.182890835326593</v>
      </c>
      <c r="BB18" s="10">
        <f>1/H18*AX18</f>
        <v/>
      </c>
      <c r="BC18" s="10">
        <f>I18/H18*AZ18</f>
        <v/>
      </c>
      <c r="BE18" s="10">
        <f>AW18</f>
        <v/>
      </c>
      <c r="BF18" s="10">
        <f>AY18*R18</f>
        <v/>
      </c>
      <c r="BG18" s="10">
        <f>J18/H18*AZ18</f>
        <v/>
      </c>
      <c r="BH18" s="10">
        <f>(L18+N18)/H18</f>
        <v/>
      </c>
      <c r="BI18" s="10">
        <f>(K18+M18)/H18</f>
        <v/>
      </c>
      <c r="BK18" s="1">
        <f>SUM(BE18:BI18)-SUM(BB18:BC18)</f>
        <v/>
      </c>
    </row>
    <row r="19">
      <c r="B19" s="13" t="inlineStr">
        <is>
          <t>TX_TSC+H2in</t>
        </is>
      </c>
      <c r="C19" s="12" t="inlineStr">
        <is>
          <t>Ethane</t>
        </is>
      </c>
      <c r="D19" s="12" t="n">
        <v>0</v>
      </c>
      <c r="E19" s="12" t="n">
        <v>0.02226644157</v>
      </c>
      <c r="F19" s="12" t="n">
        <v>0</v>
      </c>
      <c r="G19" s="12" t="n">
        <v>0</v>
      </c>
      <c r="H19" s="12" t="n">
        <v>0.05310189724</v>
      </c>
      <c r="I19" s="12" t="n">
        <v>0</v>
      </c>
      <c r="J19" s="12" t="n">
        <v>0</v>
      </c>
      <c r="K19" s="12" t="n">
        <v>0</v>
      </c>
      <c r="L19" s="12" t="n">
        <v>0.054902438</v>
      </c>
      <c r="M19" s="12" t="n"/>
      <c r="N19" s="12" t="n"/>
      <c r="O19" s="12" t="n">
        <v>99124.32016</v>
      </c>
      <c r="P19" s="12" t="n">
        <v>54251.99777</v>
      </c>
      <c r="Q19" s="12" t="n">
        <v>1.676159756</v>
      </c>
      <c r="R19" s="24" t="n">
        <v>0.2020556</v>
      </c>
      <c r="T19" s="15" t="n">
        <v>73.71884</v>
      </c>
      <c r="U19" s="15" t="n">
        <v>-5.000084</v>
      </c>
      <c r="V19" s="21" t="n">
        <v>21.9863533</v>
      </c>
      <c r="W19" s="15" t="n">
        <v>21.357777</v>
      </c>
      <c r="X19" s="15" t="n">
        <v>7.54831</v>
      </c>
      <c r="Y19" s="16" t="n">
        <v>-126.782873</v>
      </c>
      <c r="Z19" s="15" t="n">
        <v>8.60172</v>
      </c>
      <c r="AB19" s="1">
        <f>B19</f>
        <v/>
      </c>
      <c r="AC19" s="1">
        <f>C19</f>
        <v/>
      </c>
      <c r="AD19" s="11">
        <f>SUM(AG19:AO19)+AQ19+AR19</f>
        <v/>
      </c>
      <c r="AE19" s="11">
        <f>SUM(AG19:AO19)+AT19+AU19</f>
        <v/>
      </c>
      <c r="AF19" s="5">
        <f>AD19-AE19</f>
        <v/>
      </c>
      <c r="AG19" s="5">
        <f>E19/H19*X19</f>
        <v/>
      </c>
      <c r="AH19" s="1">
        <f>F19/H19*X19*-1</f>
        <v/>
      </c>
      <c r="AI19" s="1">
        <f>G19/H19*W19</f>
        <v/>
      </c>
      <c r="AJ19" s="1">
        <f>1/H19*V19</f>
        <v/>
      </c>
      <c r="AK19" s="1">
        <f>I19/H19*Z19</f>
        <v/>
      </c>
      <c r="AL19" s="1">
        <f>J19/H19*Z19*-1</f>
        <v/>
      </c>
      <c r="AM19" s="1">
        <f>O19/H19/(0.9*8760)</f>
        <v/>
      </c>
      <c r="AN19" s="1">
        <f>P19/H19/(0.9*8760)</f>
        <v/>
      </c>
      <c r="AO19" s="1">
        <f>Q19/H19</f>
        <v/>
      </c>
      <c r="AP19" s="1">
        <f>BG19+BH19+BI19</f>
        <v/>
      </c>
      <c r="AQ19" s="1">
        <f>(T19+U19)*-1*(K19+M19)/H19</f>
        <v/>
      </c>
      <c r="AR19" s="1">
        <f>AP19*T19</f>
        <v/>
      </c>
      <c r="AS19" s="1">
        <f>BG19+BH19</f>
        <v/>
      </c>
      <c r="AT19" s="1">
        <f>U19*(K19+M19)*-1/H19</f>
        <v/>
      </c>
      <c r="AU19" s="1">
        <f>AS19*T19</f>
        <v/>
      </c>
      <c r="AW19" s="9">
        <f>22/7</f>
        <v/>
      </c>
      <c r="AX19" s="10" t="n">
        <v>0.203205751129122</v>
      </c>
      <c r="AY19" s="10" t="n">
        <v>3.1429329</v>
      </c>
      <c r="AZ19" s="9" t="n">
        <v>0.182890835326593</v>
      </c>
      <c r="BB19" s="10">
        <f>1/H19*AX19</f>
        <v/>
      </c>
      <c r="BC19" s="10">
        <f>I19/H19*AZ19</f>
        <v/>
      </c>
      <c r="BE19" s="10">
        <f>AW19</f>
        <v/>
      </c>
      <c r="BF19" s="10">
        <f>AY19*R19</f>
        <v/>
      </c>
      <c r="BG19" s="10">
        <f>J19/H19*AZ19</f>
        <v/>
      </c>
      <c r="BH19" s="10">
        <f>(L19+N19)/H19</f>
        <v/>
      </c>
      <c r="BI19" s="10">
        <f>(K19+M19)/H19</f>
        <v/>
      </c>
      <c r="BK19" s="1">
        <f>SUM(BE19:BI19)-SUM(BB19:BC19)</f>
        <v/>
      </c>
    </row>
    <row r="20">
      <c r="B20" s="13" t="inlineStr">
        <is>
          <t>TX_TSC+H2in:CH4</t>
        </is>
      </c>
      <c r="C20" s="12" t="inlineStr">
        <is>
          <t>Ethane</t>
        </is>
      </c>
      <c r="D20" s="12" t="n">
        <v>0</v>
      </c>
      <c r="E20" s="12" t="n">
        <v>0.1375867019</v>
      </c>
      <c r="F20" s="12" t="n">
        <v>0</v>
      </c>
      <c r="G20" s="12" t="n">
        <v>0</v>
      </c>
      <c r="H20" s="12" t="n">
        <v>0.05310189724</v>
      </c>
      <c r="I20" s="12" t="n">
        <v>0</v>
      </c>
      <c r="J20" s="12" t="n">
        <v>0.1181424966</v>
      </c>
      <c r="K20" s="12" t="n">
        <v>0</v>
      </c>
      <c r="L20" s="12" t="n">
        <v>0.033512947</v>
      </c>
      <c r="M20" s="12" t="n"/>
      <c r="N20" s="12" t="n"/>
      <c r="O20" s="12" t="n">
        <v>99124.32016</v>
      </c>
      <c r="P20" s="12" t="n">
        <v>54251.99777</v>
      </c>
      <c r="Q20" s="12" t="n">
        <v>1.676159756</v>
      </c>
      <c r="R20" s="24" t="n">
        <v>0.2020556</v>
      </c>
      <c r="T20" s="15" t="n">
        <v>73.71884</v>
      </c>
      <c r="U20" s="15" t="n">
        <v>-5.000084</v>
      </c>
      <c r="V20" s="21" t="n">
        <v>21.9863533</v>
      </c>
      <c r="W20" s="15" t="n">
        <v>21.357777</v>
      </c>
      <c r="X20" s="15" t="n">
        <v>7.54831</v>
      </c>
      <c r="Y20" s="16" t="n">
        <v>-126.782873</v>
      </c>
      <c r="Z20" s="15" t="n">
        <v>8.60172</v>
      </c>
      <c r="AB20" s="1">
        <f>B20</f>
        <v/>
      </c>
      <c r="AC20" s="1">
        <f>C20</f>
        <v/>
      </c>
      <c r="AD20" s="11">
        <f>SUM(AG20:AO20)+AQ20+AR20</f>
        <v/>
      </c>
      <c r="AE20" s="11">
        <f>SUM(AG20:AO20)+AT20+AU20</f>
        <v/>
      </c>
      <c r="AF20" s="5">
        <f>AD20-AE20</f>
        <v/>
      </c>
      <c r="AG20" s="5">
        <f>E20/H20*X20</f>
        <v/>
      </c>
      <c r="AH20" s="1">
        <f>F20/H20*X20*-1</f>
        <v/>
      </c>
      <c r="AI20" s="1">
        <f>G20/H20*W20</f>
        <v/>
      </c>
      <c r="AJ20" s="1">
        <f>1/H20*V20</f>
        <v/>
      </c>
      <c r="AK20" s="1">
        <f>I20/H20*Z20</f>
        <v/>
      </c>
      <c r="AL20" s="1">
        <f>J20/H20*Z20*-1</f>
        <v/>
      </c>
      <c r="AM20" s="1">
        <f>O20/H20/(0.9*8760)</f>
        <v/>
      </c>
      <c r="AN20" s="1">
        <f>P20/H20/(0.9*8760)</f>
        <v/>
      </c>
      <c r="AO20" s="1">
        <f>Q20/H20</f>
        <v/>
      </c>
      <c r="AP20" s="1">
        <f>BG20+BH20+BI20</f>
        <v/>
      </c>
      <c r="AQ20" s="1">
        <f>(T20+U20)*-1*(K20+M20)/H20</f>
        <v/>
      </c>
      <c r="AR20" s="1">
        <f>AP20*T20</f>
        <v/>
      </c>
      <c r="AS20" s="1">
        <f>BG20+BH20</f>
        <v/>
      </c>
      <c r="AT20" s="1">
        <f>U20*(K20+M20)*-1/H20</f>
        <v/>
      </c>
      <c r="AU20" s="1">
        <f>AS20*T20</f>
        <v/>
      </c>
      <c r="AW20" s="9">
        <f>22/7</f>
        <v/>
      </c>
      <c r="AX20" s="10" t="n">
        <v>0.203205751129122</v>
      </c>
      <c r="AY20" s="10" t="n">
        <v>3.1429329</v>
      </c>
      <c r="AZ20" s="9" t="n">
        <v>0.182890835326593</v>
      </c>
      <c r="BB20" s="10">
        <f>1/H20*AX20</f>
        <v/>
      </c>
      <c r="BC20" s="10">
        <f>I20/H20*AZ20</f>
        <v/>
      </c>
      <c r="BE20" s="10">
        <f>AW20</f>
        <v/>
      </c>
      <c r="BF20" s="10">
        <f>AY20*R20</f>
        <v/>
      </c>
      <c r="BG20" s="10">
        <f>J20/H20*AZ20</f>
        <v/>
      </c>
      <c r="BH20" s="10">
        <f>(L20+N20)/H20</f>
        <v/>
      </c>
      <c r="BI20" s="10">
        <f>(K20+M20)/H20</f>
        <v/>
      </c>
      <c r="BK20" s="1">
        <f>SUM(BE20:BI20)-SUM(BB20:BC20)</f>
        <v/>
      </c>
    </row>
    <row r="21">
      <c r="B21" s="13" t="inlineStr">
        <is>
          <t>NCEN_TSC+CC90</t>
        </is>
      </c>
      <c r="C21" s="12" t="inlineStr">
        <is>
          <t>Ethane</t>
        </is>
      </c>
      <c r="D21" s="12" t="n">
        <v>0.9</v>
      </c>
      <c r="E21" s="12" t="n">
        <v>0</v>
      </c>
      <c r="F21" s="12" t="n">
        <v>0</v>
      </c>
      <c r="G21" s="12" t="n">
        <v>0.008052966438000001</v>
      </c>
      <c r="H21" s="12" t="n">
        <v>0.05310189724</v>
      </c>
      <c r="I21" s="12" t="n">
        <v>0.02270169876</v>
      </c>
      <c r="J21" s="12" t="n">
        <v>0</v>
      </c>
      <c r="K21" s="12" t="n">
        <v>0.053111287</v>
      </c>
      <c r="L21" s="12" t="n">
        <v>0.005901254</v>
      </c>
      <c r="M21" s="12" t="n"/>
      <c r="N21" s="12" t="n"/>
      <c r="O21" s="12" t="n">
        <v>106875.1697</v>
      </c>
      <c r="P21" s="12" t="n">
        <v>58496.38728</v>
      </c>
      <c r="Q21" s="12" t="n">
        <v>1.807224085</v>
      </c>
      <c r="R21" s="24" t="n">
        <v>0.2020556</v>
      </c>
      <c r="T21" s="15" t="n">
        <v>73.71884</v>
      </c>
      <c r="U21" s="15" t="n">
        <v>-6.097314</v>
      </c>
      <c r="V21" s="21" t="n">
        <v>21.9863533</v>
      </c>
      <c r="W21" s="15" t="n">
        <v>22.90669</v>
      </c>
      <c r="X21" s="15" t="n">
        <v>13.197062</v>
      </c>
      <c r="Y21" s="16" t="n">
        <v>-129.528977</v>
      </c>
      <c r="Z21" s="15" t="n">
        <v>14.953878</v>
      </c>
      <c r="AB21" s="1">
        <f>B21</f>
        <v/>
      </c>
      <c r="AC21" s="1">
        <f>C21</f>
        <v/>
      </c>
      <c r="AD21" s="11">
        <f>SUM(AG21:AO21)+AQ21+AR21</f>
        <v/>
      </c>
      <c r="AE21" s="11">
        <f>SUM(AG21:AO21)+AT21+AU21</f>
        <v/>
      </c>
      <c r="AF21" s="5">
        <f>AD21-AE21</f>
        <v/>
      </c>
      <c r="AG21" s="5">
        <f>E21/H21*X21</f>
        <v/>
      </c>
      <c r="AH21" s="1">
        <f>F21/H21*X21*-1</f>
        <v/>
      </c>
      <c r="AI21" s="1">
        <f>G21/H21*W21</f>
        <v/>
      </c>
      <c r="AJ21" s="1">
        <f>1/H21*V21</f>
        <v/>
      </c>
      <c r="AK21" s="1">
        <f>I21/H21*Z21</f>
        <v/>
      </c>
      <c r="AL21" s="1">
        <f>J21/H21*Z21*-1</f>
        <v/>
      </c>
      <c r="AM21" s="1">
        <f>O21/H21/(0.9*8760)</f>
        <v/>
      </c>
      <c r="AN21" s="1">
        <f>P21/H21/(0.9*8760)</f>
        <v/>
      </c>
      <c r="AO21" s="1">
        <f>Q21/H21</f>
        <v/>
      </c>
      <c r="AP21" s="1">
        <f>BG21+BH21+BI21</f>
        <v/>
      </c>
      <c r="AQ21" s="1">
        <f>(T21+U21)*-1*(K21+M21)/H21</f>
        <v/>
      </c>
      <c r="AR21" s="1">
        <f>AP21*T21</f>
        <v/>
      </c>
      <c r="AS21" s="1">
        <f>BG21+BH21</f>
        <v/>
      </c>
      <c r="AT21" s="1">
        <f>U21*(K21+M21)*-1/H21</f>
        <v/>
      </c>
      <c r="AU21" s="1">
        <f>AS21*T21</f>
        <v/>
      </c>
      <c r="AW21" s="9">
        <f>22/7</f>
        <v/>
      </c>
      <c r="AX21" s="10" t="n">
        <v>0.203205751129122</v>
      </c>
      <c r="AY21" s="10" t="n">
        <v>3.1429329</v>
      </c>
      <c r="AZ21" s="9" t="n">
        <v>0.182890835326593</v>
      </c>
      <c r="BB21" s="10">
        <f>1/H21*AX21</f>
        <v/>
      </c>
      <c r="BC21" s="10">
        <f>I21/H21*AZ21</f>
        <v/>
      </c>
      <c r="BE21" s="10">
        <f>AW21</f>
        <v/>
      </c>
      <c r="BF21" s="10">
        <f>AY21*R21</f>
        <v/>
      </c>
      <c r="BG21" s="10">
        <f>J21/H21*AZ21</f>
        <v/>
      </c>
      <c r="BH21" s="10">
        <f>(L21+N21)/H21</f>
        <v/>
      </c>
      <c r="BI21" s="10">
        <f>(K21+M21)/H21</f>
        <v/>
      </c>
      <c r="BK21" s="1">
        <f>SUM(BE21:BI21)-SUM(BB21:BC21)</f>
        <v/>
      </c>
    </row>
    <row r="22">
      <c r="B22" s="13" t="inlineStr">
        <is>
          <t>NCEN_TSC:H2</t>
        </is>
      </c>
      <c r="C22" s="12" t="inlineStr">
        <is>
          <t>Ethane</t>
        </is>
      </c>
      <c r="D22" s="12" t="n">
        <v>0</v>
      </c>
      <c r="E22" s="12" t="n">
        <v>0</v>
      </c>
      <c r="F22" s="12" t="n">
        <v>0.1598531434</v>
      </c>
      <c r="G22" s="12" t="n">
        <v>0</v>
      </c>
      <c r="H22" s="12" t="n">
        <v>0.05310189724</v>
      </c>
      <c r="I22" s="12" t="n">
        <v>0.1318322859</v>
      </c>
      <c r="J22" s="12" t="n">
        <v>0</v>
      </c>
      <c r="K22" s="12" t="n">
        <v>0</v>
      </c>
      <c r="L22" s="12" t="n">
        <v>0.078770441</v>
      </c>
      <c r="M22" s="12" t="n"/>
      <c r="N22" s="12" t="n"/>
      <c r="O22" s="12" t="n">
        <v>99124.32016</v>
      </c>
      <c r="P22" s="12" t="n">
        <v>54251.99777</v>
      </c>
      <c r="Q22" s="12" t="n">
        <v>1.676159756</v>
      </c>
      <c r="R22" s="24" t="n">
        <v>0.2020556</v>
      </c>
      <c r="T22" s="15" t="n">
        <v>73.71884</v>
      </c>
      <c r="U22" s="15" t="n">
        <v>-6.097314</v>
      </c>
      <c r="V22" s="21" t="n">
        <v>21.9863533</v>
      </c>
      <c r="W22" s="15" t="n">
        <v>22.90669</v>
      </c>
      <c r="X22" s="15" t="n">
        <v>13.197062</v>
      </c>
      <c r="Y22" s="16" t="n">
        <v>-129.528977</v>
      </c>
      <c r="Z22" s="15" t="n">
        <v>14.953878</v>
      </c>
      <c r="AB22" s="1">
        <f>B22</f>
        <v/>
      </c>
      <c r="AC22" s="1">
        <f>C22</f>
        <v/>
      </c>
      <c r="AD22" s="11">
        <f>SUM(AG22:AO22)+AQ22+AR22</f>
        <v/>
      </c>
      <c r="AE22" s="11">
        <f>SUM(AG22:AO22)+AT22+AU22</f>
        <v/>
      </c>
      <c r="AF22" s="5">
        <f>AD22-AE22</f>
        <v/>
      </c>
      <c r="AG22" s="5">
        <f>E22/H22*X22</f>
        <v/>
      </c>
      <c r="AH22" s="1">
        <f>F22/H22*X22*-1</f>
        <v/>
      </c>
      <c r="AI22" s="1">
        <f>G22/H22*W22</f>
        <v/>
      </c>
      <c r="AJ22" s="1">
        <f>1/H22*V22</f>
        <v/>
      </c>
      <c r="AK22" s="1">
        <f>I22/H22*Z22</f>
        <v/>
      </c>
      <c r="AL22" s="1">
        <f>J22/H22*Z22*-1</f>
        <v/>
      </c>
      <c r="AM22" s="1">
        <f>O22/H22/(0.9*8760)</f>
        <v/>
      </c>
      <c r="AN22" s="1">
        <f>P22/H22/(0.9*8760)</f>
        <v/>
      </c>
      <c r="AO22" s="1">
        <f>Q22/H22</f>
        <v/>
      </c>
      <c r="AP22" s="1">
        <f>BG22+BH22+BI22</f>
        <v/>
      </c>
      <c r="AQ22" s="1">
        <f>(T22+U22)*-1*(K22+M22)/H22</f>
        <v/>
      </c>
      <c r="AR22" s="1">
        <f>AP22*T22</f>
        <v/>
      </c>
      <c r="AS22" s="1">
        <f>BG22+BH22</f>
        <v/>
      </c>
      <c r="AT22" s="1">
        <f>U22*(K22+M22)*-1/H22</f>
        <v/>
      </c>
      <c r="AU22" s="1">
        <f>AS22*T22</f>
        <v/>
      </c>
      <c r="AW22" s="9">
        <f>22/7</f>
        <v/>
      </c>
      <c r="AX22" s="10" t="n">
        <v>0.203205751129122</v>
      </c>
      <c r="AY22" s="10" t="n">
        <v>3.1429329</v>
      </c>
      <c r="AZ22" s="9" t="n">
        <v>0.182890835326593</v>
      </c>
      <c r="BB22" s="10">
        <f>1/H22*AX22</f>
        <v/>
      </c>
      <c r="BC22" s="10">
        <f>I22/H22*AZ22</f>
        <v/>
      </c>
      <c r="BE22" s="10">
        <f>AW22</f>
        <v/>
      </c>
      <c r="BF22" s="10">
        <f>AY22*R22</f>
        <v/>
      </c>
      <c r="BG22" s="10">
        <f>J22/H22*AZ22</f>
        <v/>
      </c>
      <c r="BH22" s="10">
        <f>(L22+N22)/H22</f>
        <v/>
      </c>
      <c r="BI22" s="10">
        <f>(K22+M22)/H22</f>
        <v/>
      </c>
      <c r="BK22" s="1">
        <f>SUM(BE22:BI22)-SUM(BB22:BC22)</f>
        <v/>
      </c>
    </row>
    <row r="23">
      <c r="B23" s="13" t="inlineStr">
        <is>
          <t>NCEN_TSC+CC90:H2</t>
        </is>
      </c>
      <c r="C23" s="12" t="inlineStr">
        <is>
          <t>Ethane</t>
        </is>
      </c>
      <c r="D23" s="12" t="n">
        <v>0.9</v>
      </c>
      <c r="E23" s="12" t="n">
        <v>0</v>
      </c>
      <c r="F23" s="12" t="n">
        <v>0.1598531434</v>
      </c>
      <c r="G23" s="12" t="n">
        <v>0.009388736698</v>
      </c>
      <c r="H23" s="12" t="n">
        <v>0.05310189724</v>
      </c>
      <c r="I23" s="12" t="n">
        <v>0.1318322859</v>
      </c>
      <c r="J23" s="12" t="n">
        <v>0</v>
      </c>
      <c r="K23" s="12" t="n">
        <v>0.070893397</v>
      </c>
      <c r="L23" s="12" t="n">
        <v>0.007877044</v>
      </c>
      <c r="M23" s="12" t="n"/>
      <c r="N23" s="12" t="n"/>
      <c r="O23" s="12" t="n">
        <v>106900.9741</v>
      </c>
      <c r="P23" s="12" t="n">
        <v>58510.18581</v>
      </c>
      <c r="Q23" s="12" t="n">
        <v>1.807660423</v>
      </c>
      <c r="R23" s="24" t="n">
        <v>0.2020556</v>
      </c>
      <c r="T23" s="15" t="n">
        <v>73.71884</v>
      </c>
      <c r="U23" s="15" t="n">
        <v>-6.097314</v>
      </c>
      <c r="V23" s="21" t="n">
        <v>21.9863533</v>
      </c>
      <c r="W23" s="15" t="n">
        <v>22.90669</v>
      </c>
      <c r="X23" s="15" t="n">
        <v>13.197062</v>
      </c>
      <c r="Y23" s="16" t="n">
        <v>-129.528977</v>
      </c>
      <c r="Z23" s="15" t="n">
        <v>14.953878</v>
      </c>
      <c r="AB23" s="1">
        <f>B23</f>
        <v/>
      </c>
      <c r="AC23" s="1">
        <f>C23</f>
        <v/>
      </c>
      <c r="AD23" s="11">
        <f>SUM(AG23:AO23)+AQ23+AR23</f>
        <v/>
      </c>
      <c r="AE23" s="11">
        <f>SUM(AG23:AO23)+AT23+AU23</f>
        <v/>
      </c>
      <c r="AF23" s="5">
        <f>AD23-AE23</f>
        <v/>
      </c>
      <c r="AG23" s="5">
        <f>E23/H23*X23</f>
        <v/>
      </c>
      <c r="AH23" s="1">
        <f>F23/H23*X23*-1</f>
        <v/>
      </c>
      <c r="AI23" s="1">
        <f>G23/H23*W23</f>
        <v/>
      </c>
      <c r="AJ23" s="1">
        <f>1/H23*V23</f>
        <v/>
      </c>
      <c r="AK23" s="1">
        <f>I23/H23*Z23</f>
        <v/>
      </c>
      <c r="AL23" s="1">
        <f>J23/H23*Z23*-1</f>
        <v/>
      </c>
      <c r="AM23" s="1">
        <f>O23/H23/(0.9*8760)</f>
        <v/>
      </c>
      <c r="AN23" s="1">
        <f>P23/H23/(0.9*8760)</f>
        <v/>
      </c>
      <c r="AO23" s="1">
        <f>Q23/H23</f>
        <v/>
      </c>
      <c r="AP23" s="1">
        <f>BG23+BH23+BI23</f>
        <v/>
      </c>
      <c r="AQ23" s="1">
        <f>(T23+U23)*-1*(K23+M23)/H23</f>
        <v/>
      </c>
      <c r="AR23" s="1">
        <f>AP23*T23</f>
        <v/>
      </c>
      <c r="AS23" s="1">
        <f>BG23+BH23</f>
        <v/>
      </c>
      <c r="AT23" s="1">
        <f>U23*(K23+M23)*-1/H23</f>
        <v/>
      </c>
      <c r="AU23" s="1">
        <f>AS23*T23</f>
        <v/>
      </c>
      <c r="AW23" s="9">
        <f>22/7</f>
        <v/>
      </c>
      <c r="AX23" s="10" t="n">
        <v>0.203205751129122</v>
      </c>
      <c r="AY23" s="10" t="n">
        <v>3.1429329</v>
      </c>
      <c r="AZ23" s="9" t="n">
        <v>0.182890835326593</v>
      </c>
      <c r="BB23" s="10">
        <f>1/H23*AX23</f>
        <v/>
      </c>
      <c r="BC23" s="10">
        <f>I23/H23*AZ23</f>
        <v/>
      </c>
      <c r="BE23" s="10">
        <f>AW23</f>
        <v/>
      </c>
      <c r="BF23" s="10">
        <f>AY23*R23</f>
        <v/>
      </c>
      <c r="BG23" s="10">
        <f>J23/H23*AZ23</f>
        <v/>
      </c>
      <c r="BH23" s="10">
        <f>(L23+N23)/H23</f>
        <v/>
      </c>
      <c r="BI23" s="10">
        <f>(K23+M23)/H23</f>
        <v/>
      </c>
      <c r="BK23" s="1">
        <f>SUM(BE23:BI23)-SUM(BB23:BC23)</f>
        <v/>
      </c>
    </row>
    <row r="24">
      <c r="B24" s="13" t="inlineStr">
        <is>
          <t>NCEN_TSC+H2in</t>
        </is>
      </c>
      <c r="C24" s="12" t="inlineStr">
        <is>
          <t>Ethane</t>
        </is>
      </c>
      <c r="D24" s="12" t="n">
        <v>0</v>
      </c>
      <c r="E24" s="12" t="n">
        <v>0.02226644157</v>
      </c>
      <c r="F24" s="12" t="n">
        <v>0</v>
      </c>
      <c r="G24" s="12" t="n">
        <v>0</v>
      </c>
      <c r="H24" s="12" t="n">
        <v>0.05310189724</v>
      </c>
      <c r="I24" s="12" t="n">
        <v>0</v>
      </c>
      <c r="J24" s="12" t="n">
        <v>0</v>
      </c>
      <c r="K24" s="12" t="n">
        <v>0</v>
      </c>
      <c r="L24" s="12" t="n">
        <v>0.054902438</v>
      </c>
      <c r="M24" s="12" t="n"/>
      <c r="N24" s="12" t="n"/>
      <c r="O24" s="12" t="n">
        <v>99124.32016</v>
      </c>
      <c r="P24" s="12" t="n">
        <v>54251.99777</v>
      </c>
      <c r="Q24" s="12" t="n">
        <v>1.676159756</v>
      </c>
      <c r="R24" s="24" t="n">
        <v>0.2020556</v>
      </c>
      <c r="T24" s="15" t="n">
        <v>73.71884</v>
      </c>
      <c r="U24" s="15" t="n">
        <v>-6.097314</v>
      </c>
      <c r="V24" s="21" t="n">
        <v>21.9863533</v>
      </c>
      <c r="W24" s="15" t="n">
        <v>22.90669</v>
      </c>
      <c r="X24" s="15" t="n">
        <v>13.197062</v>
      </c>
      <c r="Y24" s="16" t="n">
        <v>-129.528977</v>
      </c>
      <c r="Z24" s="15" t="n">
        <v>14.953878</v>
      </c>
      <c r="AB24" s="1">
        <f>B24</f>
        <v/>
      </c>
      <c r="AC24" s="1">
        <f>C24</f>
        <v/>
      </c>
      <c r="AD24" s="11">
        <f>SUM(AG24:AO24)+AQ24+AR24</f>
        <v/>
      </c>
      <c r="AE24" s="11">
        <f>SUM(AG24:AO24)+AT24+AU24</f>
        <v/>
      </c>
      <c r="AF24" s="5">
        <f>AD24-AE24</f>
        <v/>
      </c>
      <c r="AG24" s="5">
        <f>E24/H24*X24</f>
        <v/>
      </c>
      <c r="AH24" s="1">
        <f>F24/H24*X24*-1</f>
        <v/>
      </c>
      <c r="AI24" s="1">
        <f>G24/H24*W24</f>
        <v/>
      </c>
      <c r="AJ24" s="1">
        <f>1/H24*V24</f>
        <v/>
      </c>
      <c r="AK24" s="1">
        <f>I24/H24*Z24</f>
        <v/>
      </c>
      <c r="AL24" s="1">
        <f>J24/H24*Z24*-1</f>
        <v/>
      </c>
      <c r="AM24" s="1">
        <f>O24/H24/(0.9*8760)</f>
        <v/>
      </c>
      <c r="AN24" s="1">
        <f>P24/H24/(0.9*8760)</f>
        <v/>
      </c>
      <c r="AO24" s="1">
        <f>Q24/H24</f>
        <v/>
      </c>
      <c r="AP24" s="1">
        <f>BG24+BH24+BI24</f>
        <v/>
      </c>
      <c r="AQ24" s="1">
        <f>(T24+U24)*-1*(K24+M24)/H24</f>
        <v/>
      </c>
      <c r="AR24" s="1">
        <f>AP24*T24</f>
        <v/>
      </c>
      <c r="AS24" s="1">
        <f>BG24+BH24</f>
        <v/>
      </c>
      <c r="AT24" s="1">
        <f>U24*(K24+M24)*-1/H24</f>
        <v/>
      </c>
      <c r="AU24" s="1">
        <f>AS24*T24</f>
        <v/>
      </c>
      <c r="AW24" s="9">
        <f>22/7</f>
        <v/>
      </c>
      <c r="AX24" s="10" t="n">
        <v>0.203205751129122</v>
      </c>
      <c r="AY24" s="10" t="n">
        <v>3.1429329</v>
      </c>
      <c r="AZ24" s="9" t="n">
        <v>0.182890835326593</v>
      </c>
      <c r="BB24" s="10">
        <f>1/H24*AX24</f>
        <v/>
      </c>
      <c r="BC24" s="10">
        <f>I24/H24*AZ24</f>
        <v/>
      </c>
      <c r="BE24" s="10">
        <f>AW24</f>
        <v/>
      </c>
      <c r="BF24" s="10">
        <f>AY24*R24</f>
        <v/>
      </c>
      <c r="BG24" s="10">
        <f>J24/H24*AZ24</f>
        <v/>
      </c>
      <c r="BH24" s="10">
        <f>(L24+N24)/H24</f>
        <v/>
      </c>
      <c r="BI24" s="10">
        <f>(K24+M24)/H24</f>
        <v/>
      </c>
      <c r="BK24" s="1">
        <f>SUM(BE24:BI24)-SUM(BB24:BC24)</f>
        <v/>
      </c>
    </row>
    <row r="25">
      <c r="B25" s="13" t="inlineStr">
        <is>
          <t>NCEN_TSC+H2in:CH4</t>
        </is>
      </c>
      <c r="C25" s="12" t="inlineStr">
        <is>
          <t>Ethane</t>
        </is>
      </c>
      <c r="D25" s="12" t="n">
        <v>0</v>
      </c>
      <c r="E25" s="12" t="n">
        <v>0.1375867019</v>
      </c>
      <c r="F25" s="12" t="n">
        <v>0</v>
      </c>
      <c r="G25" s="12" t="n">
        <v>0</v>
      </c>
      <c r="H25" s="12" t="n">
        <v>0.05310189724</v>
      </c>
      <c r="I25" s="12" t="n">
        <v>0</v>
      </c>
      <c r="J25" s="12" t="n">
        <v>0.1181424966</v>
      </c>
      <c r="K25" s="12" t="n">
        <v>0</v>
      </c>
      <c r="L25" s="12" t="n">
        <v>0.033512947</v>
      </c>
      <c r="M25" s="12" t="n"/>
      <c r="N25" s="12" t="n"/>
      <c r="O25" s="12" t="n">
        <v>99124.32016</v>
      </c>
      <c r="P25" s="12" t="n">
        <v>54251.99777</v>
      </c>
      <c r="Q25" s="12" t="n">
        <v>1.676159756</v>
      </c>
      <c r="R25" s="24" t="n">
        <v>0.2020556</v>
      </c>
      <c r="T25" s="15" t="n">
        <v>73.71884</v>
      </c>
      <c r="U25" s="15" t="n">
        <v>-6.097314</v>
      </c>
      <c r="V25" s="21" t="n">
        <v>21.9863533</v>
      </c>
      <c r="W25" s="15" t="n">
        <v>22.90669</v>
      </c>
      <c r="X25" s="15" t="n">
        <v>13.197062</v>
      </c>
      <c r="Y25" s="16" t="n">
        <v>-129.528977</v>
      </c>
      <c r="Z25" s="15" t="n">
        <v>14.953878</v>
      </c>
      <c r="AB25" s="1">
        <f>B25</f>
        <v/>
      </c>
      <c r="AC25" s="1">
        <f>C25</f>
        <v/>
      </c>
      <c r="AD25" s="11">
        <f>SUM(AG25:AO25)+AQ25+AR25</f>
        <v/>
      </c>
      <c r="AE25" s="11">
        <f>SUM(AG25:AO25)+AT25+AU25</f>
        <v/>
      </c>
      <c r="AF25" s="5">
        <f>AD25-AE25</f>
        <v/>
      </c>
      <c r="AG25" s="5">
        <f>E25/H25*X25</f>
        <v/>
      </c>
      <c r="AH25" s="1">
        <f>F25/H25*X25*-1</f>
        <v/>
      </c>
      <c r="AI25" s="1">
        <f>G25/H25*W25</f>
        <v/>
      </c>
      <c r="AJ25" s="1">
        <f>1/H25*V25</f>
        <v/>
      </c>
      <c r="AK25" s="1">
        <f>I25/H25*Z25</f>
        <v/>
      </c>
      <c r="AL25" s="1">
        <f>J25/H25*Z25*-1</f>
        <v/>
      </c>
      <c r="AM25" s="1">
        <f>O25/H25/(0.9*8760)</f>
        <v/>
      </c>
      <c r="AN25" s="1">
        <f>P25/H25/(0.9*8760)</f>
        <v/>
      </c>
      <c r="AO25" s="1">
        <f>Q25/H25</f>
        <v/>
      </c>
      <c r="AP25" s="1">
        <f>BG25+BH25+BI25</f>
        <v/>
      </c>
      <c r="AQ25" s="1">
        <f>(T25+U25)*-1*(K25+M25)/H25</f>
        <v/>
      </c>
      <c r="AR25" s="1">
        <f>AP25*T25</f>
        <v/>
      </c>
      <c r="AS25" s="1">
        <f>BG25+BH25</f>
        <v/>
      </c>
      <c r="AT25" s="1">
        <f>U25*(K25+M25)*-1/H25</f>
        <v/>
      </c>
      <c r="AU25" s="1">
        <f>AS25*T25</f>
        <v/>
      </c>
      <c r="AW25" s="9">
        <f>22/7</f>
        <v/>
      </c>
      <c r="AX25" s="10" t="n">
        <v>0.203205751129122</v>
      </c>
      <c r="AY25" s="10" t="n">
        <v>3.1429329</v>
      </c>
      <c r="AZ25" s="9" t="n">
        <v>0.182890835326593</v>
      </c>
      <c r="BB25" s="10">
        <f>1/H25*AX25</f>
        <v/>
      </c>
      <c r="BC25" s="10">
        <f>I25/H25*AZ25</f>
        <v/>
      </c>
      <c r="BE25" s="10">
        <f>AW25</f>
        <v/>
      </c>
      <c r="BF25" s="10">
        <f>AY25*R25</f>
        <v/>
      </c>
      <c r="BG25" s="10">
        <f>J25/H25*AZ25</f>
        <v/>
      </c>
      <c r="BH25" s="10">
        <f>(L25+N25)/H25</f>
        <v/>
      </c>
      <c r="BI25" s="10">
        <f>(K25+M25)/H25</f>
        <v/>
      </c>
      <c r="BK25" s="1">
        <f>SUM(BE25:BI25)-SUM(BB25:BC25)</f>
        <v/>
      </c>
    </row>
    <row r="26">
      <c r="B26" s="13" t="inlineStr">
        <is>
          <t>CEN_TSC+CC90</t>
        </is>
      </c>
      <c r="C26" s="12" t="inlineStr">
        <is>
          <t>Ethane</t>
        </is>
      </c>
      <c r="D26" s="12" t="n">
        <v>0.9</v>
      </c>
      <c r="E26" s="12" t="n">
        <v>0</v>
      </c>
      <c r="F26" s="12" t="n">
        <v>0</v>
      </c>
      <c r="G26" s="12" t="n">
        <v>0.008052966438000001</v>
      </c>
      <c r="H26" s="12" t="n">
        <v>0.05310189724</v>
      </c>
      <c r="I26" s="12" t="n">
        <v>0.02270169876</v>
      </c>
      <c r="J26" s="12" t="n">
        <v>0</v>
      </c>
      <c r="K26" s="12" t="n">
        <v>0.053111287</v>
      </c>
      <c r="L26" s="12" t="n">
        <v>0.005901254</v>
      </c>
      <c r="M26" s="12" t="n"/>
      <c r="N26" s="12" t="n"/>
      <c r="O26" s="12" t="n">
        <v>106875.1697</v>
      </c>
      <c r="P26" s="12" t="n">
        <v>58496.38728</v>
      </c>
      <c r="Q26" s="12" t="n">
        <v>1.807224085</v>
      </c>
      <c r="R26" s="24" t="n">
        <v>0.2020556</v>
      </c>
      <c r="T26" s="15" t="n">
        <v>73.71884</v>
      </c>
      <c r="U26" s="15" t="n">
        <v>-6.199254</v>
      </c>
      <c r="V26" s="21" t="n">
        <v>21.9863533</v>
      </c>
      <c r="W26" s="15" t="n">
        <v>22.465142</v>
      </c>
      <c r="X26" s="15" t="n">
        <v>13.285634</v>
      </c>
      <c r="Y26" s="16" t="n">
        <v>-129.681448</v>
      </c>
      <c r="Z26" s="15" t="n">
        <v>15.046749</v>
      </c>
      <c r="AB26" s="1">
        <f>B26</f>
        <v/>
      </c>
      <c r="AC26" s="1">
        <f>C26</f>
        <v/>
      </c>
      <c r="AD26" s="11">
        <f>SUM(AG26:AO26)+AQ26+AR26</f>
        <v/>
      </c>
      <c r="AE26" s="11">
        <f>SUM(AG26:AO26)+AT26+AU26</f>
        <v/>
      </c>
      <c r="AF26" s="5">
        <f>AD26-AE26</f>
        <v/>
      </c>
      <c r="AG26" s="5">
        <f>E26/H26*X26</f>
        <v/>
      </c>
      <c r="AH26" s="1">
        <f>F26/H26*X26*-1</f>
        <v/>
      </c>
      <c r="AI26" s="1">
        <f>G26/H26*W26</f>
        <v/>
      </c>
      <c r="AJ26" s="1">
        <f>1/H26*V26</f>
        <v/>
      </c>
      <c r="AK26" s="1">
        <f>I26/H26*Z26</f>
        <v/>
      </c>
      <c r="AL26" s="1">
        <f>J26/H26*Z26*-1</f>
        <v/>
      </c>
      <c r="AM26" s="1">
        <f>O26/H26/(0.9*8760)</f>
        <v/>
      </c>
      <c r="AN26" s="1">
        <f>P26/H26/(0.9*8760)</f>
        <v/>
      </c>
      <c r="AO26" s="1">
        <f>Q26/H26</f>
        <v/>
      </c>
      <c r="AP26" s="1">
        <f>BG26+BH26+BI26</f>
        <v/>
      </c>
      <c r="AQ26" s="1">
        <f>(T26+U26)*-1*(K26+M26)/H26</f>
        <v/>
      </c>
      <c r="AR26" s="1">
        <f>AP26*T26</f>
        <v/>
      </c>
      <c r="AS26" s="1">
        <f>BG26+BH26</f>
        <v/>
      </c>
      <c r="AT26" s="1">
        <f>U26*(K26+M26)*-1/H26</f>
        <v/>
      </c>
      <c r="AU26" s="1">
        <f>AS26*T26</f>
        <v/>
      </c>
      <c r="AW26" s="9">
        <f>22/7</f>
        <v/>
      </c>
      <c r="AX26" s="10" t="n">
        <v>0.203205751129122</v>
      </c>
      <c r="AY26" s="10" t="n">
        <v>3.1429329</v>
      </c>
      <c r="AZ26" s="9" t="n">
        <v>0.182890835326593</v>
      </c>
      <c r="BB26" s="10">
        <f>1/H26*AX26</f>
        <v/>
      </c>
      <c r="BC26" s="10">
        <f>I26/H26*AZ26</f>
        <v/>
      </c>
      <c r="BE26" s="10">
        <f>AW26</f>
        <v/>
      </c>
      <c r="BF26" s="10">
        <f>AY26*R26</f>
        <v/>
      </c>
      <c r="BG26" s="10">
        <f>J26/H26*AZ26</f>
        <v/>
      </c>
      <c r="BH26" s="10">
        <f>(L26+N26)/H26</f>
        <v/>
      </c>
      <c r="BI26" s="10">
        <f>(K26+M26)/H26</f>
        <v/>
      </c>
      <c r="BK26" s="1">
        <f>SUM(BE26:BI26)-SUM(BB26:BC26)</f>
        <v/>
      </c>
    </row>
    <row r="27">
      <c r="B27" s="13" t="inlineStr">
        <is>
          <t>CEN_TSC:H2</t>
        </is>
      </c>
      <c r="C27" s="12" t="inlineStr">
        <is>
          <t>Ethane</t>
        </is>
      </c>
      <c r="D27" s="12" t="n">
        <v>0</v>
      </c>
      <c r="E27" s="12" t="n">
        <v>0</v>
      </c>
      <c r="F27" s="12" t="n">
        <v>0.1598531434</v>
      </c>
      <c r="G27" s="12" t="n">
        <v>0</v>
      </c>
      <c r="H27" s="12" t="n">
        <v>0.05310189724</v>
      </c>
      <c r="I27" s="12" t="n">
        <v>0.1318322859</v>
      </c>
      <c r="J27" s="12" t="n">
        <v>0</v>
      </c>
      <c r="K27" s="12" t="n">
        <v>0</v>
      </c>
      <c r="L27" s="12" t="n">
        <v>0.078770441</v>
      </c>
      <c r="M27" s="12" t="n"/>
      <c r="N27" s="12" t="n"/>
      <c r="O27" s="12" t="n">
        <v>99124.32016</v>
      </c>
      <c r="P27" s="12" t="n">
        <v>54251.99777</v>
      </c>
      <c r="Q27" s="12" t="n">
        <v>1.676159756</v>
      </c>
      <c r="R27" s="24" t="n">
        <v>0.2020556</v>
      </c>
      <c r="T27" s="15" t="n">
        <v>73.71884</v>
      </c>
      <c r="U27" s="15" t="n">
        <v>-6.199254</v>
      </c>
      <c r="V27" s="21" t="n">
        <v>21.9863533</v>
      </c>
      <c r="W27" s="15" t="n">
        <v>22.465142</v>
      </c>
      <c r="X27" s="15" t="n">
        <v>13.285634</v>
      </c>
      <c r="Y27" s="16" t="n">
        <v>-129.681448</v>
      </c>
      <c r="Z27" s="15" t="n">
        <v>15.046749</v>
      </c>
      <c r="AB27" s="1">
        <f>B27</f>
        <v/>
      </c>
      <c r="AC27" s="1">
        <f>C27</f>
        <v/>
      </c>
      <c r="AD27" s="11">
        <f>SUM(AG27:AO27)+AQ27+AR27</f>
        <v/>
      </c>
      <c r="AE27" s="11">
        <f>SUM(AG27:AO27)+AT27+AU27</f>
        <v/>
      </c>
      <c r="AF27" s="5">
        <f>AD27-AE27</f>
        <v/>
      </c>
      <c r="AG27" s="5">
        <f>E27/H27*X27</f>
        <v/>
      </c>
      <c r="AH27" s="1">
        <f>F27/H27*X27*-1</f>
        <v/>
      </c>
      <c r="AI27" s="1">
        <f>G27/H27*W27</f>
        <v/>
      </c>
      <c r="AJ27" s="1">
        <f>1/H27*V27</f>
        <v/>
      </c>
      <c r="AK27" s="1">
        <f>I27/H27*Z27</f>
        <v/>
      </c>
      <c r="AL27" s="1">
        <f>J27/H27*Z27*-1</f>
        <v/>
      </c>
      <c r="AM27" s="1">
        <f>O27/H27/(0.9*8760)</f>
        <v/>
      </c>
      <c r="AN27" s="1">
        <f>P27/H27/(0.9*8760)</f>
        <v/>
      </c>
      <c r="AO27" s="1">
        <f>Q27/H27</f>
        <v/>
      </c>
      <c r="AP27" s="1">
        <f>BG27+BH27+BI27</f>
        <v/>
      </c>
      <c r="AQ27" s="1">
        <f>(T27+U27)*-1*(K27+M27)/H27</f>
        <v/>
      </c>
      <c r="AR27" s="1">
        <f>AP27*T27</f>
        <v/>
      </c>
      <c r="AS27" s="1">
        <f>BG27+BH27</f>
        <v/>
      </c>
      <c r="AT27" s="1">
        <f>U27*(K27+M27)*-1/H27</f>
        <v/>
      </c>
      <c r="AU27" s="1">
        <f>AS27*T27</f>
        <v/>
      </c>
      <c r="AW27" s="9">
        <f>22/7</f>
        <v/>
      </c>
      <c r="AX27" s="10" t="n">
        <v>0.203205751129122</v>
      </c>
      <c r="AY27" s="10" t="n">
        <v>3.1429329</v>
      </c>
      <c r="AZ27" s="9" t="n">
        <v>0.182890835326593</v>
      </c>
      <c r="BB27" s="10">
        <f>1/H27*AX27</f>
        <v/>
      </c>
      <c r="BC27" s="10">
        <f>I27/H27*AZ27</f>
        <v/>
      </c>
      <c r="BE27" s="10">
        <f>AW27</f>
        <v/>
      </c>
      <c r="BF27" s="10">
        <f>AY27*R27</f>
        <v/>
      </c>
      <c r="BG27" s="10">
        <f>J27/H27*AZ27</f>
        <v/>
      </c>
      <c r="BH27" s="10">
        <f>(L27+N27)/H27</f>
        <v/>
      </c>
      <c r="BI27" s="10">
        <f>(K27+M27)/H27</f>
        <v/>
      </c>
      <c r="BK27" s="1">
        <f>SUM(BE27:BI27)-SUM(BB27:BC27)</f>
        <v/>
      </c>
    </row>
    <row r="28">
      <c r="B28" s="13" t="inlineStr">
        <is>
          <t>CEN_TSC+CC90:H2</t>
        </is>
      </c>
      <c r="C28" s="12" t="inlineStr">
        <is>
          <t>Ethane</t>
        </is>
      </c>
      <c r="D28" s="12" t="n">
        <v>0.9</v>
      </c>
      <c r="E28" s="12" t="n">
        <v>0</v>
      </c>
      <c r="F28" s="12" t="n">
        <v>0.1598531434</v>
      </c>
      <c r="G28" s="12" t="n">
        <v>0.009388736698</v>
      </c>
      <c r="H28" s="12" t="n">
        <v>0.05310189724</v>
      </c>
      <c r="I28" s="12" t="n">
        <v>0.1318322859</v>
      </c>
      <c r="J28" s="12" t="n">
        <v>0</v>
      </c>
      <c r="K28" s="12" t="n">
        <v>0.070893397</v>
      </c>
      <c r="L28" s="12" t="n">
        <v>0.007877044</v>
      </c>
      <c r="M28" s="12" t="n"/>
      <c r="N28" s="12" t="n"/>
      <c r="O28" s="12" t="n">
        <v>106900.9741</v>
      </c>
      <c r="P28" s="12" t="n">
        <v>58510.18581</v>
      </c>
      <c r="Q28" s="12" t="n">
        <v>1.807660423</v>
      </c>
      <c r="R28" s="24" t="n">
        <v>0.2020556</v>
      </c>
      <c r="T28" s="15" t="n">
        <v>73.71884</v>
      </c>
      <c r="U28" s="15" t="n">
        <v>-6.199254</v>
      </c>
      <c r="V28" s="21" t="n">
        <v>21.9863533</v>
      </c>
      <c r="W28" s="15" t="n">
        <v>22.465142</v>
      </c>
      <c r="X28" s="15" t="n">
        <v>13.285634</v>
      </c>
      <c r="Y28" s="16" t="n">
        <v>-129.681448</v>
      </c>
      <c r="Z28" s="15" t="n">
        <v>15.046749</v>
      </c>
      <c r="AB28" s="1">
        <f>B28</f>
        <v/>
      </c>
      <c r="AC28" s="1">
        <f>C28</f>
        <v/>
      </c>
      <c r="AD28" s="11">
        <f>SUM(AG28:AO28)+AQ28+AR28</f>
        <v/>
      </c>
      <c r="AE28" s="11">
        <f>SUM(AG28:AO28)+AT28+AU28</f>
        <v/>
      </c>
      <c r="AF28" s="5">
        <f>AD28-AE28</f>
        <v/>
      </c>
      <c r="AG28" s="5">
        <f>E28/H28*X28</f>
        <v/>
      </c>
      <c r="AH28" s="1">
        <f>F28/H28*X28*-1</f>
        <v/>
      </c>
      <c r="AI28" s="1">
        <f>G28/H28*W28</f>
        <v/>
      </c>
      <c r="AJ28" s="1">
        <f>1/H28*V28</f>
        <v/>
      </c>
      <c r="AK28" s="1">
        <f>I28/H28*Z28</f>
        <v/>
      </c>
      <c r="AL28" s="1">
        <f>J28/H28*Z28*-1</f>
        <v/>
      </c>
      <c r="AM28" s="1">
        <f>O28/H28/(0.9*8760)</f>
        <v/>
      </c>
      <c r="AN28" s="1">
        <f>P28/H28/(0.9*8760)</f>
        <v/>
      </c>
      <c r="AO28" s="1">
        <f>Q28/H28</f>
        <v/>
      </c>
      <c r="AP28" s="1">
        <f>BG28+BH28+BI28</f>
        <v/>
      </c>
      <c r="AQ28" s="1">
        <f>(T28+U28)*-1*(K28+M28)/H28</f>
        <v/>
      </c>
      <c r="AR28" s="1">
        <f>AP28*T28</f>
        <v/>
      </c>
      <c r="AS28" s="1">
        <f>BG28+BH28</f>
        <v/>
      </c>
      <c r="AT28" s="1">
        <f>U28*(K28+M28)*-1/H28</f>
        <v/>
      </c>
      <c r="AU28" s="1">
        <f>AS28*T28</f>
        <v/>
      </c>
      <c r="AW28" s="9">
        <f>22/7</f>
        <v/>
      </c>
      <c r="AX28" s="10" t="n">
        <v>0.203205751129122</v>
      </c>
      <c r="AY28" s="10" t="n">
        <v>3.1429329</v>
      </c>
      <c r="AZ28" s="9" t="n">
        <v>0.182890835326593</v>
      </c>
      <c r="BB28" s="10">
        <f>1/H28*AX28</f>
        <v/>
      </c>
      <c r="BC28" s="10">
        <f>I28/H28*AZ28</f>
        <v/>
      </c>
      <c r="BE28" s="10">
        <f>AW28</f>
        <v/>
      </c>
      <c r="BF28" s="10">
        <f>AY28*R28</f>
        <v/>
      </c>
      <c r="BG28" s="10">
        <f>J28/H28*AZ28</f>
        <v/>
      </c>
      <c r="BH28" s="10">
        <f>(L28+N28)/H28</f>
        <v/>
      </c>
      <c r="BI28" s="10">
        <f>(K28+M28)/H28</f>
        <v/>
      </c>
      <c r="BK28" s="1">
        <f>SUM(BE28:BI28)-SUM(BB28:BC28)</f>
        <v/>
      </c>
    </row>
    <row r="29">
      <c r="B29" s="13" t="inlineStr">
        <is>
          <t>CEN_TSC+H2in</t>
        </is>
      </c>
      <c r="C29" s="12" t="inlineStr">
        <is>
          <t>Ethane</t>
        </is>
      </c>
      <c r="D29" s="12" t="n">
        <v>0</v>
      </c>
      <c r="E29" s="12" t="n">
        <v>0.02226644157</v>
      </c>
      <c r="F29" s="12" t="n">
        <v>0</v>
      </c>
      <c r="G29" s="12" t="n">
        <v>0</v>
      </c>
      <c r="H29" s="12" t="n">
        <v>0.05310189724</v>
      </c>
      <c r="I29" s="12" t="n">
        <v>0</v>
      </c>
      <c r="J29" s="12" t="n">
        <v>0</v>
      </c>
      <c r="K29" s="12" t="n">
        <v>0</v>
      </c>
      <c r="L29" s="12" t="n">
        <v>0.054902438</v>
      </c>
      <c r="M29" s="12" t="n"/>
      <c r="N29" s="12" t="n"/>
      <c r="O29" s="12" t="n">
        <v>99124.32016</v>
      </c>
      <c r="P29" s="12" t="n">
        <v>54251.99777</v>
      </c>
      <c r="Q29" s="12" t="n">
        <v>1.676159756</v>
      </c>
      <c r="R29" s="24" t="n">
        <v>0.2020556</v>
      </c>
      <c r="T29" s="15" t="n">
        <v>73.71884</v>
      </c>
      <c r="U29" s="15" t="n">
        <v>-6.199254</v>
      </c>
      <c r="V29" s="21" t="n">
        <v>21.9863533</v>
      </c>
      <c r="W29" s="15" t="n">
        <v>22.465142</v>
      </c>
      <c r="X29" s="15" t="n">
        <v>13.285634</v>
      </c>
      <c r="Y29" s="16" t="n">
        <v>-129.681448</v>
      </c>
      <c r="Z29" s="15" t="n">
        <v>15.046749</v>
      </c>
      <c r="AB29" s="1">
        <f>B29</f>
        <v/>
      </c>
      <c r="AC29" s="1">
        <f>C29</f>
        <v/>
      </c>
      <c r="AD29" s="11">
        <f>SUM(AG29:AO29)+AQ29+AR29</f>
        <v/>
      </c>
      <c r="AE29" s="11">
        <f>SUM(AG29:AO29)+AT29+AU29</f>
        <v/>
      </c>
      <c r="AF29" s="5">
        <f>AD29-AE29</f>
        <v/>
      </c>
      <c r="AG29" s="5">
        <f>E29/H29*X29</f>
        <v/>
      </c>
      <c r="AH29" s="1">
        <f>F29/H29*X29*-1</f>
        <v/>
      </c>
      <c r="AI29" s="1">
        <f>G29/H29*W29</f>
        <v/>
      </c>
      <c r="AJ29" s="1">
        <f>1/H29*V29</f>
        <v/>
      </c>
      <c r="AK29" s="1">
        <f>I29/H29*Z29</f>
        <v/>
      </c>
      <c r="AL29" s="1">
        <f>J29/H29*Z29*-1</f>
        <v/>
      </c>
      <c r="AM29" s="1">
        <f>O29/H29/(0.9*8760)</f>
        <v/>
      </c>
      <c r="AN29" s="1">
        <f>P29/H29/(0.9*8760)</f>
        <v/>
      </c>
      <c r="AO29" s="1">
        <f>Q29/H29</f>
        <v/>
      </c>
      <c r="AP29" s="1">
        <f>BG29+BH29+BI29</f>
        <v/>
      </c>
      <c r="AQ29" s="1">
        <f>(T29+U29)*-1*(K29+M29)/H29</f>
        <v/>
      </c>
      <c r="AR29" s="1">
        <f>AP29*T29</f>
        <v/>
      </c>
      <c r="AS29" s="1">
        <f>BG29+BH29</f>
        <v/>
      </c>
      <c r="AT29" s="1">
        <f>U29*(K29+M29)*-1/H29</f>
        <v/>
      </c>
      <c r="AU29" s="1">
        <f>AS29*T29</f>
        <v/>
      </c>
      <c r="AW29" s="9">
        <f>22/7</f>
        <v/>
      </c>
      <c r="AX29" s="10" t="n">
        <v>0.203205751129122</v>
      </c>
      <c r="AY29" s="10" t="n">
        <v>3.1429329</v>
      </c>
      <c r="AZ29" s="9" t="n">
        <v>0.182890835326593</v>
      </c>
      <c r="BB29" s="10">
        <f>1/H29*AX29</f>
        <v/>
      </c>
      <c r="BC29" s="10">
        <f>I29/H29*AZ29</f>
        <v/>
      </c>
      <c r="BE29" s="10">
        <f>AW29</f>
        <v/>
      </c>
      <c r="BF29" s="10">
        <f>AY29*R29</f>
        <v/>
      </c>
      <c r="BG29" s="10">
        <f>J29/H29*AZ29</f>
        <v/>
      </c>
      <c r="BH29" s="10">
        <f>(L29+N29)/H29</f>
        <v/>
      </c>
      <c r="BI29" s="10">
        <f>(K29+M29)/H29</f>
        <v/>
      </c>
      <c r="BK29" s="1">
        <f>SUM(BE29:BI29)-SUM(BB29:BC29)</f>
        <v/>
      </c>
    </row>
    <row r="30">
      <c r="B30" s="13" t="inlineStr">
        <is>
          <t>CEN_TSC+H2in:CH4</t>
        </is>
      </c>
      <c r="C30" s="12" t="inlineStr">
        <is>
          <t>Ethane</t>
        </is>
      </c>
      <c r="D30" s="12" t="n">
        <v>0</v>
      </c>
      <c r="E30" s="12" t="n">
        <v>0.1375867019</v>
      </c>
      <c r="F30" s="12" t="n">
        <v>0</v>
      </c>
      <c r="G30" s="12" t="n">
        <v>0</v>
      </c>
      <c r="H30" s="12" t="n">
        <v>0.05310189724</v>
      </c>
      <c r="I30" s="12" t="n">
        <v>0</v>
      </c>
      <c r="J30" s="12" t="n">
        <v>0.1181424966</v>
      </c>
      <c r="K30" s="12" t="n">
        <v>0</v>
      </c>
      <c r="L30" s="12" t="n">
        <v>0.033512947</v>
      </c>
      <c r="M30" s="12" t="n"/>
      <c r="N30" s="12" t="n"/>
      <c r="O30" s="12" t="n">
        <v>99124.32016</v>
      </c>
      <c r="P30" s="12" t="n">
        <v>54251.99777</v>
      </c>
      <c r="Q30" s="12" t="n">
        <v>1.676159756</v>
      </c>
      <c r="R30" s="24" t="n">
        <v>0.2020556</v>
      </c>
      <c r="T30" s="15" t="n">
        <v>73.71884</v>
      </c>
      <c r="U30" s="15" t="n">
        <v>-6.199254</v>
      </c>
      <c r="V30" s="21" t="n">
        <v>21.9863533</v>
      </c>
      <c r="W30" s="15" t="n">
        <v>22.465142</v>
      </c>
      <c r="X30" s="15" t="n">
        <v>13.285634</v>
      </c>
      <c r="Y30" s="16" t="n">
        <v>-129.681448</v>
      </c>
      <c r="Z30" s="15" t="n">
        <v>15.046749</v>
      </c>
      <c r="AB30" s="1">
        <f>B30</f>
        <v/>
      </c>
      <c r="AC30" s="1">
        <f>C30</f>
        <v/>
      </c>
      <c r="AD30" s="11">
        <f>SUM(AG30:AO30)+AQ30+AR30</f>
        <v/>
      </c>
      <c r="AE30" s="11">
        <f>SUM(AG30:AO30)+AT30+AU30</f>
        <v/>
      </c>
      <c r="AF30" s="5">
        <f>AD30-AE30</f>
        <v/>
      </c>
      <c r="AG30" s="5">
        <f>E30/H30*X30</f>
        <v/>
      </c>
      <c r="AH30" s="1">
        <f>F30/H30*X30*-1</f>
        <v/>
      </c>
      <c r="AI30" s="1">
        <f>G30/H30*W30</f>
        <v/>
      </c>
      <c r="AJ30" s="1">
        <f>1/H30*V30</f>
        <v/>
      </c>
      <c r="AK30" s="1">
        <f>I30/H30*Z30</f>
        <v/>
      </c>
      <c r="AL30" s="1">
        <f>J30/H30*Z30*-1</f>
        <v/>
      </c>
      <c r="AM30" s="1">
        <f>O30/H30/(0.9*8760)</f>
        <v/>
      </c>
      <c r="AN30" s="1">
        <f>P30/H30/(0.9*8760)</f>
        <v/>
      </c>
      <c r="AO30" s="1">
        <f>Q30/H30</f>
        <v/>
      </c>
      <c r="AP30" s="1">
        <f>BG30+BH30+BI30</f>
        <v/>
      </c>
      <c r="AQ30" s="1">
        <f>(T30+U30)*-1*(K30+M30)/H30</f>
        <v/>
      </c>
      <c r="AR30" s="1">
        <f>AP30*T30</f>
        <v/>
      </c>
      <c r="AS30" s="1">
        <f>BG30+BH30</f>
        <v/>
      </c>
      <c r="AT30" s="1">
        <f>U30*(K30+M30)*-1/H30</f>
        <v/>
      </c>
      <c r="AU30" s="1">
        <f>AS30*T30</f>
        <v/>
      </c>
      <c r="AW30" s="9">
        <f>22/7</f>
        <v/>
      </c>
      <c r="AX30" s="10" t="n">
        <v>0.203205751129122</v>
      </c>
      <c r="AY30" s="10" t="n">
        <v>3.1429329</v>
      </c>
      <c r="AZ30" s="9" t="n">
        <v>0.182890835326593</v>
      </c>
      <c r="BB30" s="10">
        <f>1/H30*AX30</f>
        <v/>
      </c>
      <c r="BC30" s="10">
        <f>I30/H30*AZ30</f>
        <v/>
      </c>
      <c r="BE30" s="10">
        <f>AW30</f>
        <v/>
      </c>
      <c r="BF30" s="10">
        <f>AY30*R30</f>
        <v/>
      </c>
      <c r="BG30" s="10">
        <f>J30/H30*AZ30</f>
        <v/>
      </c>
      <c r="BH30" s="10">
        <f>(L30+N30)/H30</f>
        <v/>
      </c>
      <c r="BI30" s="10">
        <f>(K30+M30)/H30</f>
        <v/>
      </c>
      <c r="BK30" s="1">
        <f>SUM(BE30:BI30)-SUM(BB30:BC30)</f>
        <v/>
      </c>
    </row>
    <row r="31">
      <c r="B31" s="13" t="inlineStr">
        <is>
          <t>SE_TSC+CC90</t>
        </is>
      </c>
      <c r="C31" s="12" t="inlineStr">
        <is>
          <t>Ethane</t>
        </is>
      </c>
      <c r="D31" s="12" t="n">
        <v>0.9</v>
      </c>
      <c r="E31" s="12" t="n">
        <v>0</v>
      </c>
      <c r="F31" s="12" t="n">
        <v>0</v>
      </c>
      <c r="G31" s="12" t="n">
        <v>0.008052966438000001</v>
      </c>
      <c r="H31" s="12" t="n">
        <v>0.05310189724</v>
      </c>
      <c r="I31" s="12" t="n">
        <v>0.02270169876</v>
      </c>
      <c r="J31" s="12" t="n">
        <v>0</v>
      </c>
      <c r="K31" s="12" t="n">
        <v>0.053111287</v>
      </c>
      <c r="L31" s="12" t="n">
        <v>0.005901254</v>
      </c>
      <c r="M31" s="12" t="n"/>
      <c r="N31" s="12" t="n"/>
      <c r="O31" s="12" t="n">
        <v>106875.1697</v>
      </c>
      <c r="P31" s="12" t="n">
        <v>58496.38728</v>
      </c>
      <c r="Q31" s="12" t="n">
        <v>1.807224085</v>
      </c>
      <c r="R31" s="24" t="n">
        <v>0.2020556</v>
      </c>
      <c r="T31" s="15" t="n">
        <v>73.71884</v>
      </c>
      <c r="U31" s="15" t="n">
        <v>-6.091002</v>
      </c>
      <c r="V31" s="21" t="n">
        <v>21.9863533</v>
      </c>
      <c r="W31" s="15" t="n">
        <v>21.266241</v>
      </c>
      <c r="X31" s="15" t="n">
        <v>7.267779</v>
      </c>
      <c r="Y31" s="16" t="n">
        <v>-128.077631</v>
      </c>
      <c r="Z31" s="15" t="n">
        <v>7.96358</v>
      </c>
      <c r="AB31" s="1">
        <f>B31</f>
        <v/>
      </c>
      <c r="AC31" s="1">
        <f>C31</f>
        <v/>
      </c>
      <c r="AD31" s="11">
        <f>SUM(AG31:AO31)+AQ31+AR31</f>
        <v/>
      </c>
      <c r="AE31" s="11">
        <f>SUM(AG31:AO31)+AT31+AU31</f>
        <v/>
      </c>
      <c r="AF31" s="5">
        <f>AD31-AE31</f>
        <v/>
      </c>
      <c r="AG31" s="5">
        <f>E31/H31*X31</f>
        <v/>
      </c>
      <c r="AH31" s="1">
        <f>F31/H31*X31*-1</f>
        <v/>
      </c>
      <c r="AI31" s="1">
        <f>G31/H31*W31</f>
        <v/>
      </c>
      <c r="AJ31" s="1">
        <f>1/H31*V31</f>
        <v/>
      </c>
      <c r="AK31" s="1">
        <f>I31/H31*Z31</f>
        <v/>
      </c>
      <c r="AL31" s="1">
        <f>J31/H31*Z31*-1</f>
        <v/>
      </c>
      <c r="AM31" s="1">
        <f>O31/H31/(0.9*8760)</f>
        <v/>
      </c>
      <c r="AN31" s="1">
        <f>P31/H31/(0.9*8760)</f>
        <v/>
      </c>
      <c r="AO31" s="1">
        <f>Q31/H31</f>
        <v/>
      </c>
      <c r="AP31" s="1">
        <f>BG31+BH31+BI31</f>
        <v/>
      </c>
      <c r="AQ31" s="1">
        <f>(T31+U31)*-1*(K31+M31)/H31</f>
        <v/>
      </c>
      <c r="AR31" s="1">
        <f>AP31*T31</f>
        <v/>
      </c>
      <c r="AS31" s="1">
        <f>BG31+BH31</f>
        <v/>
      </c>
      <c r="AT31" s="1">
        <f>U31*(K31+M31)*-1/H31</f>
        <v/>
      </c>
      <c r="AU31" s="1">
        <f>AS31*T31</f>
        <v/>
      </c>
      <c r="AW31" s="9">
        <f>22/7</f>
        <v/>
      </c>
      <c r="AX31" s="10" t="n">
        <v>0.203205751129122</v>
      </c>
      <c r="AY31" s="10" t="n">
        <v>3.1429329</v>
      </c>
      <c r="AZ31" s="9" t="n">
        <v>0.182890835326593</v>
      </c>
      <c r="BB31" s="10">
        <f>1/H31*AX31</f>
        <v/>
      </c>
      <c r="BC31" s="10">
        <f>I31/H31*AZ31</f>
        <v/>
      </c>
      <c r="BE31" s="10">
        <f>AW31</f>
        <v/>
      </c>
      <c r="BF31" s="10">
        <f>AY31*R31</f>
        <v/>
      </c>
      <c r="BG31" s="10">
        <f>J31/H31*AZ31</f>
        <v/>
      </c>
      <c r="BH31" s="10">
        <f>(L31+N31)/H31</f>
        <v/>
      </c>
      <c r="BI31" s="10">
        <f>(K31+M31)/H31</f>
        <v/>
      </c>
      <c r="BK31" s="1">
        <f>SUM(BE31:BI31)-SUM(BB31:BC31)</f>
        <v/>
      </c>
    </row>
    <row r="32">
      <c r="B32" s="13" t="inlineStr">
        <is>
          <t>SE_TSC:H2</t>
        </is>
      </c>
      <c r="C32" s="12" t="inlineStr">
        <is>
          <t>Ethane</t>
        </is>
      </c>
      <c r="D32" s="12" t="n">
        <v>0</v>
      </c>
      <c r="E32" s="12" t="n">
        <v>0</v>
      </c>
      <c r="F32" s="12" t="n">
        <v>0.1598531434</v>
      </c>
      <c r="G32" s="12" t="n">
        <v>0</v>
      </c>
      <c r="H32" s="12" t="n">
        <v>0.05310189724</v>
      </c>
      <c r="I32" s="12" t="n">
        <v>0.1318322859</v>
      </c>
      <c r="J32" s="12" t="n">
        <v>0</v>
      </c>
      <c r="K32" s="12" t="n">
        <v>0</v>
      </c>
      <c r="L32" s="12" t="n">
        <v>0.078770441</v>
      </c>
      <c r="M32" s="12" t="n"/>
      <c r="N32" s="12" t="n"/>
      <c r="O32" s="12" t="n">
        <v>99124.32016</v>
      </c>
      <c r="P32" s="12" t="n">
        <v>54251.99777</v>
      </c>
      <c r="Q32" s="12" t="n">
        <v>1.676159756</v>
      </c>
      <c r="R32" s="24" t="n">
        <v>0.2020556</v>
      </c>
      <c r="T32" s="15" t="n">
        <v>73.71884</v>
      </c>
      <c r="U32" s="15" t="n">
        <v>-6.091002</v>
      </c>
      <c r="V32" s="21" t="n">
        <v>21.9863533</v>
      </c>
      <c r="W32" s="15" t="n">
        <v>21.266241</v>
      </c>
      <c r="X32" s="15" t="n">
        <v>7.267779</v>
      </c>
      <c r="Y32" s="16" t="n">
        <v>-128.077631</v>
      </c>
      <c r="Z32" s="15" t="n">
        <v>7.96358</v>
      </c>
      <c r="AB32" s="1">
        <f>B32</f>
        <v/>
      </c>
      <c r="AC32" s="1">
        <f>C32</f>
        <v/>
      </c>
      <c r="AD32" s="11">
        <f>SUM(AG32:AO32)+AQ32+AR32</f>
        <v/>
      </c>
      <c r="AE32" s="11">
        <f>SUM(AG32:AO32)+AT32+AU32</f>
        <v/>
      </c>
      <c r="AF32" s="5">
        <f>AD32-AE32</f>
        <v/>
      </c>
      <c r="AG32" s="5">
        <f>E32/H32*X32</f>
        <v/>
      </c>
      <c r="AH32" s="1">
        <f>F32/H32*X32*-1</f>
        <v/>
      </c>
      <c r="AI32" s="1">
        <f>G32/H32*W32</f>
        <v/>
      </c>
      <c r="AJ32" s="1">
        <f>1/H32*V32</f>
        <v/>
      </c>
      <c r="AK32" s="1">
        <f>I32/H32*Z32</f>
        <v/>
      </c>
      <c r="AL32" s="1">
        <f>J32/H32*Z32*-1</f>
        <v/>
      </c>
      <c r="AM32" s="1">
        <f>O32/H32/(0.9*8760)</f>
        <v/>
      </c>
      <c r="AN32" s="1">
        <f>P32/H32/(0.9*8760)</f>
        <v/>
      </c>
      <c r="AO32" s="1">
        <f>Q32/H32</f>
        <v/>
      </c>
      <c r="AP32" s="1">
        <f>BG32+BH32+BI32</f>
        <v/>
      </c>
      <c r="AQ32" s="1">
        <f>(T32+U32)*-1*(K32+M32)/H32</f>
        <v/>
      </c>
      <c r="AR32" s="1">
        <f>AP32*T32</f>
        <v/>
      </c>
      <c r="AS32" s="1">
        <f>BG32+BH32</f>
        <v/>
      </c>
      <c r="AT32" s="1">
        <f>U32*(K32+M32)*-1/H32</f>
        <v/>
      </c>
      <c r="AU32" s="1">
        <f>AS32*T32</f>
        <v/>
      </c>
      <c r="AW32" s="9">
        <f>22/7</f>
        <v/>
      </c>
      <c r="AX32" s="10" t="n">
        <v>0.203205751129122</v>
      </c>
      <c r="AY32" s="10" t="n">
        <v>3.1429329</v>
      </c>
      <c r="AZ32" s="9" t="n">
        <v>0.182890835326593</v>
      </c>
      <c r="BB32" s="10">
        <f>1/H32*AX32</f>
        <v/>
      </c>
      <c r="BC32" s="10">
        <f>I32/H32*AZ32</f>
        <v/>
      </c>
      <c r="BE32" s="10">
        <f>AW32</f>
        <v/>
      </c>
      <c r="BF32" s="10">
        <f>AY32*R32</f>
        <v/>
      </c>
      <c r="BG32" s="10">
        <f>J32/H32*AZ32</f>
        <v/>
      </c>
      <c r="BH32" s="10">
        <f>(L32+N32)/H32</f>
        <v/>
      </c>
      <c r="BI32" s="10">
        <f>(K32+M32)/H32</f>
        <v/>
      </c>
      <c r="BK32" s="1">
        <f>SUM(BE32:BI32)-SUM(BB32:BC32)</f>
        <v/>
      </c>
    </row>
    <row r="33">
      <c r="B33" s="13" t="inlineStr">
        <is>
          <t>SE_TSC+CC90:H2</t>
        </is>
      </c>
      <c r="C33" s="12" t="inlineStr">
        <is>
          <t>Ethane</t>
        </is>
      </c>
      <c r="D33" s="12" t="n">
        <v>0.9</v>
      </c>
      <c r="E33" s="12" t="n">
        <v>0</v>
      </c>
      <c r="F33" s="12" t="n">
        <v>0.1598531434</v>
      </c>
      <c r="G33" s="12" t="n">
        <v>0.009388736698</v>
      </c>
      <c r="H33" s="12" t="n">
        <v>0.05310189724</v>
      </c>
      <c r="I33" s="12" t="n">
        <v>0.1318322859</v>
      </c>
      <c r="J33" s="12" t="n">
        <v>0</v>
      </c>
      <c r="K33" s="12" t="n">
        <v>0.070893397</v>
      </c>
      <c r="L33" s="12" t="n">
        <v>0.007877044</v>
      </c>
      <c r="M33" s="12" t="n"/>
      <c r="N33" s="12" t="n"/>
      <c r="O33" s="12" t="n">
        <v>106900.9741</v>
      </c>
      <c r="P33" s="12" t="n">
        <v>58510.18581</v>
      </c>
      <c r="Q33" s="12" t="n">
        <v>1.807660423</v>
      </c>
      <c r="R33" s="24" t="n">
        <v>0.2020556</v>
      </c>
      <c r="T33" s="15" t="n">
        <v>73.71884</v>
      </c>
      <c r="U33" s="15" t="n">
        <v>-6.091002</v>
      </c>
      <c r="V33" s="21" t="n">
        <v>21.9863533</v>
      </c>
      <c r="W33" s="15" t="n">
        <v>21.266241</v>
      </c>
      <c r="X33" s="15" t="n">
        <v>7.267779</v>
      </c>
      <c r="Y33" s="16" t="n">
        <v>-128.077631</v>
      </c>
      <c r="Z33" s="15" t="n">
        <v>7.96358</v>
      </c>
      <c r="AB33" s="1">
        <f>B33</f>
        <v/>
      </c>
      <c r="AC33" s="1">
        <f>C33</f>
        <v/>
      </c>
      <c r="AD33" s="11">
        <f>SUM(AG33:AO33)+AQ33+AR33</f>
        <v/>
      </c>
      <c r="AE33" s="11">
        <f>SUM(AG33:AO33)+AT33+AU33</f>
        <v/>
      </c>
      <c r="AF33" s="5">
        <f>AD33-AE33</f>
        <v/>
      </c>
      <c r="AG33" s="5">
        <f>E33/H33*X33</f>
        <v/>
      </c>
      <c r="AH33" s="1">
        <f>F33/H33*X33*-1</f>
        <v/>
      </c>
      <c r="AI33" s="1">
        <f>G33/H33*W33</f>
        <v/>
      </c>
      <c r="AJ33" s="1">
        <f>1/H33*V33</f>
        <v/>
      </c>
      <c r="AK33" s="1">
        <f>I33/H33*Z33</f>
        <v/>
      </c>
      <c r="AL33" s="1">
        <f>J33/H33*Z33*-1</f>
        <v/>
      </c>
      <c r="AM33" s="1">
        <f>O33/H33/(0.9*8760)</f>
        <v/>
      </c>
      <c r="AN33" s="1">
        <f>P33/H33/(0.9*8760)</f>
        <v/>
      </c>
      <c r="AO33" s="1">
        <f>Q33/H33</f>
        <v/>
      </c>
      <c r="AP33" s="1">
        <f>BG33+BH33+BI33</f>
        <v/>
      </c>
      <c r="AQ33" s="1">
        <f>(T33+U33)*-1*(K33+M33)/H33</f>
        <v/>
      </c>
      <c r="AR33" s="1">
        <f>AP33*T33</f>
        <v/>
      </c>
      <c r="AS33" s="1">
        <f>BG33+BH33</f>
        <v/>
      </c>
      <c r="AT33" s="1">
        <f>U33*(K33+M33)*-1/H33</f>
        <v/>
      </c>
      <c r="AU33" s="1">
        <f>AS33*T33</f>
        <v/>
      </c>
      <c r="AW33" s="9">
        <f>22/7</f>
        <v/>
      </c>
      <c r="AX33" s="10" t="n">
        <v>0.203205751129122</v>
      </c>
      <c r="AY33" s="10" t="n">
        <v>3.1429329</v>
      </c>
      <c r="AZ33" s="9" t="n">
        <v>0.182890835326593</v>
      </c>
      <c r="BB33" s="10">
        <f>1/H33*AX33</f>
        <v/>
      </c>
      <c r="BC33" s="10">
        <f>I33/H33*AZ33</f>
        <v/>
      </c>
      <c r="BE33" s="10">
        <f>AW33</f>
        <v/>
      </c>
      <c r="BF33" s="10">
        <f>AY33*R33</f>
        <v/>
      </c>
      <c r="BG33" s="10">
        <f>J33/H33*AZ33</f>
        <v/>
      </c>
      <c r="BH33" s="10">
        <f>(L33+N33)/H33</f>
        <v/>
      </c>
      <c r="BI33" s="10">
        <f>(K33+M33)/H33</f>
        <v/>
      </c>
      <c r="BK33" s="1">
        <f>SUM(BE33:BI33)-SUM(BB33:BC33)</f>
        <v/>
      </c>
    </row>
    <row r="34">
      <c r="B34" s="13" t="inlineStr">
        <is>
          <t>SE_TSC+H2in</t>
        </is>
      </c>
      <c r="C34" s="12" t="inlineStr">
        <is>
          <t>Ethane</t>
        </is>
      </c>
      <c r="D34" s="12" t="n">
        <v>0</v>
      </c>
      <c r="E34" s="12" t="n">
        <v>0.02226644157</v>
      </c>
      <c r="F34" s="12" t="n">
        <v>0</v>
      </c>
      <c r="G34" s="12" t="n">
        <v>0</v>
      </c>
      <c r="H34" s="12" t="n">
        <v>0.05310189724</v>
      </c>
      <c r="I34" s="12" t="n">
        <v>0</v>
      </c>
      <c r="J34" s="12" t="n">
        <v>0</v>
      </c>
      <c r="K34" s="12" t="n">
        <v>0</v>
      </c>
      <c r="L34" s="12" t="n">
        <v>0.054902438</v>
      </c>
      <c r="M34" s="12" t="n"/>
      <c r="N34" s="12" t="n"/>
      <c r="O34" s="12" t="n">
        <v>99124.32016</v>
      </c>
      <c r="P34" s="12" t="n">
        <v>54251.99777</v>
      </c>
      <c r="Q34" s="12" t="n">
        <v>1.676159756</v>
      </c>
      <c r="R34" s="24" t="n">
        <v>0.2020556</v>
      </c>
      <c r="T34" s="15" t="n">
        <v>73.71884</v>
      </c>
      <c r="U34" s="15" t="n">
        <v>-6.091002</v>
      </c>
      <c r="V34" s="21" t="n">
        <v>21.9863533</v>
      </c>
      <c r="W34" s="15" t="n">
        <v>21.266241</v>
      </c>
      <c r="X34" s="15" t="n">
        <v>7.267779</v>
      </c>
      <c r="Y34" s="16" t="n">
        <v>-128.077631</v>
      </c>
      <c r="Z34" s="15" t="n">
        <v>7.96358</v>
      </c>
      <c r="AB34" s="1">
        <f>B34</f>
        <v/>
      </c>
      <c r="AC34" s="1">
        <f>C34</f>
        <v/>
      </c>
      <c r="AD34" s="11">
        <f>SUM(AG34:AO34)+AQ34+AR34</f>
        <v/>
      </c>
      <c r="AE34" s="11">
        <f>SUM(AG34:AO34)+AT34+AU34</f>
        <v/>
      </c>
      <c r="AF34" s="5">
        <f>AD34-AE34</f>
        <v/>
      </c>
      <c r="AG34" s="5">
        <f>E34/H34*X34</f>
        <v/>
      </c>
      <c r="AH34" s="1">
        <f>F34/H34*X34*-1</f>
        <v/>
      </c>
      <c r="AI34" s="1">
        <f>G34/H34*W34</f>
        <v/>
      </c>
      <c r="AJ34" s="1">
        <f>1/H34*V34</f>
        <v/>
      </c>
      <c r="AK34" s="1">
        <f>I34/H34*Z34</f>
        <v/>
      </c>
      <c r="AL34" s="1">
        <f>J34/H34*Z34*-1</f>
        <v/>
      </c>
      <c r="AM34" s="1">
        <f>O34/H34/(0.9*8760)</f>
        <v/>
      </c>
      <c r="AN34" s="1">
        <f>P34/H34/(0.9*8760)</f>
        <v/>
      </c>
      <c r="AO34" s="1">
        <f>Q34/H34</f>
        <v/>
      </c>
      <c r="AP34" s="1">
        <f>BG34+BH34+BI34</f>
        <v/>
      </c>
      <c r="AQ34" s="1">
        <f>(T34+U34)*-1*(K34+M34)/H34</f>
        <v/>
      </c>
      <c r="AR34" s="1">
        <f>AP34*T34</f>
        <v/>
      </c>
      <c r="AS34" s="1">
        <f>BG34+BH34</f>
        <v/>
      </c>
      <c r="AT34" s="1">
        <f>U34*(K34+M34)*-1/H34</f>
        <v/>
      </c>
      <c r="AU34" s="1">
        <f>AS34*T34</f>
        <v/>
      </c>
      <c r="AW34" s="9">
        <f>22/7</f>
        <v/>
      </c>
      <c r="AX34" s="10" t="n">
        <v>0.203205751129122</v>
      </c>
      <c r="AY34" s="10" t="n">
        <v>3.1429329</v>
      </c>
      <c r="AZ34" s="9" t="n">
        <v>0.182890835326593</v>
      </c>
      <c r="BB34" s="10">
        <f>1/H34*AX34</f>
        <v/>
      </c>
      <c r="BC34" s="10">
        <f>I34/H34*AZ34</f>
        <v/>
      </c>
      <c r="BE34" s="10">
        <f>AW34</f>
        <v/>
      </c>
      <c r="BF34" s="10">
        <f>AY34*R34</f>
        <v/>
      </c>
      <c r="BG34" s="10">
        <f>J34/H34*AZ34</f>
        <v/>
      </c>
      <c r="BH34" s="10">
        <f>(L34+N34)/H34</f>
        <v/>
      </c>
      <c r="BI34" s="10">
        <f>(K34+M34)/H34</f>
        <v/>
      </c>
      <c r="BK34" s="1">
        <f>SUM(BE34:BI34)-SUM(BB34:BC34)</f>
        <v/>
      </c>
    </row>
    <row r="35">
      <c r="B35" s="13" t="inlineStr">
        <is>
          <t>SE_TSC+H2in:CH4</t>
        </is>
      </c>
      <c r="C35" s="12" t="inlineStr">
        <is>
          <t>Ethane</t>
        </is>
      </c>
      <c r="D35" s="12" t="n">
        <v>0</v>
      </c>
      <c r="E35" s="12" t="n">
        <v>0.1375867019</v>
      </c>
      <c r="F35" s="12" t="n">
        <v>0</v>
      </c>
      <c r="G35" s="12" t="n">
        <v>0</v>
      </c>
      <c r="H35" s="12" t="n">
        <v>0.05310189724</v>
      </c>
      <c r="I35" s="12" t="n">
        <v>0</v>
      </c>
      <c r="J35" s="12" t="n">
        <v>0.1181424966</v>
      </c>
      <c r="K35" s="12" t="n">
        <v>0</v>
      </c>
      <c r="L35" s="12" t="n">
        <v>0.033512947</v>
      </c>
      <c r="M35" s="12" t="n"/>
      <c r="N35" s="12" t="n"/>
      <c r="O35" s="12" t="n">
        <v>99124.32016</v>
      </c>
      <c r="P35" s="12" t="n">
        <v>54251.99777</v>
      </c>
      <c r="Q35" s="12" t="n">
        <v>1.676159756</v>
      </c>
      <c r="R35" s="24" t="n">
        <v>0.2020556</v>
      </c>
      <c r="T35" s="15" t="n">
        <v>73.71884</v>
      </c>
      <c r="U35" s="15" t="n">
        <v>-6.091002</v>
      </c>
      <c r="V35" s="21" t="n">
        <v>21.9863533</v>
      </c>
      <c r="W35" s="15" t="n">
        <v>21.266241</v>
      </c>
      <c r="X35" s="15" t="n">
        <v>7.267779</v>
      </c>
      <c r="Y35" s="16" t="n">
        <v>-128.077631</v>
      </c>
      <c r="Z35" s="15" t="n">
        <v>7.96358</v>
      </c>
      <c r="AB35" s="1">
        <f>B35</f>
        <v/>
      </c>
      <c r="AC35" s="1">
        <f>C35</f>
        <v/>
      </c>
      <c r="AD35" s="11">
        <f>SUM(AG35:AO35)+AQ35+AR35</f>
        <v/>
      </c>
      <c r="AE35" s="11">
        <f>SUM(AG35:AO35)+AT35+AU35</f>
        <v/>
      </c>
      <c r="AF35" s="5">
        <f>AD35-AE35</f>
        <v/>
      </c>
      <c r="AG35" s="5">
        <f>E35/H35*X35</f>
        <v/>
      </c>
      <c r="AH35" s="1">
        <f>F35/H35*X35*-1</f>
        <v/>
      </c>
      <c r="AI35" s="1">
        <f>G35/H35*W35</f>
        <v/>
      </c>
      <c r="AJ35" s="1">
        <f>1/H35*V35</f>
        <v/>
      </c>
      <c r="AK35" s="1">
        <f>I35/H35*Z35</f>
        <v/>
      </c>
      <c r="AL35" s="1">
        <f>J35/H35*Z35*-1</f>
        <v/>
      </c>
      <c r="AM35" s="1">
        <f>O35/H35/(0.9*8760)</f>
        <v/>
      </c>
      <c r="AN35" s="1">
        <f>P35/H35/(0.9*8760)</f>
        <v/>
      </c>
      <c r="AO35" s="1">
        <f>Q35/H35</f>
        <v/>
      </c>
      <c r="AP35" s="1">
        <f>BG35+BH35+BI35</f>
        <v/>
      </c>
      <c r="AQ35" s="1">
        <f>(T35+U35)*-1*(K35+M35)/H35</f>
        <v/>
      </c>
      <c r="AR35" s="1">
        <f>AP35*T35</f>
        <v/>
      </c>
      <c r="AS35" s="1">
        <f>BG35+BH35</f>
        <v/>
      </c>
      <c r="AT35" s="1">
        <f>U35*(K35+M35)*-1/H35</f>
        <v/>
      </c>
      <c r="AU35" s="1">
        <f>AS35*T35</f>
        <v/>
      </c>
      <c r="AW35" s="9">
        <f>22/7</f>
        <v/>
      </c>
      <c r="AX35" s="10" t="n">
        <v>0.203205751129122</v>
      </c>
      <c r="AY35" s="10" t="n">
        <v>3.1429329</v>
      </c>
      <c r="AZ35" s="9" t="n">
        <v>0.182890835326593</v>
      </c>
      <c r="BB35" s="10">
        <f>1/H35*AX35</f>
        <v/>
      </c>
      <c r="BC35" s="10">
        <f>I35/H35*AZ35</f>
        <v/>
      </c>
      <c r="BE35" s="10">
        <f>AW35</f>
        <v/>
      </c>
      <c r="BF35" s="10">
        <f>AY35*R35</f>
        <v/>
      </c>
      <c r="BG35" s="10">
        <f>J35/H35*AZ35</f>
        <v/>
      </c>
      <c r="BH35" s="10">
        <f>(L35+N35)/H35</f>
        <v/>
      </c>
      <c r="BI35" s="10">
        <f>(K35+M35)/H35</f>
        <v/>
      </c>
      <c r="BK35" s="1">
        <f>SUM(BE35:BI35)-SUM(BB35:BC35)</f>
        <v/>
      </c>
    </row>
    <row r="36">
      <c r="B36" s="13" t="inlineStr">
        <is>
          <t>MIDAT_TSC+CC90</t>
        </is>
      </c>
      <c r="C36" s="12" t="inlineStr">
        <is>
          <t>Ethane</t>
        </is>
      </c>
      <c r="D36" s="12" t="n">
        <v>0.9</v>
      </c>
      <c r="E36" s="12" t="n">
        <v>0</v>
      </c>
      <c r="F36" s="12" t="n">
        <v>0</v>
      </c>
      <c r="G36" s="12" t="n">
        <v>0.008052966438000001</v>
      </c>
      <c r="H36" s="12" t="n">
        <v>0.05310189724</v>
      </c>
      <c r="I36" s="12" t="n">
        <v>0.02270169876</v>
      </c>
      <c r="J36" s="12" t="n">
        <v>0</v>
      </c>
      <c r="K36" s="12" t="n">
        <v>0.053111287</v>
      </c>
      <c r="L36" s="12" t="n">
        <v>0.005901254</v>
      </c>
      <c r="M36" s="12" t="n"/>
      <c r="N36" s="12" t="n"/>
      <c r="O36" s="12" t="n">
        <v>106875.1697</v>
      </c>
      <c r="P36" s="12" t="n">
        <v>58496.38728</v>
      </c>
      <c r="Q36" s="12" t="n">
        <v>1.807224085</v>
      </c>
      <c r="R36" s="24" t="n">
        <v>0.2020556</v>
      </c>
      <c r="T36" s="15" t="n">
        <v>73.71884</v>
      </c>
      <c r="U36" s="15" t="n">
        <v>-16.179128</v>
      </c>
      <c r="V36" s="21" t="n">
        <v>21.9863533</v>
      </c>
      <c r="W36" s="15" t="n">
        <v>21.500722</v>
      </c>
      <c r="X36" s="15" t="n">
        <v>7.532437</v>
      </c>
      <c r="Y36" s="16" t="n">
        <v>-140.741334</v>
      </c>
      <c r="Z36" s="15" t="n">
        <v>5.407672</v>
      </c>
      <c r="AB36" s="1">
        <f>B36</f>
        <v/>
      </c>
      <c r="AC36" s="1">
        <f>C36</f>
        <v/>
      </c>
      <c r="AD36" s="11">
        <f>SUM(AG36:AO36)+AQ36+AR36</f>
        <v/>
      </c>
      <c r="AE36" s="11">
        <f>SUM(AG36:AO36)+AT36+AU36</f>
        <v/>
      </c>
      <c r="AF36" s="5">
        <f>AD36-AE36</f>
        <v/>
      </c>
      <c r="AG36" s="5">
        <f>E36/H36*X36</f>
        <v/>
      </c>
      <c r="AH36" s="1">
        <f>F36/H36*X36*-1</f>
        <v/>
      </c>
      <c r="AI36" s="1">
        <f>G36/H36*W36</f>
        <v/>
      </c>
      <c r="AJ36" s="1">
        <f>1/H36*V36</f>
        <v/>
      </c>
      <c r="AK36" s="1">
        <f>I36/H36*Z36</f>
        <v/>
      </c>
      <c r="AL36" s="1">
        <f>J36/H36*Z36*-1</f>
        <v/>
      </c>
      <c r="AM36" s="1">
        <f>O36/H36/(0.9*8760)</f>
        <v/>
      </c>
      <c r="AN36" s="1">
        <f>P36/H36/(0.9*8760)</f>
        <v/>
      </c>
      <c r="AO36" s="1">
        <f>Q36/H36</f>
        <v/>
      </c>
      <c r="AP36" s="1">
        <f>BG36+BH36+BI36</f>
        <v/>
      </c>
      <c r="AQ36" s="1">
        <f>(T36+U36)*-1*(K36+M36)/H36</f>
        <v/>
      </c>
      <c r="AR36" s="1">
        <f>AP36*T36</f>
        <v/>
      </c>
      <c r="AS36" s="1">
        <f>BG36+BH36</f>
        <v/>
      </c>
      <c r="AT36" s="1">
        <f>U36*(K36+M36)*-1/H36</f>
        <v/>
      </c>
      <c r="AU36" s="1">
        <f>AS36*T36</f>
        <v/>
      </c>
      <c r="AW36" s="9">
        <f>22/7</f>
        <v/>
      </c>
      <c r="AX36" s="10" t="n">
        <v>0.203205751129122</v>
      </c>
      <c r="AY36" s="10" t="n">
        <v>3.1429329</v>
      </c>
      <c r="AZ36" s="9" t="n">
        <v>0.182890835326593</v>
      </c>
      <c r="BB36" s="10">
        <f>1/H36*AX36</f>
        <v/>
      </c>
      <c r="BC36" s="10">
        <f>I36/H36*AZ36</f>
        <v/>
      </c>
      <c r="BE36" s="10">
        <f>AW36</f>
        <v/>
      </c>
      <c r="BF36" s="10">
        <f>AY36*R36</f>
        <v/>
      </c>
      <c r="BG36" s="10">
        <f>J36/H36*AZ36</f>
        <v/>
      </c>
      <c r="BH36" s="10">
        <f>(L36+N36)/H36</f>
        <v/>
      </c>
      <c r="BI36" s="10">
        <f>(K36+M36)/H36</f>
        <v/>
      </c>
      <c r="BK36" s="1">
        <f>SUM(BE36:BI36)-SUM(BB36:BC36)</f>
        <v/>
      </c>
    </row>
    <row r="37">
      <c r="B37" s="13" t="inlineStr">
        <is>
          <t>MIDAT_TSC:H2</t>
        </is>
      </c>
      <c r="C37" s="12" t="inlineStr">
        <is>
          <t>Ethane</t>
        </is>
      </c>
      <c r="D37" s="12" t="n">
        <v>0</v>
      </c>
      <c r="E37" s="12" t="n">
        <v>0</v>
      </c>
      <c r="F37" s="12" t="n">
        <v>0.1598531434</v>
      </c>
      <c r="G37" s="12" t="n">
        <v>0</v>
      </c>
      <c r="H37" s="12" t="n">
        <v>0.05310189724</v>
      </c>
      <c r="I37" s="12" t="n">
        <v>0.1318322859</v>
      </c>
      <c r="J37" s="12" t="n">
        <v>0</v>
      </c>
      <c r="K37" s="12" t="n">
        <v>0</v>
      </c>
      <c r="L37" s="12" t="n">
        <v>0.078770441</v>
      </c>
      <c r="M37" s="12" t="n"/>
      <c r="N37" s="12" t="n"/>
      <c r="O37" s="12" t="n">
        <v>99124.32016</v>
      </c>
      <c r="P37" s="12" t="n">
        <v>54251.99777</v>
      </c>
      <c r="Q37" s="12" t="n">
        <v>1.676159756</v>
      </c>
      <c r="R37" s="24" t="n">
        <v>0.2020556</v>
      </c>
      <c r="T37" s="15" t="n">
        <v>73.71884</v>
      </c>
      <c r="U37" s="15" t="n">
        <v>-16.179128</v>
      </c>
      <c r="V37" s="21" t="n">
        <v>21.9863533</v>
      </c>
      <c r="W37" s="15" t="n">
        <v>21.500722</v>
      </c>
      <c r="X37" s="15" t="n">
        <v>7.532437</v>
      </c>
      <c r="Y37" s="16" t="n">
        <v>-140.741334</v>
      </c>
      <c r="Z37" s="15" t="n">
        <v>5.407672</v>
      </c>
      <c r="AB37" s="1">
        <f>B37</f>
        <v/>
      </c>
      <c r="AC37" s="1">
        <f>C37</f>
        <v/>
      </c>
      <c r="AD37" s="11">
        <f>SUM(AG37:AO37)+AQ37+AR37</f>
        <v/>
      </c>
      <c r="AE37" s="11">
        <f>SUM(AG37:AO37)+AT37+AU37</f>
        <v/>
      </c>
      <c r="AF37" s="5">
        <f>AD37-AE37</f>
        <v/>
      </c>
      <c r="AG37" s="5">
        <f>E37/H37*X37</f>
        <v/>
      </c>
      <c r="AH37" s="1">
        <f>F37/H37*X37*-1</f>
        <v/>
      </c>
      <c r="AI37" s="1">
        <f>G37/H37*W37</f>
        <v/>
      </c>
      <c r="AJ37" s="1">
        <f>1/H37*V37</f>
        <v/>
      </c>
      <c r="AK37" s="1">
        <f>I37/H37*Z37</f>
        <v/>
      </c>
      <c r="AL37" s="1">
        <f>J37/H37*Z37*-1</f>
        <v/>
      </c>
      <c r="AM37" s="1">
        <f>O37/H37/(0.9*8760)</f>
        <v/>
      </c>
      <c r="AN37" s="1">
        <f>P37/H37/(0.9*8760)</f>
        <v/>
      </c>
      <c r="AO37" s="1">
        <f>Q37/H37</f>
        <v/>
      </c>
      <c r="AP37" s="1">
        <f>BG37+BH37+BI37</f>
        <v/>
      </c>
      <c r="AQ37" s="1">
        <f>(T37+U37)*-1*(K37+M37)/H37</f>
        <v/>
      </c>
      <c r="AR37" s="1">
        <f>AP37*T37</f>
        <v/>
      </c>
      <c r="AS37" s="1">
        <f>BG37+BH37</f>
        <v/>
      </c>
      <c r="AT37" s="1">
        <f>U37*(K37+M37)*-1/H37</f>
        <v/>
      </c>
      <c r="AU37" s="1">
        <f>AS37*T37</f>
        <v/>
      </c>
      <c r="AW37" s="9">
        <f>22/7</f>
        <v/>
      </c>
      <c r="AX37" s="10" t="n">
        <v>0.203205751129122</v>
      </c>
      <c r="AY37" s="10" t="n">
        <v>3.1429329</v>
      </c>
      <c r="AZ37" s="9" t="n">
        <v>0.182890835326593</v>
      </c>
      <c r="BB37" s="10">
        <f>1/H37*AX37</f>
        <v/>
      </c>
      <c r="BC37" s="10">
        <f>I37/H37*AZ37</f>
        <v/>
      </c>
      <c r="BE37" s="10">
        <f>AW37</f>
        <v/>
      </c>
      <c r="BF37" s="10">
        <f>AY37*R37</f>
        <v/>
      </c>
      <c r="BG37" s="10">
        <f>J37/H37*AZ37</f>
        <v/>
      </c>
      <c r="BH37" s="10">
        <f>(L37+N37)/H37</f>
        <v/>
      </c>
      <c r="BI37" s="10">
        <f>(K37+M37)/H37</f>
        <v/>
      </c>
      <c r="BK37" s="1">
        <f>SUM(BE37:BI37)-SUM(BB37:BC37)</f>
        <v/>
      </c>
    </row>
    <row r="38">
      <c r="B38" s="13" t="inlineStr">
        <is>
          <t>MIDAT_TSC+CC90:H2</t>
        </is>
      </c>
      <c r="C38" s="12" t="inlineStr">
        <is>
          <t>Ethane</t>
        </is>
      </c>
      <c r="D38" s="12" t="n">
        <v>0.9</v>
      </c>
      <c r="E38" s="12" t="n">
        <v>0</v>
      </c>
      <c r="F38" s="12" t="n">
        <v>0.1598531434</v>
      </c>
      <c r="G38" s="12" t="n">
        <v>0.009388736698</v>
      </c>
      <c r="H38" s="12" t="n">
        <v>0.05310189724</v>
      </c>
      <c r="I38" s="12" t="n">
        <v>0.1318322859</v>
      </c>
      <c r="J38" s="12" t="n">
        <v>0</v>
      </c>
      <c r="K38" s="12" t="n">
        <v>0.070893397</v>
      </c>
      <c r="L38" s="12" t="n">
        <v>0.007877044</v>
      </c>
      <c r="M38" s="12" t="n"/>
      <c r="N38" s="12" t="n"/>
      <c r="O38" s="12" t="n">
        <v>106900.9741</v>
      </c>
      <c r="P38" s="12" t="n">
        <v>58510.18581</v>
      </c>
      <c r="Q38" s="12" t="n">
        <v>1.807660423</v>
      </c>
      <c r="R38" s="24" t="n">
        <v>0.2020556</v>
      </c>
      <c r="T38" s="15" t="n">
        <v>73.71884</v>
      </c>
      <c r="U38" s="15" t="n">
        <v>-16.179128</v>
      </c>
      <c r="V38" s="21" t="n">
        <v>21.9863533</v>
      </c>
      <c r="W38" s="15" t="n">
        <v>21.500722</v>
      </c>
      <c r="X38" s="15" t="n">
        <v>7.532437</v>
      </c>
      <c r="Y38" s="16" t="n">
        <v>-140.741334</v>
      </c>
      <c r="Z38" s="15" t="n">
        <v>5.407672</v>
      </c>
      <c r="AB38" s="1">
        <f>B38</f>
        <v/>
      </c>
      <c r="AC38" s="1">
        <f>C38</f>
        <v/>
      </c>
      <c r="AD38" s="11">
        <f>SUM(AG38:AO38)+AQ38+AR38</f>
        <v/>
      </c>
      <c r="AE38" s="11">
        <f>SUM(AG38:AO38)+AT38+AU38</f>
        <v/>
      </c>
      <c r="AF38" s="5">
        <f>AD38-AE38</f>
        <v/>
      </c>
      <c r="AG38" s="5">
        <f>E38/H38*X38</f>
        <v/>
      </c>
      <c r="AH38" s="1">
        <f>F38/H38*X38*-1</f>
        <v/>
      </c>
      <c r="AI38" s="1">
        <f>G38/H38*W38</f>
        <v/>
      </c>
      <c r="AJ38" s="1">
        <f>1/H38*V38</f>
        <v/>
      </c>
      <c r="AK38" s="1">
        <f>I38/H38*Z38</f>
        <v/>
      </c>
      <c r="AL38" s="1">
        <f>J38/H38*Z38*-1</f>
        <v/>
      </c>
      <c r="AM38" s="1">
        <f>O38/H38/(0.9*8760)</f>
        <v/>
      </c>
      <c r="AN38" s="1">
        <f>P38/H38/(0.9*8760)</f>
        <v/>
      </c>
      <c r="AO38" s="1">
        <f>Q38/H38</f>
        <v/>
      </c>
      <c r="AP38" s="1">
        <f>BG38+BH38+BI38</f>
        <v/>
      </c>
      <c r="AQ38" s="1">
        <f>(T38+U38)*-1*(K38+M38)/H38</f>
        <v/>
      </c>
      <c r="AR38" s="1">
        <f>AP38*T38</f>
        <v/>
      </c>
      <c r="AS38" s="1">
        <f>BG38+BH38</f>
        <v/>
      </c>
      <c r="AT38" s="1">
        <f>U38*(K38+M38)*-1/H38</f>
        <v/>
      </c>
      <c r="AU38" s="1">
        <f>AS38*T38</f>
        <v/>
      </c>
      <c r="AW38" s="9">
        <f>22/7</f>
        <v/>
      </c>
      <c r="AX38" s="10" t="n">
        <v>0.203205751129122</v>
      </c>
      <c r="AY38" s="10" t="n">
        <v>3.1429329</v>
      </c>
      <c r="AZ38" s="9" t="n">
        <v>0.182890835326593</v>
      </c>
      <c r="BB38" s="10">
        <f>1/H38*AX38</f>
        <v/>
      </c>
      <c r="BC38" s="10">
        <f>I38/H38*AZ38</f>
        <v/>
      </c>
      <c r="BE38" s="10">
        <f>AW38</f>
        <v/>
      </c>
      <c r="BF38" s="10">
        <f>AY38*R38</f>
        <v/>
      </c>
      <c r="BG38" s="10">
        <f>J38/H38*AZ38</f>
        <v/>
      </c>
      <c r="BH38" s="10">
        <f>(L38+N38)/H38</f>
        <v/>
      </c>
      <c r="BI38" s="10">
        <f>(K38+M38)/H38</f>
        <v/>
      </c>
      <c r="BK38" s="1">
        <f>SUM(BE38:BI38)-SUM(BB38:BC38)</f>
        <v/>
      </c>
    </row>
    <row r="39">
      <c r="B39" s="13" t="inlineStr">
        <is>
          <t>MIDAT_TSC+H2in</t>
        </is>
      </c>
      <c r="C39" s="12" t="inlineStr">
        <is>
          <t>Ethane</t>
        </is>
      </c>
      <c r="D39" s="12" t="n">
        <v>0</v>
      </c>
      <c r="E39" s="12" t="n">
        <v>0.02226644157</v>
      </c>
      <c r="F39" s="12" t="n">
        <v>0</v>
      </c>
      <c r="G39" s="12" t="n">
        <v>0</v>
      </c>
      <c r="H39" s="12" t="n">
        <v>0.05310189724</v>
      </c>
      <c r="I39" s="12" t="n">
        <v>0</v>
      </c>
      <c r="J39" s="12" t="n">
        <v>0</v>
      </c>
      <c r="K39" s="12" t="n">
        <v>0</v>
      </c>
      <c r="L39" s="12" t="n">
        <v>0.054902438</v>
      </c>
      <c r="M39" s="12" t="n"/>
      <c r="N39" s="12" t="n"/>
      <c r="O39" s="12" t="n">
        <v>99124.32016</v>
      </c>
      <c r="P39" s="12" t="n">
        <v>54251.99777</v>
      </c>
      <c r="Q39" s="12" t="n">
        <v>1.676159756</v>
      </c>
      <c r="R39" s="24" t="n">
        <v>0.2020556</v>
      </c>
      <c r="T39" s="15" t="n">
        <v>73.71884</v>
      </c>
      <c r="U39" s="15" t="n">
        <v>-16.179128</v>
      </c>
      <c r="V39" s="21" t="n">
        <v>21.9863533</v>
      </c>
      <c r="W39" s="15" t="n">
        <v>21.500722</v>
      </c>
      <c r="X39" s="15" t="n">
        <v>7.532437</v>
      </c>
      <c r="Y39" s="16" t="n">
        <v>-140.741334</v>
      </c>
      <c r="Z39" s="15" t="n">
        <v>5.407672</v>
      </c>
      <c r="AB39" s="1">
        <f>B39</f>
        <v/>
      </c>
      <c r="AC39" s="1">
        <f>C39</f>
        <v/>
      </c>
      <c r="AD39" s="11">
        <f>SUM(AG39:AO39)+AQ39+AR39</f>
        <v/>
      </c>
      <c r="AE39" s="11">
        <f>SUM(AG39:AO39)+AT39+AU39</f>
        <v/>
      </c>
      <c r="AF39" s="5">
        <f>AD39-AE39</f>
        <v/>
      </c>
      <c r="AG39" s="5">
        <f>E39/H39*X39</f>
        <v/>
      </c>
      <c r="AH39" s="1">
        <f>F39/H39*X39*-1</f>
        <v/>
      </c>
      <c r="AI39" s="1">
        <f>G39/H39*W39</f>
        <v/>
      </c>
      <c r="AJ39" s="1">
        <f>1/H39*V39</f>
        <v/>
      </c>
      <c r="AK39" s="1">
        <f>I39/H39*Z39</f>
        <v/>
      </c>
      <c r="AL39" s="1">
        <f>J39/H39*Z39*-1</f>
        <v/>
      </c>
      <c r="AM39" s="1">
        <f>O39/H39/(0.9*8760)</f>
        <v/>
      </c>
      <c r="AN39" s="1">
        <f>P39/H39/(0.9*8760)</f>
        <v/>
      </c>
      <c r="AO39" s="1">
        <f>Q39/H39</f>
        <v/>
      </c>
      <c r="AP39" s="1">
        <f>BG39+BH39+BI39</f>
        <v/>
      </c>
      <c r="AQ39" s="1">
        <f>(T39+U39)*-1*(K39+M39)/H39</f>
        <v/>
      </c>
      <c r="AR39" s="1">
        <f>AP39*T39</f>
        <v/>
      </c>
      <c r="AS39" s="1">
        <f>BG39+BH39</f>
        <v/>
      </c>
      <c r="AT39" s="1">
        <f>U39*(K39+M39)*-1/H39</f>
        <v/>
      </c>
      <c r="AU39" s="1">
        <f>AS39*T39</f>
        <v/>
      </c>
      <c r="AW39" s="9">
        <f>22/7</f>
        <v/>
      </c>
      <c r="AX39" s="10" t="n">
        <v>0.203205751129122</v>
      </c>
      <c r="AY39" s="10" t="n">
        <v>3.1429329</v>
      </c>
      <c r="AZ39" s="9" t="n">
        <v>0.182890835326593</v>
      </c>
      <c r="BB39" s="10">
        <f>1/H39*AX39</f>
        <v/>
      </c>
      <c r="BC39" s="10">
        <f>I39/H39*AZ39</f>
        <v/>
      </c>
      <c r="BE39" s="10">
        <f>AW39</f>
        <v/>
      </c>
      <c r="BF39" s="10">
        <f>AY39*R39</f>
        <v/>
      </c>
      <c r="BG39" s="10">
        <f>J39/H39*AZ39</f>
        <v/>
      </c>
      <c r="BH39" s="10">
        <f>(L39+N39)/H39</f>
        <v/>
      </c>
      <c r="BI39" s="10">
        <f>(K39+M39)/H39</f>
        <v/>
      </c>
      <c r="BK39" s="1">
        <f>SUM(BE39:BI39)-SUM(BB39:BC39)</f>
        <v/>
      </c>
    </row>
    <row r="40">
      <c r="B40" s="13" t="inlineStr">
        <is>
          <t>MIDAT_TSC+H2in:CH4</t>
        </is>
      </c>
      <c r="C40" s="12" t="inlineStr">
        <is>
          <t>Ethane</t>
        </is>
      </c>
      <c r="D40" s="12" t="n">
        <v>0</v>
      </c>
      <c r="E40" s="12" t="n">
        <v>0.1375867019</v>
      </c>
      <c r="F40" s="12" t="n">
        <v>0</v>
      </c>
      <c r="G40" s="12" t="n">
        <v>0</v>
      </c>
      <c r="H40" s="12" t="n">
        <v>0.05310189724</v>
      </c>
      <c r="I40" s="12" t="n">
        <v>0</v>
      </c>
      <c r="J40" s="12" t="n">
        <v>0.1181424966</v>
      </c>
      <c r="K40" s="12" t="n">
        <v>0</v>
      </c>
      <c r="L40" s="12" t="n">
        <v>0.033512947</v>
      </c>
      <c r="M40" s="12" t="n"/>
      <c r="N40" s="12" t="n"/>
      <c r="O40" s="12" t="n">
        <v>99124.32016</v>
      </c>
      <c r="P40" s="12" t="n">
        <v>54251.99777</v>
      </c>
      <c r="Q40" s="12" t="n">
        <v>1.676159756</v>
      </c>
      <c r="R40" s="24" t="n">
        <v>0.2020556</v>
      </c>
      <c r="T40" s="15" t="n">
        <v>73.71884</v>
      </c>
      <c r="U40" s="15" t="n">
        <v>-16.179128</v>
      </c>
      <c r="V40" s="21" t="n">
        <v>21.9863533</v>
      </c>
      <c r="W40" s="15" t="n">
        <v>21.500722</v>
      </c>
      <c r="X40" s="15" t="n">
        <v>7.532437</v>
      </c>
      <c r="Y40" s="16" t="n">
        <v>-140.741334</v>
      </c>
      <c r="Z40" s="15" t="n">
        <v>5.407672</v>
      </c>
      <c r="AB40" s="1">
        <f>B40</f>
        <v/>
      </c>
      <c r="AC40" s="1">
        <f>C40</f>
        <v/>
      </c>
      <c r="AD40" s="11">
        <f>SUM(AG40:AO40)+AQ40+AR40</f>
        <v/>
      </c>
      <c r="AE40" s="11">
        <f>SUM(AG40:AO40)+AT40+AU40</f>
        <v/>
      </c>
      <c r="AF40" s="5">
        <f>AD40-AE40</f>
        <v/>
      </c>
      <c r="AG40" s="5">
        <f>E40/H40*X40</f>
        <v/>
      </c>
      <c r="AH40" s="1">
        <f>F40/H40*X40*-1</f>
        <v/>
      </c>
      <c r="AI40" s="1">
        <f>G40/H40*W40</f>
        <v/>
      </c>
      <c r="AJ40" s="1">
        <f>1/H40*V40</f>
        <v/>
      </c>
      <c r="AK40" s="1">
        <f>I40/H40*Z40</f>
        <v/>
      </c>
      <c r="AL40" s="1">
        <f>J40/H40*Z40*-1</f>
        <v/>
      </c>
      <c r="AM40" s="1">
        <f>O40/H40/(0.9*8760)</f>
        <v/>
      </c>
      <c r="AN40" s="1">
        <f>P40/H40/(0.9*8760)</f>
        <v/>
      </c>
      <c r="AO40" s="1">
        <f>Q40/H40</f>
        <v/>
      </c>
      <c r="AP40" s="1">
        <f>BG40+BH40+BI40</f>
        <v/>
      </c>
      <c r="AQ40" s="1">
        <f>(T40+U40)*-1*(K40+M40)/H40</f>
        <v/>
      </c>
      <c r="AR40" s="1">
        <f>AP40*T40</f>
        <v/>
      </c>
      <c r="AS40" s="1">
        <f>BG40+BH40</f>
        <v/>
      </c>
      <c r="AT40" s="1">
        <f>U40*(K40+M40)*-1/H40</f>
        <v/>
      </c>
      <c r="AU40" s="1">
        <f>AS40*T40</f>
        <v/>
      </c>
      <c r="AW40" s="9">
        <f>22/7</f>
        <v/>
      </c>
      <c r="AX40" s="10" t="n">
        <v>0.203205751129122</v>
      </c>
      <c r="AY40" s="10" t="n">
        <v>3.1429329</v>
      </c>
      <c r="AZ40" s="9" t="n">
        <v>0.182890835326593</v>
      </c>
      <c r="BB40" s="10">
        <f>1/H40*AX40</f>
        <v/>
      </c>
      <c r="BC40" s="10">
        <f>I40/H40*AZ40</f>
        <v/>
      </c>
      <c r="BE40" s="10">
        <f>AW40</f>
        <v/>
      </c>
      <c r="BF40" s="10">
        <f>AY40*R40</f>
        <v/>
      </c>
      <c r="BG40" s="10">
        <f>J40/H40*AZ40</f>
        <v/>
      </c>
      <c r="BH40" s="10">
        <f>(L40+N40)/H40</f>
        <v/>
      </c>
      <c r="BI40" s="10">
        <f>(K40+M40)/H40</f>
        <v/>
      </c>
      <c r="BK40" s="1">
        <f>SUM(BE40:BI40)-SUM(BB40:BC40)</f>
        <v/>
      </c>
    </row>
    <row r="41">
      <c r="B41" s="13" t="inlineStr">
        <is>
          <t>NE_TSC+CC90</t>
        </is>
      </c>
      <c r="C41" s="12" t="inlineStr">
        <is>
          <t>Ethane</t>
        </is>
      </c>
      <c r="D41" s="12" t="n">
        <v>0.9</v>
      </c>
      <c r="E41" s="12" t="n">
        <v>0</v>
      </c>
      <c r="F41" s="12" t="n">
        <v>0</v>
      </c>
      <c r="G41" s="12" t="n">
        <v>0.008052966438000001</v>
      </c>
      <c r="H41" s="12" t="n">
        <v>0.05310189724</v>
      </c>
      <c r="I41" s="12" t="n">
        <v>0.02270169876</v>
      </c>
      <c r="J41" s="12" t="n">
        <v>0</v>
      </c>
      <c r="K41" s="12" t="n">
        <v>0.053111287</v>
      </c>
      <c r="L41" s="12" t="n">
        <v>0.005901254</v>
      </c>
      <c r="M41" s="12" t="n"/>
      <c r="N41" s="12" t="n"/>
      <c r="O41" s="12" t="n">
        <v>106875.1697</v>
      </c>
      <c r="P41" s="12" t="n">
        <v>58496.38728</v>
      </c>
      <c r="Q41" s="12" t="n">
        <v>1.807224085</v>
      </c>
      <c r="R41" s="24" t="n">
        <v>0.2020556</v>
      </c>
      <c r="T41" s="15" t="n">
        <v>73.71884</v>
      </c>
      <c r="U41" s="15" t="n">
        <v>-23.276809</v>
      </c>
      <c r="V41" s="21" t="n">
        <v>21.9863533</v>
      </c>
      <c r="W41" s="15" t="n">
        <v>20.789991</v>
      </c>
      <c r="X41" s="15" t="n">
        <v>9.19598</v>
      </c>
      <c r="Y41" s="16" t="n">
        <v>-150.755789</v>
      </c>
      <c r="Z41" s="15" t="n">
        <v>8.960454</v>
      </c>
      <c r="AB41" s="1">
        <f>B41</f>
        <v/>
      </c>
      <c r="AC41" s="1">
        <f>C41</f>
        <v/>
      </c>
      <c r="AD41" s="11">
        <f>SUM(AG41:AO41)+AQ41+AR41</f>
        <v/>
      </c>
      <c r="AE41" s="11">
        <f>SUM(AG41:AO41)+AT41+AU41</f>
        <v/>
      </c>
      <c r="AF41" s="5">
        <f>AD41-AE41</f>
        <v/>
      </c>
      <c r="AG41" s="5">
        <f>E41/H41*X41</f>
        <v/>
      </c>
      <c r="AH41" s="1">
        <f>F41/H41*X41*-1</f>
        <v/>
      </c>
      <c r="AI41" s="1">
        <f>G41/H41*W41</f>
        <v/>
      </c>
      <c r="AJ41" s="1">
        <f>1/H41*V41</f>
        <v/>
      </c>
      <c r="AK41" s="1">
        <f>I41/H41*Z41</f>
        <v/>
      </c>
      <c r="AL41" s="1">
        <f>J41/H41*Z41*-1</f>
        <v/>
      </c>
      <c r="AM41" s="1">
        <f>O41/H41/(0.9*8760)</f>
        <v/>
      </c>
      <c r="AN41" s="1">
        <f>P41/H41/(0.9*8760)</f>
        <v/>
      </c>
      <c r="AO41" s="1">
        <f>Q41/H41</f>
        <v/>
      </c>
      <c r="AP41" s="1">
        <f>BG41+BH41+BI41</f>
        <v/>
      </c>
      <c r="AQ41" s="1">
        <f>(T41+U41)*-1*(K41+M41)/H41</f>
        <v/>
      </c>
      <c r="AR41" s="1">
        <f>AP41*T41</f>
        <v/>
      </c>
      <c r="AS41" s="1">
        <f>BG41+BH41</f>
        <v/>
      </c>
      <c r="AT41" s="1">
        <f>U41*(K41+M41)*-1/H41</f>
        <v/>
      </c>
      <c r="AU41" s="1">
        <f>AS41*T41</f>
        <v/>
      </c>
      <c r="AW41" s="9">
        <f>22/7</f>
        <v/>
      </c>
      <c r="AX41" s="10" t="n">
        <v>0.203205751129122</v>
      </c>
      <c r="AY41" s="10" t="n">
        <v>3.1429329</v>
      </c>
      <c r="AZ41" s="9" t="n">
        <v>0.182890835326593</v>
      </c>
      <c r="BB41" s="10">
        <f>1/H41*AX41</f>
        <v/>
      </c>
      <c r="BC41" s="10">
        <f>I41/H41*AZ41</f>
        <v/>
      </c>
      <c r="BE41" s="10">
        <f>AW41</f>
        <v/>
      </c>
      <c r="BF41" s="10">
        <f>AY41*R41</f>
        <v/>
      </c>
      <c r="BG41" s="10">
        <f>J41/H41*AZ41</f>
        <v/>
      </c>
      <c r="BH41" s="10">
        <f>(L41+N41)/H41</f>
        <v/>
      </c>
      <c r="BI41" s="10">
        <f>(K41+M41)/H41</f>
        <v/>
      </c>
      <c r="BK41" s="1">
        <f>SUM(BE41:BI41)-SUM(BB41:BC41)</f>
        <v/>
      </c>
    </row>
    <row r="42">
      <c r="B42" s="13" t="inlineStr">
        <is>
          <t>NE_TSC:H2</t>
        </is>
      </c>
      <c r="C42" s="12" t="inlineStr">
        <is>
          <t>Ethane</t>
        </is>
      </c>
      <c r="D42" s="12" t="n">
        <v>0</v>
      </c>
      <c r="E42" s="12" t="n">
        <v>0</v>
      </c>
      <c r="F42" s="12" t="n">
        <v>0.1598531434</v>
      </c>
      <c r="G42" s="12" t="n">
        <v>0</v>
      </c>
      <c r="H42" s="12" t="n">
        <v>0.05310189724</v>
      </c>
      <c r="I42" s="12" t="n">
        <v>0.1318322859</v>
      </c>
      <c r="J42" s="12" t="n">
        <v>0</v>
      </c>
      <c r="K42" s="12" t="n">
        <v>0</v>
      </c>
      <c r="L42" s="12" t="n">
        <v>0.078770441</v>
      </c>
      <c r="M42" s="12" t="n"/>
      <c r="N42" s="12" t="n"/>
      <c r="O42" s="12" t="n">
        <v>99124.32016</v>
      </c>
      <c r="P42" s="12" t="n">
        <v>54251.99777</v>
      </c>
      <c r="Q42" s="12" t="n">
        <v>1.676159756</v>
      </c>
      <c r="R42" s="24" t="n">
        <v>0.2020556</v>
      </c>
      <c r="T42" s="15" t="n">
        <v>73.71884</v>
      </c>
      <c r="U42" s="15" t="n">
        <v>-23.276809</v>
      </c>
      <c r="V42" s="21" t="n">
        <v>21.9863533</v>
      </c>
      <c r="W42" s="15" t="n">
        <v>20.789991</v>
      </c>
      <c r="X42" s="15" t="n">
        <v>9.19598</v>
      </c>
      <c r="Y42" s="16" t="n">
        <v>-150.755789</v>
      </c>
      <c r="Z42" s="15" t="n">
        <v>8.960454</v>
      </c>
      <c r="AB42" s="1">
        <f>B42</f>
        <v/>
      </c>
      <c r="AC42" s="1">
        <f>C42</f>
        <v/>
      </c>
      <c r="AD42" s="11">
        <f>SUM(AG42:AO42)+AQ42+AR42</f>
        <v/>
      </c>
      <c r="AE42" s="11">
        <f>SUM(AG42:AO42)+AT42+AU42</f>
        <v/>
      </c>
      <c r="AF42" s="5">
        <f>AD42-AE42</f>
        <v/>
      </c>
      <c r="AG42" s="5">
        <f>E42/H42*X42</f>
        <v/>
      </c>
      <c r="AH42" s="1">
        <f>F42/H42*X42*-1</f>
        <v/>
      </c>
      <c r="AI42" s="1">
        <f>G42/H42*W42</f>
        <v/>
      </c>
      <c r="AJ42" s="1">
        <f>1/H42*V42</f>
        <v/>
      </c>
      <c r="AK42" s="1">
        <f>I42/H42*Z42</f>
        <v/>
      </c>
      <c r="AL42" s="1">
        <f>J42/H42*Z42*-1</f>
        <v/>
      </c>
      <c r="AM42" s="1">
        <f>O42/H42/(0.9*8760)</f>
        <v/>
      </c>
      <c r="AN42" s="1">
        <f>P42/H42/(0.9*8760)</f>
        <v/>
      </c>
      <c r="AO42" s="1">
        <f>Q42/H42</f>
        <v/>
      </c>
      <c r="AP42" s="1">
        <f>BG42+BH42+BI42</f>
        <v/>
      </c>
      <c r="AQ42" s="1">
        <f>(T42+U42)*-1*(K42+M42)/H42</f>
        <v/>
      </c>
      <c r="AR42" s="1">
        <f>AP42*T42</f>
        <v/>
      </c>
      <c r="AS42" s="1">
        <f>BG42+BH42</f>
        <v/>
      </c>
      <c r="AT42" s="1">
        <f>U42*(K42+M42)*-1/H42</f>
        <v/>
      </c>
      <c r="AU42" s="1">
        <f>AS42*T42</f>
        <v/>
      </c>
      <c r="AW42" s="9">
        <f>22/7</f>
        <v/>
      </c>
      <c r="AX42" s="10" t="n">
        <v>0.203205751129122</v>
      </c>
      <c r="AY42" s="10" t="n">
        <v>3.1429329</v>
      </c>
      <c r="AZ42" s="9" t="n">
        <v>0.182890835326593</v>
      </c>
      <c r="BB42" s="10">
        <f>1/H42*AX42</f>
        <v/>
      </c>
      <c r="BC42" s="10">
        <f>I42/H42*AZ42</f>
        <v/>
      </c>
      <c r="BE42" s="10">
        <f>AW42</f>
        <v/>
      </c>
      <c r="BF42" s="10">
        <f>AY42*R42</f>
        <v/>
      </c>
      <c r="BG42" s="10">
        <f>J42/H42*AZ42</f>
        <v/>
      </c>
      <c r="BH42" s="10">
        <f>(L42+N42)/H42</f>
        <v/>
      </c>
      <c r="BI42" s="10">
        <f>(K42+M42)/H42</f>
        <v/>
      </c>
      <c r="BK42" s="1">
        <f>SUM(BE42:BI42)-SUM(BB42:BC42)</f>
        <v/>
      </c>
    </row>
    <row r="43">
      <c r="B43" s="13" t="inlineStr">
        <is>
          <t>NE_TSC+CC90:H2</t>
        </is>
      </c>
      <c r="C43" s="12" t="inlineStr">
        <is>
          <t>Ethane</t>
        </is>
      </c>
      <c r="D43" s="12" t="n">
        <v>0.9</v>
      </c>
      <c r="E43" s="12" t="n">
        <v>0</v>
      </c>
      <c r="F43" s="12" t="n">
        <v>0.1598531434</v>
      </c>
      <c r="G43" s="12" t="n">
        <v>0.009388736698</v>
      </c>
      <c r="H43" s="12" t="n">
        <v>0.05310189724</v>
      </c>
      <c r="I43" s="12" t="n">
        <v>0.1318322859</v>
      </c>
      <c r="J43" s="12" t="n">
        <v>0</v>
      </c>
      <c r="K43" s="12" t="n">
        <v>0.070893397</v>
      </c>
      <c r="L43" s="12" t="n">
        <v>0.007877044</v>
      </c>
      <c r="M43" s="12" t="n"/>
      <c r="N43" s="12" t="n"/>
      <c r="O43" s="12" t="n">
        <v>106900.9741</v>
      </c>
      <c r="P43" s="12" t="n">
        <v>58510.18581</v>
      </c>
      <c r="Q43" s="12" t="n">
        <v>1.807660423</v>
      </c>
      <c r="R43" s="24" t="n">
        <v>0.2020556</v>
      </c>
      <c r="T43" s="15" t="n">
        <v>73.71884</v>
      </c>
      <c r="U43" s="15" t="n">
        <v>-23.276809</v>
      </c>
      <c r="V43" s="21" t="n">
        <v>21.9863533</v>
      </c>
      <c r="W43" s="15" t="n">
        <v>20.789991</v>
      </c>
      <c r="X43" s="15" t="n">
        <v>9.19598</v>
      </c>
      <c r="Y43" s="16" t="n">
        <v>-150.755789</v>
      </c>
      <c r="Z43" s="15" t="n">
        <v>8.960454</v>
      </c>
      <c r="AB43" s="1">
        <f>B43</f>
        <v/>
      </c>
      <c r="AC43" s="1">
        <f>C43</f>
        <v/>
      </c>
      <c r="AD43" s="11">
        <f>SUM(AG43:AO43)+AQ43+AR43</f>
        <v/>
      </c>
      <c r="AE43" s="11">
        <f>SUM(AG43:AO43)+AT43+AU43</f>
        <v/>
      </c>
      <c r="AF43" s="5">
        <f>AD43-AE43</f>
        <v/>
      </c>
      <c r="AG43" s="5">
        <f>E43/H43*X43</f>
        <v/>
      </c>
      <c r="AH43" s="1">
        <f>F43/H43*X43*-1</f>
        <v/>
      </c>
      <c r="AI43" s="1">
        <f>G43/H43*W43</f>
        <v/>
      </c>
      <c r="AJ43" s="1">
        <f>1/H43*V43</f>
        <v/>
      </c>
      <c r="AK43" s="1">
        <f>I43/H43*Z43</f>
        <v/>
      </c>
      <c r="AL43" s="1">
        <f>J43/H43*Z43*-1</f>
        <v/>
      </c>
      <c r="AM43" s="1">
        <f>O43/H43/(0.9*8760)</f>
        <v/>
      </c>
      <c r="AN43" s="1">
        <f>P43/H43/(0.9*8760)</f>
        <v/>
      </c>
      <c r="AO43" s="1">
        <f>Q43/H43</f>
        <v/>
      </c>
      <c r="AP43" s="1">
        <f>BG43+BH43+BI43</f>
        <v/>
      </c>
      <c r="AQ43" s="1">
        <f>(T43+U43)*-1*(K43+M43)/H43</f>
        <v/>
      </c>
      <c r="AR43" s="1">
        <f>AP43*T43</f>
        <v/>
      </c>
      <c r="AS43" s="1">
        <f>BG43+BH43</f>
        <v/>
      </c>
      <c r="AT43" s="1">
        <f>U43*(K43+M43)*-1/H43</f>
        <v/>
      </c>
      <c r="AU43" s="1">
        <f>AS43*T43</f>
        <v/>
      </c>
      <c r="AW43" s="9">
        <f>22/7</f>
        <v/>
      </c>
      <c r="AX43" s="10" t="n">
        <v>0.203205751129122</v>
      </c>
      <c r="AY43" s="10" t="n">
        <v>3.1429329</v>
      </c>
      <c r="AZ43" s="9" t="n">
        <v>0.182890835326593</v>
      </c>
      <c r="BB43" s="10">
        <f>1/H43*AX43</f>
        <v/>
      </c>
      <c r="BC43" s="10">
        <f>I43/H43*AZ43</f>
        <v/>
      </c>
      <c r="BE43" s="10">
        <f>AW43</f>
        <v/>
      </c>
      <c r="BF43" s="10">
        <f>AY43*R43</f>
        <v/>
      </c>
      <c r="BG43" s="10">
        <f>J43/H43*AZ43</f>
        <v/>
      </c>
      <c r="BH43" s="10">
        <f>(L43+N43)/H43</f>
        <v/>
      </c>
      <c r="BI43" s="10">
        <f>(K43+M43)/H43</f>
        <v/>
      </c>
      <c r="BK43" s="1">
        <f>SUM(BE43:BI43)-SUM(BB43:BC43)</f>
        <v/>
      </c>
    </row>
    <row r="44">
      <c r="B44" s="13" t="inlineStr">
        <is>
          <t>NE_TSC+H2in</t>
        </is>
      </c>
      <c r="C44" s="12" t="inlineStr">
        <is>
          <t>Ethane</t>
        </is>
      </c>
      <c r="D44" s="12" t="n">
        <v>0</v>
      </c>
      <c r="E44" s="12" t="n">
        <v>0.02226644157</v>
      </c>
      <c r="F44" s="12" t="n">
        <v>0</v>
      </c>
      <c r="G44" s="12" t="n">
        <v>0</v>
      </c>
      <c r="H44" s="12" t="n">
        <v>0.05310189724</v>
      </c>
      <c r="I44" s="12" t="n">
        <v>0</v>
      </c>
      <c r="J44" s="12" t="n">
        <v>0</v>
      </c>
      <c r="K44" s="12" t="n">
        <v>0</v>
      </c>
      <c r="L44" s="12" t="n">
        <v>0.054902438</v>
      </c>
      <c r="M44" s="12" t="n"/>
      <c r="N44" s="12" t="n"/>
      <c r="O44" s="12" t="n">
        <v>99124.32016</v>
      </c>
      <c r="P44" s="12" t="n">
        <v>54251.99777</v>
      </c>
      <c r="Q44" s="12" t="n">
        <v>1.676159756</v>
      </c>
      <c r="R44" s="24" t="n">
        <v>0.2020556</v>
      </c>
      <c r="T44" s="15" t="n">
        <v>73.71884</v>
      </c>
      <c r="U44" s="15" t="n">
        <v>-23.276809</v>
      </c>
      <c r="V44" s="21" t="n">
        <v>21.9863533</v>
      </c>
      <c r="W44" s="15" t="n">
        <v>20.789991</v>
      </c>
      <c r="X44" s="15" t="n">
        <v>9.19598</v>
      </c>
      <c r="Y44" s="16" t="n">
        <v>-150.755789</v>
      </c>
      <c r="Z44" s="15" t="n">
        <v>8.960454</v>
      </c>
      <c r="AB44" s="1">
        <f>B44</f>
        <v/>
      </c>
      <c r="AC44" s="1">
        <f>C44</f>
        <v/>
      </c>
      <c r="AD44" s="11">
        <f>SUM(AG44:AO44)+AQ44+AR44</f>
        <v/>
      </c>
      <c r="AE44" s="11">
        <f>SUM(AG44:AO44)+AT44+AU44</f>
        <v/>
      </c>
      <c r="AF44" s="5">
        <f>AD44-AE44</f>
        <v/>
      </c>
      <c r="AG44" s="5">
        <f>E44/H44*X44</f>
        <v/>
      </c>
      <c r="AH44" s="1">
        <f>F44/H44*X44*-1</f>
        <v/>
      </c>
      <c r="AI44" s="1">
        <f>G44/H44*W44</f>
        <v/>
      </c>
      <c r="AJ44" s="1">
        <f>1/H44*V44</f>
        <v/>
      </c>
      <c r="AK44" s="1">
        <f>I44/H44*Z44</f>
        <v/>
      </c>
      <c r="AL44" s="1">
        <f>J44/H44*Z44*-1</f>
        <v/>
      </c>
      <c r="AM44" s="1">
        <f>O44/H44/(0.9*8760)</f>
        <v/>
      </c>
      <c r="AN44" s="1">
        <f>P44/H44/(0.9*8760)</f>
        <v/>
      </c>
      <c r="AO44" s="1">
        <f>Q44/H44</f>
        <v/>
      </c>
      <c r="AP44" s="1">
        <f>BG44+BH44+BI44</f>
        <v/>
      </c>
      <c r="AQ44" s="1">
        <f>(T44+U44)*-1*(K44+M44)/H44</f>
        <v/>
      </c>
      <c r="AR44" s="1">
        <f>AP44*T44</f>
        <v/>
      </c>
      <c r="AS44" s="1">
        <f>BG44+BH44</f>
        <v/>
      </c>
      <c r="AT44" s="1">
        <f>U44*(K44+M44)*-1/H44</f>
        <v/>
      </c>
      <c r="AU44" s="1">
        <f>AS44*T44</f>
        <v/>
      </c>
      <c r="AW44" s="9">
        <f>22/7</f>
        <v/>
      </c>
      <c r="AX44" s="10" t="n">
        <v>0.203205751129122</v>
      </c>
      <c r="AY44" s="10" t="n">
        <v>3.1429329</v>
      </c>
      <c r="AZ44" s="9" t="n">
        <v>0.182890835326593</v>
      </c>
      <c r="BB44" s="10">
        <f>1/H44*AX44</f>
        <v/>
      </c>
      <c r="BC44" s="10">
        <f>I44/H44*AZ44</f>
        <v/>
      </c>
      <c r="BE44" s="10">
        <f>AW44</f>
        <v/>
      </c>
      <c r="BF44" s="10">
        <f>AY44*R44</f>
        <v/>
      </c>
      <c r="BG44" s="10">
        <f>J44/H44*AZ44</f>
        <v/>
      </c>
      <c r="BH44" s="10">
        <f>(L44+N44)/H44</f>
        <v/>
      </c>
      <c r="BI44" s="10">
        <f>(K44+M44)/H44</f>
        <v/>
      </c>
      <c r="BK44" s="1">
        <f>SUM(BE44:BI44)-SUM(BB44:BC44)</f>
        <v/>
      </c>
    </row>
    <row r="45">
      <c r="B45" s="13" t="inlineStr">
        <is>
          <t>NE_TSC+H2in:CH4</t>
        </is>
      </c>
      <c r="C45" s="12" t="inlineStr">
        <is>
          <t>Ethane</t>
        </is>
      </c>
      <c r="D45" s="12" t="n">
        <v>0</v>
      </c>
      <c r="E45" s="12" t="n">
        <v>0.1375867019</v>
      </c>
      <c r="F45" s="12" t="n">
        <v>0</v>
      </c>
      <c r="G45" s="12" t="n">
        <v>0</v>
      </c>
      <c r="H45" s="12" t="n">
        <v>0.05310189724</v>
      </c>
      <c r="I45" s="12" t="n">
        <v>0</v>
      </c>
      <c r="J45" s="12" t="n">
        <v>0.1181424966</v>
      </c>
      <c r="K45" s="12" t="n">
        <v>0</v>
      </c>
      <c r="L45" s="12" t="n">
        <v>0.033512947</v>
      </c>
      <c r="M45" s="12" t="n"/>
      <c r="N45" s="12" t="n"/>
      <c r="O45" s="12" t="n">
        <v>99124.32016</v>
      </c>
      <c r="P45" s="12" t="n">
        <v>54251.99777</v>
      </c>
      <c r="Q45" s="12" t="n">
        <v>1.676159756</v>
      </c>
      <c r="R45" s="24" t="n">
        <v>0.2020556</v>
      </c>
      <c r="T45" s="15" t="n">
        <v>73.71884</v>
      </c>
      <c r="U45" s="15" t="n">
        <v>-23.276809</v>
      </c>
      <c r="V45" s="21" t="n">
        <v>21.9863533</v>
      </c>
      <c r="W45" s="15" t="n">
        <v>20.789991</v>
      </c>
      <c r="X45" s="15" t="n">
        <v>9.19598</v>
      </c>
      <c r="Y45" s="16" t="n">
        <v>-150.755789</v>
      </c>
      <c r="Z45" s="15" t="n">
        <v>8.960454</v>
      </c>
      <c r="AB45" s="1">
        <f>B45</f>
        <v/>
      </c>
      <c r="AC45" s="1">
        <f>C45</f>
        <v/>
      </c>
      <c r="AD45" s="11">
        <f>SUM(AG45:AO45)+AQ45+AR45</f>
        <v/>
      </c>
      <c r="AE45" s="11">
        <f>SUM(AG45:AO45)+AT45+AU45</f>
        <v/>
      </c>
      <c r="AF45" s="5">
        <f>AD45-AE45</f>
        <v/>
      </c>
      <c r="AG45" s="5">
        <f>E45/H45*X45</f>
        <v/>
      </c>
      <c r="AH45" s="1">
        <f>F45/H45*X45*-1</f>
        <v/>
      </c>
      <c r="AI45" s="1">
        <f>G45/H45*W45</f>
        <v/>
      </c>
      <c r="AJ45" s="1">
        <f>1/H45*V45</f>
        <v/>
      </c>
      <c r="AK45" s="1">
        <f>I45/H45*Z45</f>
        <v/>
      </c>
      <c r="AL45" s="1">
        <f>J45/H45*Z45*-1</f>
        <v/>
      </c>
      <c r="AM45" s="1">
        <f>O45/H45/(0.9*8760)</f>
        <v/>
      </c>
      <c r="AN45" s="1">
        <f>P45/H45/(0.9*8760)</f>
        <v/>
      </c>
      <c r="AO45" s="1">
        <f>Q45/H45</f>
        <v/>
      </c>
      <c r="AP45" s="1">
        <f>BG45+BH45+BI45</f>
        <v/>
      </c>
      <c r="AQ45" s="1">
        <f>(T45+U45)*-1*(K45+M45)/H45</f>
        <v/>
      </c>
      <c r="AR45" s="1">
        <f>AP45*T45</f>
        <v/>
      </c>
      <c r="AS45" s="1">
        <f>BG45+BH45</f>
        <v/>
      </c>
      <c r="AT45" s="1">
        <f>U45*(K45+M45)*-1/H45</f>
        <v/>
      </c>
      <c r="AU45" s="1">
        <f>AS45*T45</f>
        <v/>
      </c>
      <c r="AW45" s="9">
        <f>22/7</f>
        <v/>
      </c>
      <c r="AX45" s="10" t="n">
        <v>0.203205751129122</v>
      </c>
      <c r="AY45" s="10" t="n">
        <v>3.1429329</v>
      </c>
      <c r="AZ45" s="9" t="n">
        <v>0.182890835326593</v>
      </c>
      <c r="BB45" s="10">
        <f>1/H45*AX45</f>
        <v/>
      </c>
      <c r="BC45" s="10">
        <f>I45/H45*AZ45</f>
        <v/>
      </c>
      <c r="BE45" s="10">
        <f>AW45</f>
        <v/>
      </c>
      <c r="BF45" s="10">
        <f>AY45*R45</f>
        <v/>
      </c>
      <c r="BG45" s="10">
        <f>J45/H45*AZ45</f>
        <v/>
      </c>
      <c r="BH45" s="10">
        <f>(L45+N45)/H45</f>
        <v/>
      </c>
      <c r="BI45" s="10">
        <f>(K45+M45)/H45</f>
        <v/>
      </c>
      <c r="BK45" s="1">
        <f>SUM(BE45:BI45)-SUM(BB45:BC45)</f>
        <v/>
      </c>
    </row>
    <row r="46">
      <c r="B46" s="13" t="inlineStr">
        <is>
          <t>SW_ESC</t>
        </is>
      </c>
      <c r="C46" s="12" t="inlineStr">
        <is>
          <t>Ethane</t>
        </is>
      </c>
      <c r="D46" s="12" t="n">
        <v>0</v>
      </c>
      <c r="E46" s="12" t="n">
        <v>0</v>
      </c>
      <c r="F46" s="12" t="n">
        <v>0.1598531434</v>
      </c>
      <c r="G46" s="12" t="n">
        <v>0.1913827933</v>
      </c>
      <c r="H46" s="12" t="n">
        <v>0.05310189724</v>
      </c>
      <c r="I46" s="12" t="n">
        <v>0</v>
      </c>
      <c r="J46" s="12" t="n">
        <v>0.1181424966</v>
      </c>
      <c r="K46" s="12" t="n">
        <v>0</v>
      </c>
      <c r="L46" s="12" t="n">
        <v>0.033512947</v>
      </c>
      <c r="M46" s="12" t="n"/>
      <c r="N46" s="12" t="n"/>
      <c r="O46" s="12" t="n">
        <v>131324.1148</v>
      </c>
      <c r="P46" s="12" t="n">
        <v>71875.35400000001</v>
      </c>
      <c r="Q46" s="12" t="n">
        <v>2.220647733</v>
      </c>
      <c r="R46" s="24" t="n">
        <v>0.2020556</v>
      </c>
      <c r="T46" s="15" t="n">
        <v>73.71884</v>
      </c>
      <c r="U46" s="15" t="n">
        <v>-4.302149</v>
      </c>
      <c r="V46" s="21" t="n">
        <v>21.9863533</v>
      </c>
      <c r="W46" s="15" t="n">
        <v>21.021514</v>
      </c>
      <c r="X46" s="15" t="n">
        <v>9.044067999999999</v>
      </c>
      <c r="Y46" s="16" t="n">
        <v>-126.225199</v>
      </c>
      <c r="Z46" s="15" t="n">
        <v>10.321106</v>
      </c>
      <c r="AB46" s="1">
        <f>B46</f>
        <v/>
      </c>
      <c r="AC46" s="1">
        <f>C46</f>
        <v/>
      </c>
      <c r="AD46" s="11">
        <f>SUM(AG46:AO46)+AQ46+AR46</f>
        <v/>
      </c>
      <c r="AE46" s="11">
        <f>SUM(AG46:AO46)+AT46+AU46</f>
        <v/>
      </c>
      <c r="AF46" s="5">
        <f>AD46-AE46</f>
        <v/>
      </c>
      <c r="AG46" s="5">
        <f>E46/H46*X46</f>
        <v/>
      </c>
      <c r="AH46" s="1">
        <f>F46/H46*X46*-1</f>
        <v/>
      </c>
      <c r="AI46" s="1">
        <f>G46/H46*W46</f>
        <v/>
      </c>
      <c r="AJ46" s="1">
        <f>1/H46*V46</f>
        <v/>
      </c>
      <c r="AK46" s="1">
        <f>I46/H46*Z46</f>
        <v/>
      </c>
      <c r="AL46" s="1">
        <f>J46/H46*Z46*-1</f>
        <v/>
      </c>
      <c r="AM46" s="1">
        <f>O46/H46/(0.9*8760)</f>
        <v/>
      </c>
      <c r="AN46" s="1">
        <f>P46/H46/(0.9*8760)</f>
        <v/>
      </c>
      <c r="AO46" s="1">
        <f>Q46/H46</f>
        <v/>
      </c>
      <c r="AP46" s="1">
        <f>BG46+BH46+BI46</f>
        <v/>
      </c>
      <c r="AQ46" s="1">
        <f>(T46+U46)*-1*(K46+M46)/H46</f>
        <v/>
      </c>
      <c r="AR46" s="1">
        <f>AP46*T46</f>
        <v/>
      </c>
      <c r="AS46" s="1">
        <f>BG46+BH46</f>
        <v/>
      </c>
      <c r="AT46" s="1">
        <f>U46*(K46+M46)*-1/H46</f>
        <v/>
      </c>
      <c r="AU46" s="1">
        <f>AS46*T46</f>
        <v/>
      </c>
      <c r="AW46" s="9">
        <f>22/7</f>
        <v/>
      </c>
      <c r="AX46" s="10" t="n">
        <v>0.203205751129122</v>
      </c>
      <c r="AY46" s="10" t="n">
        <v>3.1429329</v>
      </c>
      <c r="AZ46" s="9" t="n">
        <v>0.182890835326593</v>
      </c>
      <c r="BB46" s="10">
        <f>1/H46*AX46</f>
        <v/>
      </c>
      <c r="BC46" s="10">
        <f>I46/H46*AZ46</f>
        <v/>
      </c>
      <c r="BE46" s="10">
        <f>AW46</f>
        <v/>
      </c>
      <c r="BF46" s="10">
        <f>AY46*R46</f>
        <v/>
      </c>
      <c r="BG46" s="10">
        <f>J46/H46*AZ46</f>
        <v/>
      </c>
      <c r="BH46" s="10">
        <f>(L46+N46)/H46</f>
        <v/>
      </c>
      <c r="BI46" s="10">
        <f>(K46+M46)/H46</f>
        <v/>
      </c>
      <c r="BK46" s="1">
        <f>SUM(BE46:BI46)-SUM(BB46:BC46)</f>
        <v/>
      </c>
    </row>
    <row r="47">
      <c r="B47" s="13" t="inlineStr">
        <is>
          <t>TX_ESC</t>
        </is>
      </c>
      <c r="C47" s="12" t="inlineStr">
        <is>
          <t>Ethane</t>
        </is>
      </c>
      <c r="D47" s="12" t="n">
        <v>0</v>
      </c>
      <c r="E47" s="12" t="n">
        <v>0</v>
      </c>
      <c r="F47" s="12" t="n">
        <v>0.1598531434</v>
      </c>
      <c r="G47" s="12" t="n">
        <v>0.1913827933</v>
      </c>
      <c r="H47" s="12" t="n">
        <v>0.05310189724</v>
      </c>
      <c r="I47" s="12" t="n">
        <v>0</v>
      </c>
      <c r="J47" s="12" t="n">
        <v>0.1181424966</v>
      </c>
      <c r="K47" s="12" t="n">
        <v>0</v>
      </c>
      <c r="L47" s="12" t="n">
        <v>0.033512947</v>
      </c>
      <c r="M47" s="12" t="n"/>
      <c r="N47" s="12" t="n"/>
      <c r="O47" s="12" t="n">
        <v>131324.1148</v>
      </c>
      <c r="P47" s="12" t="n">
        <v>71875.35400000001</v>
      </c>
      <c r="Q47" s="12" t="n">
        <v>2.220647733</v>
      </c>
      <c r="R47" s="24" t="n">
        <v>0.2020556</v>
      </c>
      <c r="T47" s="15" t="n">
        <v>73.71884</v>
      </c>
      <c r="U47" s="15" t="n">
        <v>-5.000084</v>
      </c>
      <c r="V47" s="21" t="n">
        <v>21.9863533</v>
      </c>
      <c r="W47" s="15" t="n">
        <v>21.357777</v>
      </c>
      <c r="X47" s="15" t="n">
        <v>7.54831</v>
      </c>
      <c r="Y47" s="16" t="n">
        <v>-126.782873</v>
      </c>
      <c r="Z47" s="15" t="n">
        <v>8.60172</v>
      </c>
      <c r="AB47" s="1">
        <f>B47</f>
        <v/>
      </c>
      <c r="AC47" s="1">
        <f>C47</f>
        <v/>
      </c>
      <c r="AD47" s="11">
        <f>SUM(AG47:AO47)+AQ47+AR47</f>
        <v/>
      </c>
      <c r="AE47" s="11">
        <f>SUM(AG47:AO47)+AT47+AU47</f>
        <v/>
      </c>
      <c r="AF47" s="5">
        <f>AD47-AE47</f>
        <v/>
      </c>
      <c r="AG47" s="5">
        <f>E47/H47*X47</f>
        <v/>
      </c>
      <c r="AH47" s="1">
        <f>F47/H47*X47*-1</f>
        <v/>
      </c>
      <c r="AI47" s="1">
        <f>G47/H47*W47</f>
        <v/>
      </c>
      <c r="AJ47" s="1">
        <f>1/H47*V47</f>
        <v/>
      </c>
      <c r="AK47" s="1">
        <f>I47/H47*Z47</f>
        <v/>
      </c>
      <c r="AL47" s="1">
        <f>J47/H47*Z47*-1</f>
        <v/>
      </c>
      <c r="AM47" s="1">
        <f>O47/H47/(0.9*8760)</f>
        <v/>
      </c>
      <c r="AN47" s="1">
        <f>P47/H47/(0.9*8760)</f>
        <v/>
      </c>
      <c r="AO47" s="1">
        <f>Q47/H47</f>
        <v/>
      </c>
      <c r="AP47" s="1">
        <f>BG47+BH47+BI47</f>
        <v/>
      </c>
      <c r="AQ47" s="1">
        <f>(T47+U47)*-1*(K47+M47)/H47</f>
        <v/>
      </c>
      <c r="AR47" s="1">
        <f>AP47*T47</f>
        <v/>
      </c>
      <c r="AS47" s="1">
        <f>BG47+BH47</f>
        <v/>
      </c>
      <c r="AT47" s="1">
        <f>U47*(K47+M47)*-1/H47</f>
        <v/>
      </c>
      <c r="AU47" s="1">
        <f>AS47*T47</f>
        <v/>
      </c>
      <c r="AW47" s="9">
        <f>22/7</f>
        <v/>
      </c>
      <c r="AX47" s="10" t="n">
        <v>0.203205751129122</v>
      </c>
      <c r="AY47" s="10" t="n">
        <v>3.1429329</v>
      </c>
      <c r="AZ47" s="9" t="n">
        <v>0.182890835326593</v>
      </c>
      <c r="BB47" s="10">
        <f>1/H47*AX47</f>
        <v/>
      </c>
      <c r="BC47" s="10">
        <f>I47/H47*AZ47</f>
        <v/>
      </c>
      <c r="BE47" s="10">
        <f>AW47</f>
        <v/>
      </c>
      <c r="BF47" s="10">
        <f>AY47*R47</f>
        <v/>
      </c>
      <c r="BG47" s="10">
        <f>J47/H47*AZ47</f>
        <v/>
      </c>
      <c r="BH47" s="10">
        <f>(L47+N47)/H47</f>
        <v/>
      </c>
      <c r="BI47" s="10">
        <f>(K47+M47)/H47</f>
        <v/>
      </c>
      <c r="BK47" s="1">
        <f>SUM(BE47:BI47)-SUM(BB47:BC47)</f>
        <v/>
      </c>
    </row>
    <row r="48">
      <c r="B48" s="13" t="inlineStr">
        <is>
          <t>NCEN_ESC</t>
        </is>
      </c>
      <c r="C48" s="12" t="inlineStr">
        <is>
          <t>Ethane</t>
        </is>
      </c>
      <c r="D48" s="12" t="n">
        <v>0</v>
      </c>
      <c r="E48" s="12" t="n">
        <v>0</v>
      </c>
      <c r="F48" s="12" t="n">
        <v>0.1598531434</v>
      </c>
      <c r="G48" s="12" t="n">
        <v>0.1913827933</v>
      </c>
      <c r="H48" s="12" t="n">
        <v>0.05310189724</v>
      </c>
      <c r="I48" s="12" t="n">
        <v>0</v>
      </c>
      <c r="J48" s="12" t="n">
        <v>0.1181424966</v>
      </c>
      <c r="K48" s="12" t="n">
        <v>0</v>
      </c>
      <c r="L48" s="12" t="n">
        <v>0.033512947</v>
      </c>
      <c r="M48" s="12" t="n"/>
      <c r="N48" s="12" t="n"/>
      <c r="O48" s="12" t="n">
        <v>131324.1148</v>
      </c>
      <c r="P48" s="12" t="n">
        <v>71875.35400000001</v>
      </c>
      <c r="Q48" s="12" t="n">
        <v>2.220647733</v>
      </c>
      <c r="R48" s="24" t="n">
        <v>0.2020556</v>
      </c>
      <c r="T48" s="15" t="n">
        <v>73.71884</v>
      </c>
      <c r="U48" s="15" t="n">
        <v>-6.097314</v>
      </c>
      <c r="V48" s="21" t="n">
        <v>21.9863533</v>
      </c>
      <c r="W48" s="15" t="n">
        <v>22.90669</v>
      </c>
      <c r="X48" s="15" t="n">
        <v>13.197062</v>
      </c>
      <c r="Y48" s="16" t="n">
        <v>-129.528977</v>
      </c>
      <c r="Z48" s="15" t="n">
        <v>14.953878</v>
      </c>
      <c r="AB48" s="1">
        <f>B48</f>
        <v/>
      </c>
      <c r="AC48" s="1">
        <f>C48</f>
        <v/>
      </c>
      <c r="AD48" s="11">
        <f>SUM(AG48:AO48)+AQ48+AR48</f>
        <v/>
      </c>
      <c r="AE48" s="11">
        <f>SUM(AG48:AO48)+AT48+AU48</f>
        <v/>
      </c>
      <c r="AF48" s="5">
        <f>AD48-AE48</f>
        <v/>
      </c>
      <c r="AG48" s="5">
        <f>E48/H48*X48</f>
        <v/>
      </c>
      <c r="AH48" s="1">
        <f>F48/H48*X48*-1</f>
        <v/>
      </c>
      <c r="AI48" s="1">
        <f>G48/H48*W48</f>
        <v/>
      </c>
      <c r="AJ48" s="1">
        <f>1/H48*V48</f>
        <v/>
      </c>
      <c r="AK48" s="1">
        <f>I48/H48*Z48</f>
        <v/>
      </c>
      <c r="AL48" s="1">
        <f>J48/H48*Z48*-1</f>
        <v/>
      </c>
      <c r="AM48" s="1">
        <f>O48/H48/(0.9*8760)</f>
        <v/>
      </c>
      <c r="AN48" s="1">
        <f>P48/H48/(0.9*8760)</f>
        <v/>
      </c>
      <c r="AO48" s="1">
        <f>Q48/H48</f>
        <v/>
      </c>
      <c r="AP48" s="1">
        <f>BG48+BH48+BI48</f>
        <v/>
      </c>
      <c r="AQ48" s="1">
        <f>(T48+U48)*-1*(K48+M48)/H48</f>
        <v/>
      </c>
      <c r="AR48" s="1">
        <f>AP48*T48</f>
        <v/>
      </c>
      <c r="AS48" s="1">
        <f>BG48+BH48</f>
        <v/>
      </c>
      <c r="AT48" s="1">
        <f>U48*(K48+M48)*-1/H48</f>
        <v/>
      </c>
      <c r="AU48" s="1">
        <f>AS48*T48</f>
        <v/>
      </c>
      <c r="AW48" s="9">
        <f>22/7</f>
        <v/>
      </c>
      <c r="AX48" s="10" t="n">
        <v>0.203205751129122</v>
      </c>
      <c r="AY48" s="10" t="n">
        <v>3.1429329</v>
      </c>
      <c r="AZ48" s="9" t="n">
        <v>0.182890835326593</v>
      </c>
      <c r="BB48" s="10">
        <f>1/H48*AX48</f>
        <v/>
      </c>
      <c r="BC48" s="10">
        <f>I48/H48*AZ48</f>
        <v/>
      </c>
      <c r="BE48" s="10">
        <f>AW48</f>
        <v/>
      </c>
      <c r="BF48" s="10">
        <f>AY48*R48</f>
        <v/>
      </c>
      <c r="BG48" s="10">
        <f>J48/H48*AZ48</f>
        <v/>
      </c>
      <c r="BH48" s="10">
        <f>(L48+N48)/H48</f>
        <v/>
      </c>
      <c r="BI48" s="10">
        <f>(K48+M48)/H48</f>
        <v/>
      </c>
      <c r="BK48" s="1">
        <f>SUM(BE48:BI48)-SUM(BB48:BC48)</f>
        <v/>
      </c>
    </row>
    <row r="49">
      <c r="B49" s="13" t="inlineStr">
        <is>
          <t>CEN_ESC</t>
        </is>
      </c>
      <c r="C49" s="12" t="inlineStr">
        <is>
          <t>Ethane</t>
        </is>
      </c>
      <c r="D49" s="12" t="n">
        <v>0</v>
      </c>
      <c r="E49" s="12" t="n">
        <v>0</v>
      </c>
      <c r="F49" s="12" t="n">
        <v>0.1598531434</v>
      </c>
      <c r="G49" s="12" t="n">
        <v>0.1913827933</v>
      </c>
      <c r="H49" s="12" t="n">
        <v>0.05310189724</v>
      </c>
      <c r="I49" s="12" t="n">
        <v>0</v>
      </c>
      <c r="J49" s="12" t="n">
        <v>0.1181424966</v>
      </c>
      <c r="K49" s="12" t="n">
        <v>0</v>
      </c>
      <c r="L49" s="12" t="n">
        <v>0.033512947</v>
      </c>
      <c r="M49" s="12" t="n"/>
      <c r="N49" s="12" t="n"/>
      <c r="O49" s="12" t="n">
        <v>131324.1148</v>
      </c>
      <c r="P49" s="12" t="n">
        <v>71875.35400000001</v>
      </c>
      <c r="Q49" s="12" t="n">
        <v>2.220647733</v>
      </c>
      <c r="R49" s="24" t="n">
        <v>0.2020556</v>
      </c>
      <c r="T49" s="15" t="n">
        <v>73.71884</v>
      </c>
      <c r="U49" s="15" t="n">
        <v>-6.199254</v>
      </c>
      <c r="V49" s="21" t="n">
        <v>21.9863533</v>
      </c>
      <c r="W49" s="15" t="n">
        <v>22.465142</v>
      </c>
      <c r="X49" s="15" t="n">
        <v>13.285634</v>
      </c>
      <c r="Y49" s="16" t="n">
        <v>-129.681448</v>
      </c>
      <c r="Z49" s="15" t="n">
        <v>15.046749</v>
      </c>
      <c r="AB49" s="1">
        <f>B49</f>
        <v/>
      </c>
      <c r="AC49" s="1">
        <f>C49</f>
        <v/>
      </c>
      <c r="AD49" s="11">
        <f>SUM(AG49:AO49)+AQ49+AR49</f>
        <v/>
      </c>
      <c r="AE49" s="11">
        <f>SUM(AG49:AO49)+AT49+AU49</f>
        <v/>
      </c>
      <c r="AF49" s="5">
        <f>AD49-AE49</f>
        <v/>
      </c>
      <c r="AG49" s="5">
        <f>E49/H49*X49</f>
        <v/>
      </c>
      <c r="AH49" s="1">
        <f>F49/H49*X49*-1</f>
        <v/>
      </c>
      <c r="AI49" s="1">
        <f>G49/H49*W49</f>
        <v/>
      </c>
      <c r="AJ49" s="1">
        <f>1/H49*V49</f>
        <v/>
      </c>
      <c r="AK49" s="1">
        <f>I49/H49*Z49</f>
        <v/>
      </c>
      <c r="AL49" s="1">
        <f>J49/H49*Z49*-1</f>
        <v/>
      </c>
      <c r="AM49" s="1">
        <f>O49/H49/(0.9*8760)</f>
        <v/>
      </c>
      <c r="AN49" s="1">
        <f>P49/H49/(0.9*8760)</f>
        <v/>
      </c>
      <c r="AO49" s="1">
        <f>Q49/H49</f>
        <v/>
      </c>
      <c r="AP49" s="1">
        <f>BG49+BH49+BI49</f>
        <v/>
      </c>
      <c r="AQ49" s="1">
        <f>(T49+U49)*-1*(K49+M49)/H49</f>
        <v/>
      </c>
      <c r="AR49" s="1">
        <f>AP49*T49</f>
        <v/>
      </c>
      <c r="AS49" s="1">
        <f>BG49+BH49</f>
        <v/>
      </c>
      <c r="AT49" s="1">
        <f>U49*(K49+M49)*-1/H49</f>
        <v/>
      </c>
      <c r="AU49" s="1">
        <f>AS49*T49</f>
        <v/>
      </c>
      <c r="AW49" s="9">
        <f>22/7</f>
        <v/>
      </c>
      <c r="AX49" s="10" t="n">
        <v>0.203205751129122</v>
      </c>
      <c r="AY49" s="10" t="n">
        <v>3.1429329</v>
      </c>
      <c r="AZ49" s="9" t="n">
        <v>0.182890835326593</v>
      </c>
      <c r="BB49" s="10">
        <f>1/H49*AX49</f>
        <v/>
      </c>
      <c r="BC49" s="10">
        <f>I49/H49*AZ49</f>
        <v/>
      </c>
      <c r="BE49" s="10">
        <f>AW49</f>
        <v/>
      </c>
      <c r="BF49" s="10">
        <f>AY49*R49</f>
        <v/>
      </c>
      <c r="BG49" s="10">
        <f>J49/H49*AZ49</f>
        <v/>
      </c>
      <c r="BH49" s="10">
        <f>(L49+N49)/H49</f>
        <v/>
      </c>
      <c r="BI49" s="10">
        <f>(K49+M49)/H49</f>
        <v/>
      </c>
      <c r="BK49" s="1">
        <f>SUM(BE49:BI49)-SUM(BB49:BC49)</f>
        <v/>
      </c>
    </row>
    <row r="50">
      <c r="B50" s="13" t="inlineStr">
        <is>
          <t>SE_ESC</t>
        </is>
      </c>
      <c r="C50" s="12" t="inlineStr">
        <is>
          <t>Ethane</t>
        </is>
      </c>
      <c r="D50" s="12" t="n">
        <v>0</v>
      </c>
      <c r="E50" s="12" t="n">
        <v>0</v>
      </c>
      <c r="F50" s="12" t="n">
        <v>0.1598531434</v>
      </c>
      <c r="G50" s="12" t="n">
        <v>0.1913827933</v>
      </c>
      <c r="H50" s="12" t="n">
        <v>0.05310189724</v>
      </c>
      <c r="I50" s="12" t="n">
        <v>0</v>
      </c>
      <c r="J50" s="12" t="n">
        <v>0.1181424966</v>
      </c>
      <c r="K50" s="12" t="n">
        <v>0</v>
      </c>
      <c r="L50" s="12" t="n">
        <v>0.033512947</v>
      </c>
      <c r="M50" s="12" t="n"/>
      <c r="N50" s="12" t="n"/>
      <c r="O50" s="12" t="n">
        <v>131324.1148</v>
      </c>
      <c r="P50" s="12" t="n">
        <v>71875.35400000001</v>
      </c>
      <c r="Q50" s="12" t="n">
        <v>2.220647733</v>
      </c>
      <c r="R50" s="24" t="n">
        <v>0.2020556</v>
      </c>
      <c r="T50" s="15" t="n">
        <v>73.71884</v>
      </c>
      <c r="U50" s="15" t="n">
        <v>-6.091002</v>
      </c>
      <c r="V50" s="21" t="n">
        <v>21.9863533</v>
      </c>
      <c r="W50" s="15" t="n">
        <v>21.266241</v>
      </c>
      <c r="X50" s="15" t="n">
        <v>7.267779</v>
      </c>
      <c r="Y50" s="16" t="n">
        <v>-128.077631</v>
      </c>
      <c r="Z50" s="15" t="n">
        <v>7.96358</v>
      </c>
      <c r="AB50" s="1">
        <f>B50</f>
        <v/>
      </c>
      <c r="AC50" s="1">
        <f>C50</f>
        <v/>
      </c>
      <c r="AD50" s="11">
        <f>SUM(AG50:AO50)+AQ50+AR50</f>
        <v/>
      </c>
      <c r="AE50" s="11">
        <f>SUM(AG50:AO50)+AT50+AU50</f>
        <v/>
      </c>
      <c r="AF50" s="5">
        <f>AD50-AE50</f>
        <v/>
      </c>
      <c r="AG50" s="5">
        <f>E50/H50*X50</f>
        <v/>
      </c>
      <c r="AH50" s="1">
        <f>F50/H50*X50*-1</f>
        <v/>
      </c>
      <c r="AI50" s="1">
        <f>G50/H50*W50</f>
        <v/>
      </c>
      <c r="AJ50" s="1">
        <f>1/H50*V50</f>
        <v/>
      </c>
      <c r="AK50" s="1">
        <f>I50/H50*Z50</f>
        <v/>
      </c>
      <c r="AL50" s="1">
        <f>J50/H50*Z50*-1</f>
        <v/>
      </c>
      <c r="AM50" s="1">
        <f>O50/H50/(0.9*8760)</f>
        <v/>
      </c>
      <c r="AN50" s="1">
        <f>P50/H50/(0.9*8760)</f>
        <v/>
      </c>
      <c r="AO50" s="1">
        <f>Q50/H50</f>
        <v/>
      </c>
      <c r="AP50" s="1">
        <f>BG50+BH50+BI50</f>
        <v/>
      </c>
      <c r="AQ50" s="1">
        <f>(T50+U50)*-1*(K50+M50)/H50</f>
        <v/>
      </c>
      <c r="AR50" s="1">
        <f>AP50*T50</f>
        <v/>
      </c>
      <c r="AS50" s="1">
        <f>BG50+BH50</f>
        <v/>
      </c>
      <c r="AT50" s="1">
        <f>U50*(K50+M50)*-1/H50</f>
        <v/>
      </c>
      <c r="AU50" s="1">
        <f>AS50*T50</f>
        <v/>
      </c>
      <c r="AW50" s="9">
        <f>22/7</f>
        <v/>
      </c>
      <c r="AX50" s="10" t="n">
        <v>0.203205751129122</v>
      </c>
      <c r="AY50" s="10" t="n">
        <v>3.1429329</v>
      </c>
      <c r="AZ50" s="9" t="n">
        <v>0.182890835326593</v>
      </c>
      <c r="BB50" s="10">
        <f>1/H50*AX50</f>
        <v/>
      </c>
      <c r="BC50" s="10">
        <f>I50/H50*AZ50</f>
        <v/>
      </c>
      <c r="BE50" s="10">
        <f>AW50</f>
        <v/>
      </c>
      <c r="BF50" s="10">
        <f>AY50*R50</f>
        <v/>
      </c>
      <c r="BG50" s="10">
        <f>J50/H50*AZ50</f>
        <v/>
      </c>
      <c r="BH50" s="10">
        <f>(L50+N50)/H50</f>
        <v/>
      </c>
      <c r="BI50" s="10">
        <f>(K50+M50)/H50</f>
        <v/>
      </c>
      <c r="BK50" s="1">
        <f>SUM(BE50:BI50)-SUM(BB50:BC50)</f>
        <v/>
      </c>
    </row>
    <row r="51">
      <c r="B51" s="13" t="inlineStr">
        <is>
          <t>MIDAT_ESC</t>
        </is>
      </c>
      <c r="C51" s="12" t="inlineStr">
        <is>
          <t>Ethane</t>
        </is>
      </c>
      <c r="D51" s="12" t="n">
        <v>0</v>
      </c>
      <c r="E51" s="12" t="n">
        <v>0</v>
      </c>
      <c r="F51" s="12" t="n">
        <v>0.1598531434</v>
      </c>
      <c r="G51" s="12" t="n">
        <v>0.1913827933</v>
      </c>
      <c r="H51" s="12" t="n">
        <v>0.05310189724</v>
      </c>
      <c r="I51" s="12" t="n">
        <v>0</v>
      </c>
      <c r="J51" s="12" t="n">
        <v>0.1181424966</v>
      </c>
      <c r="K51" s="12" t="n">
        <v>0</v>
      </c>
      <c r="L51" s="12" t="n">
        <v>0.033512947</v>
      </c>
      <c r="M51" s="12" t="n"/>
      <c r="N51" s="12" t="n"/>
      <c r="O51" s="12" t="n">
        <v>131324.1148</v>
      </c>
      <c r="P51" s="12" t="n">
        <v>71875.35400000001</v>
      </c>
      <c r="Q51" s="12" t="n">
        <v>2.220647733</v>
      </c>
      <c r="R51" s="24" t="n">
        <v>0.2020556</v>
      </c>
      <c r="T51" s="15" t="n">
        <v>73.71884</v>
      </c>
      <c r="U51" s="15" t="n">
        <v>-16.179128</v>
      </c>
      <c r="V51" s="21" t="n">
        <v>21.9863533</v>
      </c>
      <c r="W51" s="15" t="n">
        <v>21.500722</v>
      </c>
      <c r="X51" s="15" t="n">
        <v>7.532437</v>
      </c>
      <c r="Y51" s="16" t="n">
        <v>-140.741334</v>
      </c>
      <c r="Z51" s="15" t="n">
        <v>5.407672</v>
      </c>
      <c r="AB51" s="1">
        <f>B51</f>
        <v/>
      </c>
      <c r="AC51" s="1">
        <f>C51</f>
        <v/>
      </c>
      <c r="AD51" s="11">
        <f>SUM(AG51:AO51)+AQ51+AR51</f>
        <v/>
      </c>
      <c r="AE51" s="11">
        <f>SUM(AG51:AO51)+AT51+AU51</f>
        <v/>
      </c>
      <c r="AF51" s="5">
        <f>AD51-AE51</f>
        <v/>
      </c>
      <c r="AG51" s="5">
        <f>E51/H51*X51</f>
        <v/>
      </c>
      <c r="AH51" s="1">
        <f>F51/H51*X51*-1</f>
        <v/>
      </c>
      <c r="AI51" s="1">
        <f>G51/H51*W51</f>
        <v/>
      </c>
      <c r="AJ51" s="1">
        <f>1/H51*V51</f>
        <v/>
      </c>
      <c r="AK51" s="1">
        <f>I51/H51*Z51</f>
        <v/>
      </c>
      <c r="AL51" s="1">
        <f>J51/H51*Z51*-1</f>
        <v/>
      </c>
      <c r="AM51" s="1">
        <f>O51/H51/(0.9*8760)</f>
        <v/>
      </c>
      <c r="AN51" s="1">
        <f>P51/H51/(0.9*8760)</f>
        <v/>
      </c>
      <c r="AO51" s="1">
        <f>Q51/H51</f>
        <v/>
      </c>
      <c r="AP51" s="1">
        <f>BG51+BH51+BI51</f>
        <v/>
      </c>
      <c r="AQ51" s="1">
        <f>(T51+U51)*-1*(K51+M51)/H51</f>
        <v/>
      </c>
      <c r="AR51" s="1">
        <f>AP51*T51</f>
        <v/>
      </c>
      <c r="AS51" s="1">
        <f>BG51+BH51</f>
        <v/>
      </c>
      <c r="AT51" s="1">
        <f>U51*(K51+M51)*-1/H51</f>
        <v/>
      </c>
      <c r="AU51" s="1">
        <f>AS51*T51</f>
        <v/>
      </c>
      <c r="AW51" s="9">
        <f>22/7</f>
        <v/>
      </c>
      <c r="AX51" s="10" t="n">
        <v>0.203205751129122</v>
      </c>
      <c r="AY51" s="10" t="n">
        <v>3.1429329</v>
      </c>
      <c r="AZ51" s="9" t="n">
        <v>0.182890835326593</v>
      </c>
      <c r="BB51" s="10">
        <f>1/H51*AX51</f>
        <v/>
      </c>
      <c r="BC51" s="10">
        <f>I51/H51*AZ51</f>
        <v/>
      </c>
      <c r="BE51" s="10">
        <f>AW51</f>
        <v/>
      </c>
      <c r="BF51" s="10">
        <f>AY51*R51</f>
        <v/>
      </c>
      <c r="BG51" s="10">
        <f>J51/H51*AZ51</f>
        <v/>
      </c>
      <c r="BH51" s="10">
        <f>(L51+N51)/H51</f>
        <v/>
      </c>
      <c r="BI51" s="10">
        <f>(K51+M51)/H51</f>
        <v/>
      </c>
      <c r="BK51" s="1">
        <f>SUM(BE51:BI51)-SUM(BB51:BC51)</f>
        <v/>
      </c>
    </row>
    <row r="52">
      <c r="B52" s="13" t="inlineStr">
        <is>
          <t>NE_ESC</t>
        </is>
      </c>
      <c r="C52" s="12" t="inlineStr">
        <is>
          <t>Ethane</t>
        </is>
      </c>
      <c r="D52" s="12" t="n">
        <v>0</v>
      </c>
      <c r="E52" s="12" t="n">
        <v>0</v>
      </c>
      <c r="F52" s="12" t="n">
        <v>0.1598531434</v>
      </c>
      <c r="G52" s="12" t="n">
        <v>0.1913827933</v>
      </c>
      <c r="H52" s="12" t="n">
        <v>0.05310189724</v>
      </c>
      <c r="I52" s="12" t="n">
        <v>0</v>
      </c>
      <c r="J52" s="12" t="n">
        <v>0.1181424966</v>
      </c>
      <c r="K52" s="12" t="n">
        <v>0</v>
      </c>
      <c r="L52" s="12" t="n">
        <v>0.033512947</v>
      </c>
      <c r="M52" s="12" t="n"/>
      <c r="N52" s="12" t="n"/>
      <c r="O52" s="12" t="n">
        <v>131324.1148</v>
      </c>
      <c r="P52" s="12" t="n">
        <v>71875.35400000001</v>
      </c>
      <c r="Q52" s="12" t="n">
        <v>2.220647733</v>
      </c>
      <c r="R52" s="24" t="n">
        <v>0.2020556</v>
      </c>
      <c r="T52" s="15" t="n">
        <v>73.71884</v>
      </c>
      <c r="U52" s="15" t="n">
        <v>-23.276809</v>
      </c>
      <c r="V52" s="21" t="n">
        <v>21.9863533</v>
      </c>
      <c r="W52" s="15" t="n">
        <v>20.789991</v>
      </c>
      <c r="X52" s="15" t="n">
        <v>9.19598</v>
      </c>
      <c r="Y52" s="16" t="n">
        <v>-150.755789</v>
      </c>
      <c r="Z52" s="15" t="n">
        <v>8.960454</v>
      </c>
      <c r="AB52" s="1">
        <f>B52</f>
        <v/>
      </c>
      <c r="AC52" s="1">
        <f>C52</f>
        <v/>
      </c>
      <c r="AD52" s="11">
        <f>SUM(AG52:AO52)+AQ52+AR52</f>
        <v/>
      </c>
      <c r="AE52" s="11">
        <f>SUM(AG52:AO52)+AT52+AU52</f>
        <v/>
      </c>
      <c r="AF52" s="5">
        <f>AD52-AE52</f>
        <v/>
      </c>
      <c r="AG52" s="5">
        <f>E52/H52*X52</f>
        <v/>
      </c>
      <c r="AH52" s="1">
        <f>F52/H52*X52*-1</f>
        <v/>
      </c>
      <c r="AI52" s="1">
        <f>G52/H52*W52</f>
        <v/>
      </c>
      <c r="AJ52" s="1">
        <f>1/H52*V52</f>
        <v/>
      </c>
      <c r="AK52" s="1">
        <f>I52/H52*Z52</f>
        <v/>
      </c>
      <c r="AL52" s="1">
        <f>J52/H52*Z52*-1</f>
        <v/>
      </c>
      <c r="AM52" s="1">
        <f>O52/H52/(0.9*8760)</f>
        <v/>
      </c>
      <c r="AN52" s="1">
        <f>P52/H52/(0.9*8760)</f>
        <v/>
      </c>
      <c r="AO52" s="1">
        <f>Q52/H52</f>
        <v/>
      </c>
      <c r="AP52" s="1">
        <f>BG52+BH52+BI52</f>
        <v/>
      </c>
      <c r="AQ52" s="1">
        <f>(T52+U52)*-1*(K52+M52)/H52</f>
        <v/>
      </c>
      <c r="AR52" s="1">
        <f>AP52*T52</f>
        <v/>
      </c>
      <c r="AS52" s="1">
        <f>BG52+BH52</f>
        <v/>
      </c>
      <c r="AT52" s="1">
        <f>U52*(K52+M52)*-1/H52</f>
        <v/>
      </c>
      <c r="AU52" s="1">
        <f>AS52*T52</f>
        <v/>
      </c>
      <c r="AW52" s="9">
        <f>22/7</f>
        <v/>
      </c>
      <c r="AX52" s="10" t="n">
        <v>0.203205751129122</v>
      </c>
      <c r="AY52" s="10" t="n">
        <v>3.1429329</v>
      </c>
      <c r="AZ52" s="9" t="n">
        <v>0.182890835326593</v>
      </c>
      <c r="BB52" s="10">
        <f>1/H52*AX52</f>
        <v/>
      </c>
      <c r="BC52" s="10">
        <f>I52/H52*AZ52</f>
        <v/>
      </c>
      <c r="BE52" s="10">
        <f>AW52</f>
        <v/>
      </c>
      <c r="BF52" s="10">
        <f>AY52*R52</f>
        <v/>
      </c>
      <c r="BG52" s="10">
        <f>J52/H52*AZ52</f>
        <v/>
      </c>
      <c r="BH52" s="10">
        <f>(L52+N52)/H52</f>
        <v/>
      </c>
      <c r="BI52" s="10">
        <f>(K52+M52)/H52</f>
        <v/>
      </c>
      <c r="BK52" s="1">
        <f>SUM(BE52:BI52)-SUM(BB52:BC52)</f>
        <v/>
      </c>
    </row>
    <row r="53">
      <c r="B53" s="13" t="inlineStr">
        <is>
          <t>NE_ESC</t>
        </is>
      </c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2" t="n"/>
      <c r="P53" s="12" t="n"/>
      <c r="Q53" s="12" t="n"/>
      <c r="R53" s="24" t="n">
        <v>0.2020556</v>
      </c>
      <c r="T53" s="15" t="n">
        <v>73.71884</v>
      </c>
      <c r="U53" s="15" t="n">
        <v>-23.276809</v>
      </c>
      <c r="V53" s="21" t="n">
        <v>21.9863533</v>
      </c>
      <c r="W53" s="15" t="n">
        <v>20.789991</v>
      </c>
      <c r="X53" s="15" t="n">
        <v>9.19598</v>
      </c>
      <c r="Y53" s="16" t="n">
        <v>-150.755789</v>
      </c>
      <c r="Z53" s="15" t="n">
        <v>8.960454</v>
      </c>
      <c r="AB53" s="1">
        <f>B53</f>
        <v/>
      </c>
      <c r="AC53" s="1">
        <f>C53</f>
        <v/>
      </c>
      <c r="AD53" s="11">
        <f>SUM(AG53:AO53)+AQ53+AR53</f>
        <v/>
      </c>
      <c r="AE53" s="11">
        <f>SUM(AG53:AO53)+AT53+AU53</f>
        <v/>
      </c>
      <c r="AF53" s="5">
        <f>AD53-AE53</f>
        <v/>
      </c>
      <c r="AG53" s="5">
        <f>E53/H53*X53</f>
        <v/>
      </c>
      <c r="AH53" s="1">
        <f>F53/H53*X53*-1</f>
        <v/>
      </c>
      <c r="AI53" s="1">
        <f>G53/H53*W53</f>
        <v/>
      </c>
      <c r="AJ53" s="1">
        <f>1/H53*V53</f>
        <v/>
      </c>
      <c r="AK53" s="1">
        <f>I53/H53*Z53</f>
        <v/>
      </c>
      <c r="AL53" s="1">
        <f>J53/H53*Z53*-1</f>
        <v/>
      </c>
      <c r="AM53" s="1">
        <f>O53/H53/(0.9*8760)</f>
        <v/>
      </c>
      <c r="AN53" s="1">
        <f>P53/H53/(0.9*8760)</f>
        <v/>
      </c>
      <c r="AO53" s="1">
        <f>Q53/H53</f>
        <v/>
      </c>
      <c r="AP53" s="1">
        <f>BG53+BH53+BI53</f>
        <v/>
      </c>
      <c r="AQ53" s="1">
        <f>(T53+U53)*-1*(K53+M53)/H53</f>
        <v/>
      </c>
      <c r="AR53" s="1">
        <f>AP53*T53</f>
        <v/>
      </c>
      <c r="AS53" s="1">
        <f>BG53+BH53</f>
        <v/>
      </c>
      <c r="AT53" s="1">
        <f>U53*(K53+M53)*-1/H53</f>
        <v/>
      </c>
      <c r="AU53" s="1">
        <f>AS53*T53</f>
        <v/>
      </c>
      <c r="AW53" s="9">
        <f>22/7</f>
        <v/>
      </c>
      <c r="AX53" s="10" t="n">
        <v>0.203205751129122</v>
      </c>
      <c r="AY53" s="10" t="n">
        <v>3.1429329</v>
      </c>
      <c r="AZ53" s="9" t="n">
        <v>0.182890835326593</v>
      </c>
      <c r="BB53" s="10">
        <f>1/H53*AX53</f>
        <v/>
      </c>
      <c r="BC53" s="10">
        <f>I53/H53*AZ53</f>
        <v/>
      </c>
      <c r="BE53" s="10">
        <f>AW53</f>
        <v/>
      </c>
      <c r="BF53" s="10">
        <f>AY53*R53</f>
        <v/>
      </c>
      <c r="BG53" s="10">
        <f>J53/H53*AZ53</f>
        <v/>
      </c>
      <c r="BH53" s="10">
        <f>(L53+N53)/H53</f>
        <v/>
      </c>
      <c r="BI53" s="10">
        <f>(K53+M53)/H53</f>
        <v/>
      </c>
      <c r="BK53" s="1">
        <f>SUM(BE53:BI53)-SUM(BB53:BC53)</f>
        <v/>
      </c>
    </row>
    <row r="54">
      <c r="B54" s="13" t="inlineStr">
        <is>
          <t>NE_ESC</t>
        </is>
      </c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  <c r="P54" s="12" t="n"/>
      <c r="Q54" s="12" t="n"/>
      <c r="R54" s="24" t="n">
        <v>0.2020556</v>
      </c>
      <c r="T54" s="15" t="n">
        <v>73.71884</v>
      </c>
      <c r="U54" s="15" t="n">
        <v>-23.276809</v>
      </c>
      <c r="V54" s="21" t="n">
        <v>21.9863533</v>
      </c>
      <c r="W54" s="15" t="n">
        <v>20.789991</v>
      </c>
      <c r="X54" s="15" t="n">
        <v>9.19598</v>
      </c>
      <c r="Y54" s="16" t="n">
        <v>-150.755789</v>
      </c>
      <c r="Z54" s="15" t="n">
        <v>8.960454</v>
      </c>
      <c r="AB54" s="1">
        <f>B54</f>
        <v/>
      </c>
      <c r="AC54" s="1">
        <f>C54</f>
        <v/>
      </c>
      <c r="AD54" s="11">
        <f>SUM(AG54:AO54)+AQ54+AR54</f>
        <v/>
      </c>
      <c r="AE54" s="11">
        <f>SUM(AG54:AO54)+AT54+AU54</f>
        <v/>
      </c>
      <c r="AF54" s="5">
        <f>AD54-AE54</f>
        <v/>
      </c>
      <c r="AG54" s="5">
        <f>E54/H54*X54</f>
        <v/>
      </c>
      <c r="AH54" s="1">
        <f>F54/H54*X54*-1</f>
        <v/>
      </c>
      <c r="AI54" s="1">
        <f>G54/H54*W54</f>
        <v/>
      </c>
      <c r="AJ54" s="1">
        <f>1/H54*V54</f>
        <v/>
      </c>
      <c r="AK54" s="1">
        <f>I54/H54*Z54</f>
        <v/>
      </c>
      <c r="AL54" s="1">
        <f>J54/H54*Z54*-1</f>
        <v/>
      </c>
      <c r="AM54" s="1">
        <f>O54/H54/(0.9*8760)</f>
        <v/>
      </c>
      <c r="AN54" s="1">
        <f>P54/H54/(0.9*8760)</f>
        <v/>
      </c>
      <c r="AO54" s="1">
        <f>Q54/H54</f>
        <v/>
      </c>
      <c r="AP54" s="1">
        <f>BG54+BH54+BI54</f>
        <v/>
      </c>
      <c r="AQ54" s="1">
        <f>(T54+U54)*-1*(K54+M54)/H54</f>
        <v/>
      </c>
      <c r="AR54" s="1">
        <f>AP54*T54</f>
        <v/>
      </c>
      <c r="AS54" s="1">
        <f>BG54+BH54</f>
        <v/>
      </c>
      <c r="AT54" s="1">
        <f>U54*(K54+M54)*-1/H54</f>
        <v/>
      </c>
      <c r="AU54" s="1">
        <f>AS54*T54</f>
        <v/>
      </c>
      <c r="AW54" s="9">
        <f>22/7</f>
        <v/>
      </c>
      <c r="AX54" s="10" t="n">
        <v>0.203205751129122</v>
      </c>
      <c r="AY54" s="10" t="n">
        <v>3.1429329</v>
      </c>
      <c r="AZ54" s="9" t="n">
        <v>0.182890835326593</v>
      </c>
      <c r="BB54" s="10">
        <f>1/H54*AX54</f>
        <v/>
      </c>
      <c r="BC54" s="10">
        <f>I54/H54*AZ54</f>
        <v/>
      </c>
      <c r="BE54" s="10">
        <f>AW54</f>
        <v/>
      </c>
      <c r="BF54" s="10">
        <f>AY54*R54</f>
        <v/>
      </c>
      <c r="BG54" s="10">
        <f>J54/H54*AZ54</f>
        <v/>
      </c>
      <c r="BH54" s="10">
        <f>(L54+N54)/H54</f>
        <v/>
      </c>
      <c r="BI54" s="10">
        <f>(K54+M54)/H54</f>
        <v/>
      </c>
      <c r="BK54" s="1">
        <f>SUM(BE54:BI54)-SUM(BB54:BC54)</f>
        <v/>
      </c>
    </row>
    <row r="55">
      <c r="B55" s="13" t="inlineStr">
        <is>
          <t>NE_ESC</t>
        </is>
      </c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24" t="n">
        <v>0.2020556</v>
      </c>
      <c r="T55" s="15" t="n">
        <v>73.71884</v>
      </c>
      <c r="U55" s="15" t="n">
        <v>-23.276809</v>
      </c>
      <c r="V55" s="21" t="n">
        <v>21.9863533</v>
      </c>
      <c r="W55" s="15" t="n">
        <v>20.789991</v>
      </c>
      <c r="X55" s="15" t="n">
        <v>9.19598</v>
      </c>
      <c r="Y55" s="16" t="n">
        <v>-150.755789</v>
      </c>
      <c r="Z55" s="15" t="n">
        <v>8.960454</v>
      </c>
      <c r="AB55" s="1">
        <f>B55</f>
        <v/>
      </c>
      <c r="AC55" s="1">
        <f>C55</f>
        <v/>
      </c>
      <c r="AD55" s="11">
        <f>SUM(AG55:AO55)+AQ55+AR55</f>
        <v/>
      </c>
      <c r="AE55" s="11">
        <f>SUM(AG55:AO55)+AT55+AU55</f>
        <v/>
      </c>
      <c r="AF55" s="5">
        <f>AD55-AE55</f>
        <v/>
      </c>
      <c r="AG55" s="5">
        <f>E55/H55*X55</f>
        <v/>
      </c>
      <c r="AH55" s="1">
        <f>F55/H55*X55*-1</f>
        <v/>
      </c>
      <c r="AI55" s="1">
        <f>G55/H55*W55</f>
        <v/>
      </c>
      <c r="AJ55" s="1">
        <f>1/H55*V55</f>
        <v/>
      </c>
      <c r="AK55" s="1">
        <f>I55/H55*Z55</f>
        <v/>
      </c>
      <c r="AL55" s="1">
        <f>J55/H55*Z55*-1</f>
        <v/>
      </c>
      <c r="AM55" s="1">
        <f>O55/H55/(0.9*8760)</f>
        <v/>
      </c>
      <c r="AN55" s="1">
        <f>P55/H55/(0.9*8760)</f>
        <v/>
      </c>
      <c r="AO55" s="1">
        <f>Q55/H55</f>
        <v/>
      </c>
      <c r="AP55" s="1">
        <f>BG55+BH55+BI55</f>
        <v/>
      </c>
      <c r="AQ55" s="1">
        <f>(T55+U55)*-1*(K55+M55)/H55</f>
        <v/>
      </c>
      <c r="AR55" s="1">
        <f>AP55*T55</f>
        <v/>
      </c>
      <c r="AS55" s="1">
        <f>BG55+BH55</f>
        <v/>
      </c>
      <c r="AT55" s="1">
        <f>U55*(K55+M55)*-1/H55</f>
        <v/>
      </c>
      <c r="AU55" s="1">
        <f>AS55*T55</f>
        <v/>
      </c>
      <c r="AW55" s="9">
        <f>22/7</f>
        <v/>
      </c>
      <c r="AX55" s="10" t="n">
        <v>0.203205751129122</v>
      </c>
      <c r="AY55" s="10" t="n">
        <v>3.1429329</v>
      </c>
      <c r="AZ55" s="9" t="n">
        <v>0.182890835326593</v>
      </c>
      <c r="BB55" s="10">
        <f>1/H55*AX55</f>
        <v/>
      </c>
      <c r="BC55" s="10">
        <f>I55/H55*AZ55</f>
        <v/>
      </c>
      <c r="BE55" s="10">
        <f>AW55</f>
        <v/>
      </c>
      <c r="BF55" s="10">
        <f>AY55*R55</f>
        <v/>
      </c>
      <c r="BG55" s="10">
        <f>J55/H55*AZ55</f>
        <v/>
      </c>
      <c r="BH55" s="10">
        <f>(L55+N55)/H55</f>
        <v/>
      </c>
      <c r="BI55" s="10">
        <f>(K55+M55)/H55</f>
        <v/>
      </c>
      <c r="BK55" s="1">
        <f>SUM(BE55:BI55)-SUM(BB55:BC55)</f>
        <v/>
      </c>
    </row>
    <row r="56">
      <c r="B56" s="13" t="inlineStr">
        <is>
          <t>NE_ESC</t>
        </is>
      </c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2" t="n"/>
      <c r="P56" s="12" t="n"/>
      <c r="Q56" s="12" t="n"/>
      <c r="R56" s="24" t="n">
        <v>0.2020556</v>
      </c>
      <c r="T56" s="15" t="n">
        <v>73.71884</v>
      </c>
      <c r="U56" s="15" t="n">
        <v>-23.276809</v>
      </c>
      <c r="V56" s="21" t="n">
        <v>21.9863533</v>
      </c>
      <c r="W56" s="15" t="n">
        <v>20.789991</v>
      </c>
      <c r="X56" s="15" t="n">
        <v>9.19598</v>
      </c>
      <c r="Y56" s="16" t="n">
        <v>-150.755789</v>
      </c>
      <c r="Z56" s="15" t="n">
        <v>8.960454</v>
      </c>
      <c r="AB56" s="1">
        <f>B56</f>
        <v/>
      </c>
      <c r="AC56" s="1">
        <f>C56</f>
        <v/>
      </c>
      <c r="AD56" s="11">
        <f>SUM(AG56:AO56)+AQ56+AR56</f>
        <v/>
      </c>
      <c r="AE56" s="11">
        <f>SUM(AG56:AO56)+AT56+AU56</f>
        <v/>
      </c>
      <c r="AF56" s="5">
        <f>AD56-AE56</f>
        <v/>
      </c>
      <c r="AG56" s="5">
        <f>E56/H56*X56</f>
        <v/>
      </c>
      <c r="AH56" s="1">
        <f>F56/H56*X56*-1</f>
        <v/>
      </c>
      <c r="AI56" s="1">
        <f>G56/H56*W56</f>
        <v/>
      </c>
      <c r="AJ56" s="1">
        <f>1/H56*V56</f>
        <v/>
      </c>
      <c r="AK56" s="1">
        <f>I56/H56*Z56</f>
        <v/>
      </c>
      <c r="AL56" s="1">
        <f>J56/H56*Z56*-1</f>
        <v/>
      </c>
      <c r="AM56" s="1">
        <f>O56/H56/(0.9*8760)</f>
        <v/>
      </c>
      <c r="AN56" s="1">
        <f>P56/H56/(0.9*8760)</f>
        <v/>
      </c>
      <c r="AO56" s="1">
        <f>Q56/H56</f>
        <v/>
      </c>
      <c r="AP56" s="1">
        <f>BG56+BH56+BI56</f>
        <v/>
      </c>
      <c r="AQ56" s="1">
        <f>(T56+U56)*-1*(K56+M56)/H56</f>
        <v/>
      </c>
      <c r="AR56" s="1">
        <f>AP56*T56</f>
        <v/>
      </c>
      <c r="AS56" s="1">
        <f>BG56+BH56</f>
        <v/>
      </c>
      <c r="AT56" s="1">
        <f>U56*(K56+M56)*-1/H56</f>
        <v/>
      </c>
      <c r="AU56" s="1">
        <f>AS56*T56</f>
        <v/>
      </c>
      <c r="AW56" s="9">
        <f>22/7</f>
        <v/>
      </c>
      <c r="AX56" s="10" t="n">
        <v>0.203205751129122</v>
      </c>
      <c r="AY56" s="10" t="n">
        <v>3.1429329</v>
      </c>
      <c r="AZ56" s="9" t="n">
        <v>0.182890835326593</v>
      </c>
      <c r="BB56" s="10">
        <f>1/H56*AX56</f>
        <v/>
      </c>
      <c r="BC56" s="10">
        <f>I56/H56*AZ56</f>
        <v/>
      </c>
      <c r="BE56" s="10">
        <f>AW56</f>
        <v/>
      </c>
      <c r="BF56" s="10">
        <f>AY56*R56</f>
        <v/>
      </c>
      <c r="BG56" s="10">
        <f>J56/H56*AZ56</f>
        <v/>
      </c>
      <c r="BH56" s="10">
        <f>(L56+N56)/H56</f>
        <v/>
      </c>
      <c r="BI56" s="10">
        <f>(K56+M56)/H56</f>
        <v/>
      </c>
      <c r="BK56" s="1">
        <f>SUM(BE56:BI56)-SUM(BB56:BC56)</f>
        <v/>
      </c>
    </row>
    <row r="57">
      <c r="B57" s="13" t="inlineStr">
        <is>
          <t>NE_ESC</t>
        </is>
      </c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12" t="n"/>
      <c r="P57" s="12" t="n"/>
      <c r="Q57" s="12" t="n"/>
      <c r="R57" s="24" t="n">
        <v>0.2020556</v>
      </c>
      <c r="T57" s="15" t="n">
        <v>73.71884</v>
      </c>
      <c r="U57" s="15" t="n">
        <v>-23.276809</v>
      </c>
      <c r="V57" s="21" t="n">
        <v>21.9863533</v>
      </c>
      <c r="W57" s="15" t="n">
        <v>20.789991</v>
      </c>
      <c r="X57" s="15" t="n">
        <v>9.19598</v>
      </c>
      <c r="Y57" s="16" t="n">
        <v>-150.755789</v>
      </c>
      <c r="Z57" s="15" t="n">
        <v>8.960454</v>
      </c>
      <c r="AB57" s="1">
        <f>B57</f>
        <v/>
      </c>
      <c r="AC57" s="1">
        <f>C57</f>
        <v/>
      </c>
      <c r="AD57" s="11">
        <f>SUM(AG57:AO57)+AQ57+AR57</f>
        <v/>
      </c>
      <c r="AE57" s="11">
        <f>SUM(AG57:AO57)+AT57+AU57</f>
        <v/>
      </c>
      <c r="AF57" s="5">
        <f>AD57-AE57</f>
        <v/>
      </c>
      <c r="AG57" s="5">
        <f>E57/H57*X57</f>
        <v/>
      </c>
      <c r="AH57" s="1">
        <f>F57/H57*X57*-1</f>
        <v/>
      </c>
      <c r="AI57" s="1">
        <f>G57/H57*W57</f>
        <v/>
      </c>
      <c r="AJ57" s="1">
        <f>1/H57*V57</f>
        <v/>
      </c>
      <c r="AK57" s="1">
        <f>I57/H57*Z57</f>
        <v/>
      </c>
      <c r="AL57" s="1">
        <f>J57/H57*Z57*-1</f>
        <v/>
      </c>
      <c r="AM57" s="1">
        <f>O57/H57/(0.9*8760)</f>
        <v/>
      </c>
      <c r="AN57" s="1">
        <f>P57/H57/(0.9*8760)</f>
        <v/>
      </c>
      <c r="AO57" s="1">
        <f>Q57/H57</f>
        <v/>
      </c>
      <c r="AP57" s="1">
        <f>BG57+BH57+BI57</f>
        <v/>
      </c>
      <c r="AQ57" s="1">
        <f>(T57+U57)*-1*(K57+M57)/H57</f>
        <v/>
      </c>
      <c r="AR57" s="1">
        <f>AP57*T57</f>
        <v/>
      </c>
      <c r="AS57" s="1">
        <f>BG57+BH57</f>
        <v/>
      </c>
      <c r="AT57" s="1">
        <f>U57*(K57+M57)*-1/H57</f>
        <v/>
      </c>
      <c r="AU57" s="1">
        <f>AS57*T57</f>
        <v/>
      </c>
      <c r="AW57" s="9">
        <f>22/7</f>
        <v/>
      </c>
      <c r="AX57" s="10" t="n">
        <v>0.203205751129122</v>
      </c>
      <c r="AY57" s="10" t="n">
        <v>3.1429329</v>
      </c>
      <c r="AZ57" s="9" t="n">
        <v>0.182890835326593</v>
      </c>
      <c r="BB57" s="10">
        <f>1/H57*AX57</f>
        <v/>
      </c>
      <c r="BC57" s="10">
        <f>I57/H57*AZ57</f>
        <v/>
      </c>
      <c r="BE57" s="10">
        <f>AW57</f>
        <v/>
      </c>
      <c r="BF57" s="10">
        <f>AY57*R57</f>
        <v/>
      </c>
      <c r="BG57" s="10">
        <f>J57/H57*AZ57</f>
        <v/>
      </c>
      <c r="BH57" s="10">
        <f>(L57+N57)/H57</f>
        <v/>
      </c>
      <c r="BI57" s="10">
        <f>(K57+M57)/H57</f>
        <v/>
      </c>
      <c r="BK57" s="1">
        <f>SUM(BE57:BI57)-SUM(BB57:BC57)</f>
        <v/>
      </c>
    </row>
    <row r="58">
      <c r="B58" s="13" t="inlineStr">
        <is>
          <t>NE_ESC</t>
        </is>
      </c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  <c r="P58" s="12" t="n"/>
      <c r="Q58" s="12" t="n"/>
      <c r="R58" s="24" t="n">
        <v>0.2020556</v>
      </c>
      <c r="T58" s="15" t="n">
        <v>73.71884</v>
      </c>
      <c r="U58" s="15" t="n">
        <v>-23.276809</v>
      </c>
      <c r="V58" s="21" t="n">
        <v>21.9863533</v>
      </c>
      <c r="W58" s="15" t="n">
        <v>20.789991</v>
      </c>
      <c r="X58" s="15" t="n">
        <v>9.19598</v>
      </c>
      <c r="Y58" s="16" t="n">
        <v>-150.755789</v>
      </c>
      <c r="Z58" s="15" t="n">
        <v>8.960454</v>
      </c>
      <c r="AB58" s="1">
        <f>B58</f>
        <v/>
      </c>
      <c r="AC58" s="1">
        <f>C58</f>
        <v/>
      </c>
      <c r="AD58" s="11">
        <f>SUM(AG58:AO58)+AQ58+AR58</f>
        <v/>
      </c>
      <c r="AE58" s="11">
        <f>SUM(AG58:AO58)+AT58+AU58</f>
        <v/>
      </c>
      <c r="AF58" s="5">
        <f>AD58-AE58</f>
        <v/>
      </c>
      <c r="AG58" s="5">
        <f>E58/H58*X58</f>
        <v/>
      </c>
      <c r="AH58" s="1">
        <f>F58/H58*X58*-1</f>
        <v/>
      </c>
      <c r="AI58" s="1">
        <f>G58/H58*W58</f>
        <v/>
      </c>
      <c r="AJ58" s="1">
        <f>1/H58*V58</f>
        <v/>
      </c>
      <c r="AK58" s="1">
        <f>I58/H58*Z58</f>
        <v/>
      </c>
      <c r="AL58" s="1">
        <f>J58/H58*Z58*-1</f>
        <v/>
      </c>
      <c r="AM58" s="1">
        <f>O58/H58/(0.9*8760)</f>
        <v/>
      </c>
      <c r="AN58" s="1">
        <f>P58/H58/(0.9*8760)</f>
        <v/>
      </c>
      <c r="AO58" s="1">
        <f>Q58/H58</f>
        <v/>
      </c>
      <c r="AP58" s="1">
        <f>BG58+BH58+BI58</f>
        <v/>
      </c>
      <c r="AQ58" s="1">
        <f>(T58+U58)*-1*(K58+M58)/H58</f>
        <v/>
      </c>
      <c r="AR58" s="1">
        <f>AP58*T58</f>
        <v/>
      </c>
      <c r="AS58" s="1">
        <f>BG58+BH58</f>
        <v/>
      </c>
      <c r="AT58" s="1">
        <f>U58*(K58+M58)*-1/H58</f>
        <v/>
      </c>
      <c r="AU58" s="1">
        <f>AS58*T58</f>
        <v/>
      </c>
      <c r="AW58" s="9">
        <f>22/7</f>
        <v/>
      </c>
      <c r="AX58" s="10" t="n">
        <v>0.203205751129122</v>
      </c>
      <c r="AY58" s="10" t="n">
        <v>3.1429329</v>
      </c>
      <c r="AZ58" s="9" t="n">
        <v>0.182890835326593</v>
      </c>
      <c r="BB58" s="10">
        <f>1/H58*AX58</f>
        <v/>
      </c>
      <c r="BC58" s="10">
        <f>I58/H58*AZ58</f>
        <v/>
      </c>
      <c r="BE58" s="10">
        <f>AW58</f>
        <v/>
      </c>
      <c r="BF58" s="10">
        <f>AY58*R58</f>
        <v/>
      </c>
      <c r="BG58" s="10">
        <f>J58/H58*AZ58</f>
        <v/>
      </c>
      <c r="BH58" s="10">
        <f>(L58+N58)/H58</f>
        <v/>
      </c>
      <c r="BI58" s="10">
        <f>(K58+M58)/H58</f>
        <v/>
      </c>
      <c r="BK58" s="1">
        <f>SUM(BE58:BI58)-SUM(BB58:BC58)</f>
        <v/>
      </c>
    </row>
    <row r="59">
      <c r="B59" s="13" t="inlineStr">
        <is>
          <t>NE_ESC</t>
        </is>
      </c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12" t="n"/>
      <c r="O59" s="12" t="n"/>
      <c r="P59" s="12" t="n"/>
      <c r="Q59" s="12" t="n"/>
      <c r="R59" s="24" t="n">
        <v>0.2020556</v>
      </c>
      <c r="T59" s="15" t="n">
        <v>73.71884</v>
      </c>
      <c r="U59" s="15" t="n">
        <v>-23.276809</v>
      </c>
      <c r="V59" s="21" t="n">
        <v>21.9863533</v>
      </c>
      <c r="W59" s="15" t="n">
        <v>20.789991</v>
      </c>
      <c r="X59" s="15" t="n">
        <v>9.19598</v>
      </c>
      <c r="Y59" s="16" t="n">
        <v>-150.755789</v>
      </c>
      <c r="Z59" s="15" t="n">
        <v>8.960454</v>
      </c>
      <c r="AB59" s="1">
        <f>B59</f>
        <v/>
      </c>
      <c r="AC59" s="1">
        <f>C59</f>
        <v/>
      </c>
      <c r="AD59" s="11">
        <f>SUM(AG59:AO59)+AQ59+AR59</f>
        <v/>
      </c>
      <c r="AE59" s="11">
        <f>SUM(AG59:AO59)+AT59+AU59</f>
        <v/>
      </c>
      <c r="AF59" s="5">
        <f>AD59-AE59</f>
        <v/>
      </c>
      <c r="AG59" s="5">
        <f>E59/H59*X59</f>
        <v/>
      </c>
      <c r="AH59" s="1">
        <f>F59/H59*X59*-1</f>
        <v/>
      </c>
      <c r="AI59" s="1">
        <f>G59/H59*W59</f>
        <v/>
      </c>
      <c r="AJ59" s="1">
        <f>1/H59*V59</f>
        <v/>
      </c>
      <c r="AK59" s="1">
        <f>I59/H59*Z59</f>
        <v/>
      </c>
      <c r="AL59" s="1">
        <f>J59/H59*Z59*-1</f>
        <v/>
      </c>
      <c r="AM59" s="1">
        <f>O59/H59/(0.9*8760)</f>
        <v/>
      </c>
      <c r="AN59" s="1">
        <f>P59/H59/(0.9*8760)</f>
        <v/>
      </c>
      <c r="AO59" s="1">
        <f>Q59/H59</f>
        <v/>
      </c>
      <c r="AP59" s="1">
        <f>BG59+BH59+BI59</f>
        <v/>
      </c>
      <c r="AQ59" s="1">
        <f>(T59+U59)*-1*(K59+M59)/H59</f>
        <v/>
      </c>
      <c r="AR59" s="1">
        <f>AP59*T59</f>
        <v/>
      </c>
      <c r="AS59" s="1">
        <f>BG59+BH59</f>
        <v/>
      </c>
      <c r="AT59" s="1">
        <f>U59*(K59+M59)*-1/H59</f>
        <v/>
      </c>
      <c r="AU59" s="1">
        <f>AS59*T59</f>
        <v/>
      </c>
      <c r="AW59" s="9">
        <f>22/7</f>
        <v/>
      </c>
      <c r="AX59" s="10" t="n">
        <v>0.203205751129122</v>
      </c>
      <c r="AY59" s="10" t="n">
        <v>3.1429329</v>
      </c>
      <c r="AZ59" s="9" t="n">
        <v>0.182890835326593</v>
      </c>
      <c r="BB59" s="10">
        <f>1/H59*AX59</f>
        <v/>
      </c>
      <c r="BC59" s="10">
        <f>I59/H59*AZ59</f>
        <v/>
      </c>
      <c r="BE59" s="10">
        <f>AW59</f>
        <v/>
      </c>
      <c r="BF59" s="10">
        <f>AY59*R59</f>
        <v/>
      </c>
      <c r="BG59" s="10">
        <f>J59/H59*AZ59</f>
        <v/>
      </c>
      <c r="BH59" s="10">
        <f>(L59+N59)/H59</f>
        <v/>
      </c>
      <c r="BI59" s="10">
        <f>(K59+M59)/H59</f>
        <v/>
      </c>
      <c r="BK59" s="1">
        <f>SUM(BE59:BI59)-SUM(BB59:BC59)</f>
        <v/>
      </c>
    </row>
    <row r="60">
      <c r="B60" s="13" t="inlineStr">
        <is>
          <t>NE_ESC</t>
        </is>
      </c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2" t="n"/>
      <c r="R60" s="24" t="n">
        <v>0.2020556</v>
      </c>
      <c r="T60" s="15" t="n">
        <v>73.71884</v>
      </c>
      <c r="U60" s="15" t="n">
        <v>-23.276809</v>
      </c>
      <c r="V60" s="21" t="n">
        <v>21.9863533</v>
      </c>
      <c r="W60" s="15" t="n">
        <v>20.789991</v>
      </c>
      <c r="X60" s="15" t="n">
        <v>9.19598</v>
      </c>
      <c r="Y60" s="16" t="n">
        <v>-150.755789</v>
      </c>
      <c r="Z60" s="15" t="n">
        <v>8.960454</v>
      </c>
      <c r="AB60" s="1">
        <f>B60</f>
        <v/>
      </c>
      <c r="AC60" s="1">
        <f>C60</f>
        <v/>
      </c>
      <c r="AD60" s="11">
        <f>SUM(AG60:AO60)+AQ60+AR60</f>
        <v/>
      </c>
      <c r="AE60" s="11">
        <f>SUM(AG60:AO60)+AT60+AU60</f>
        <v/>
      </c>
      <c r="AF60" s="5">
        <f>AD60-AE60</f>
        <v/>
      </c>
      <c r="AG60" s="5">
        <f>E60/H60*X60</f>
        <v/>
      </c>
      <c r="AH60" s="1">
        <f>F60/H60*X60*-1</f>
        <v/>
      </c>
      <c r="AI60" s="1">
        <f>G60/H60*W60</f>
        <v/>
      </c>
      <c r="AJ60" s="1">
        <f>1/H60*V60</f>
        <v/>
      </c>
      <c r="AK60" s="1">
        <f>I60/H60*Z60</f>
        <v/>
      </c>
      <c r="AL60" s="1">
        <f>J60/H60*Z60*-1</f>
        <v/>
      </c>
      <c r="AM60" s="1">
        <f>O60/H60/(0.9*8760)</f>
        <v/>
      </c>
      <c r="AN60" s="1">
        <f>P60/H60/(0.9*8760)</f>
        <v/>
      </c>
      <c r="AO60" s="1">
        <f>Q60/H60</f>
        <v/>
      </c>
      <c r="AP60" s="1">
        <f>BG60+BH60+BI60</f>
        <v/>
      </c>
      <c r="AQ60" s="1">
        <f>(T60+U60)*-1*(K60+M60)/H60</f>
        <v/>
      </c>
      <c r="AR60" s="1">
        <f>AP60*T60</f>
        <v/>
      </c>
      <c r="AS60" s="1">
        <f>BG60+BH60</f>
        <v/>
      </c>
      <c r="AT60" s="1">
        <f>U60*(K60+M60)*-1/H60</f>
        <v/>
      </c>
      <c r="AU60" s="1">
        <f>AS60*T60</f>
        <v/>
      </c>
      <c r="AW60" s="9">
        <f>22/7</f>
        <v/>
      </c>
      <c r="AX60" s="10" t="n">
        <v>0.203205751129122</v>
      </c>
      <c r="AY60" s="10" t="n">
        <v>3.1429329</v>
      </c>
      <c r="AZ60" s="9" t="n">
        <v>0.182890835326593</v>
      </c>
      <c r="BB60" s="10">
        <f>1/H60*AX60</f>
        <v/>
      </c>
      <c r="BC60" s="10">
        <f>I60/H60*AZ60</f>
        <v/>
      </c>
      <c r="BE60" s="10">
        <f>AW60</f>
        <v/>
      </c>
      <c r="BF60" s="10">
        <f>AY60*R60</f>
        <v/>
      </c>
      <c r="BG60" s="10">
        <f>J60/H60*AZ60</f>
        <v/>
      </c>
      <c r="BH60" s="10">
        <f>(L60+N60)/H60</f>
        <v/>
      </c>
      <c r="BI60" s="10">
        <f>(K60+M60)/H60</f>
        <v/>
      </c>
      <c r="BK60" s="1">
        <f>SUM(BE60:BI60)-SUM(BB60:BC60)</f>
        <v/>
      </c>
    </row>
    <row r="61">
      <c r="B61" s="13" t="inlineStr">
        <is>
          <t>NE_ESC</t>
        </is>
      </c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24" t="n">
        <v>0.2020556</v>
      </c>
      <c r="T61" s="15" t="n">
        <v>73.71884</v>
      </c>
      <c r="U61" s="15" t="n">
        <v>-23.276809</v>
      </c>
      <c r="V61" s="21" t="n">
        <v>21.9863533</v>
      </c>
      <c r="W61" s="15" t="n">
        <v>20.789991</v>
      </c>
      <c r="X61" s="15" t="n">
        <v>9.19598</v>
      </c>
      <c r="Y61" s="16" t="n">
        <v>-150.755789</v>
      </c>
      <c r="Z61" s="15" t="n">
        <v>8.960454</v>
      </c>
      <c r="AB61" s="1">
        <f>B61</f>
        <v/>
      </c>
      <c r="AC61" s="1">
        <f>C61</f>
        <v/>
      </c>
      <c r="AD61" s="11">
        <f>SUM(AG61:AO61)+AQ61+AR61</f>
        <v/>
      </c>
      <c r="AE61" s="11">
        <f>SUM(AG61:AO61)+AT61+AU61</f>
        <v/>
      </c>
      <c r="AF61" s="5">
        <f>AD61-AE61</f>
        <v/>
      </c>
      <c r="AG61" s="5">
        <f>E61/H61*X61</f>
        <v/>
      </c>
      <c r="AH61" s="1">
        <f>F61/H61*X61*-1</f>
        <v/>
      </c>
      <c r="AI61" s="1">
        <f>G61/H61*W61</f>
        <v/>
      </c>
      <c r="AJ61" s="1">
        <f>1/H61*V61</f>
        <v/>
      </c>
      <c r="AK61" s="1">
        <f>I61/H61*Z61</f>
        <v/>
      </c>
      <c r="AL61" s="1">
        <f>J61/H61*Z61*-1</f>
        <v/>
      </c>
      <c r="AM61" s="1">
        <f>O61/H61/(0.9*8760)</f>
        <v/>
      </c>
      <c r="AN61" s="1">
        <f>P61/H61/(0.9*8760)</f>
        <v/>
      </c>
      <c r="AO61" s="1">
        <f>Q61/H61</f>
        <v/>
      </c>
      <c r="AP61" s="1">
        <f>BG61+BH61+BI61</f>
        <v/>
      </c>
      <c r="AQ61" s="1">
        <f>(T61+U61)*-1*(K61+M61)/H61</f>
        <v/>
      </c>
      <c r="AR61" s="1">
        <f>AP61*T61</f>
        <v/>
      </c>
      <c r="AS61" s="1">
        <f>BG61+BH61</f>
        <v/>
      </c>
      <c r="AT61" s="1">
        <f>U61*(K61+M61)*-1/H61</f>
        <v/>
      </c>
      <c r="AU61" s="1">
        <f>AS61*T61</f>
        <v/>
      </c>
      <c r="AW61" s="9">
        <f>22/7</f>
        <v/>
      </c>
      <c r="AX61" s="10" t="n">
        <v>0.203205751129122</v>
      </c>
      <c r="AY61" s="10" t="n">
        <v>3.1429329</v>
      </c>
      <c r="AZ61" s="9" t="n">
        <v>0.182890835326593</v>
      </c>
      <c r="BB61" s="10">
        <f>1/H61*AX61</f>
        <v/>
      </c>
      <c r="BC61" s="10">
        <f>I61/H61*AZ61</f>
        <v/>
      </c>
      <c r="BE61" s="10">
        <f>AW61</f>
        <v/>
      </c>
      <c r="BF61" s="10">
        <f>AY61*R61</f>
        <v/>
      </c>
      <c r="BG61" s="10">
        <f>J61/H61*AZ61</f>
        <v/>
      </c>
      <c r="BH61" s="10">
        <f>(L61+N61)/H61</f>
        <v/>
      </c>
      <c r="BI61" s="10">
        <f>(K61+M61)/H61</f>
        <v/>
      </c>
      <c r="BK61" s="1">
        <f>SUM(BE61:BI61)-SUM(BB61:BC61)</f>
        <v/>
      </c>
    </row>
    <row r="62">
      <c r="B62" s="13" t="inlineStr">
        <is>
          <t>NE_ESC</t>
        </is>
      </c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24" t="n">
        <v>0.2020556</v>
      </c>
      <c r="T62" s="15" t="n">
        <v>73.71884</v>
      </c>
      <c r="U62" s="15" t="n">
        <v>-23.276809</v>
      </c>
      <c r="V62" s="21" t="n">
        <v>21.9863533</v>
      </c>
      <c r="W62" s="15" t="n">
        <v>20.789991</v>
      </c>
      <c r="X62" s="15" t="n">
        <v>9.19598</v>
      </c>
      <c r="Y62" s="16" t="n">
        <v>-150.755789</v>
      </c>
      <c r="Z62" s="15" t="n">
        <v>8.960454</v>
      </c>
      <c r="AB62" s="1">
        <f>B62</f>
        <v/>
      </c>
      <c r="AC62" s="1">
        <f>C62</f>
        <v/>
      </c>
      <c r="AD62" s="11">
        <f>SUM(AG62:AO62)+AQ62+AR62</f>
        <v/>
      </c>
      <c r="AE62" s="11">
        <f>SUM(AG62:AO62)+AT62+AU62</f>
        <v/>
      </c>
      <c r="AF62" s="5">
        <f>AD62-AE62</f>
        <v/>
      </c>
      <c r="AG62" s="5">
        <f>E62/H62*X62</f>
        <v/>
      </c>
      <c r="AH62" s="1">
        <f>F62/H62*X62*-1</f>
        <v/>
      </c>
      <c r="AI62" s="1">
        <f>G62/H62*W62</f>
        <v/>
      </c>
      <c r="AJ62" s="1">
        <f>1/H62*V62</f>
        <v/>
      </c>
      <c r="AK62" s="1">
        <f>I62/H62*Z62</f>
        <v/>
      </c>
      <c r="AL62" s="1">
        <f>J62/H62*Z62*-1</f>
        <v/>
      </c>
      <c r="AM62" s="1">
        <f>O62/H62/(0.9*8760)</f>
        <v/>
      </c>
      <c r="AN62" s="1">
        <f>P62/H62/(0.9*8760)</f>
        <v/>
      </c>
      <c r="AO62" s="1">
        <f>Q62/H62</f>
        <v/>
      </c>
      <c r="AP62" s="1">
        <f>BG62+BH62+BI62</f>
        <v/>
      </c>
      <c r="AQ62" s="1">
        <f>(T62+U62)*-1*(K62+M62)/H62</f>
        <v/>
      </c>
      <c r="AR62" s="1">
        <f>AP62*T62</f>
        <v/>
      </c>
      <c r="AS62" s="1">
        <f>BG62+BH62</f>
        <v/>
      </c>
      <c r="AT62" s="1">
        <f>U62*(K62+M62)*-1/H62</f>
        <v/>
      </c>
      <c r="AU62" s="1">
        <f>AS62*T62</f>
        <v/>
      </c>
      <c r="AW62" s="9">
        <f>22/7</f>
        <v/>
      </c>
      <c r="AX62" s="10" t="n">
        <v>0.203205751129122</v>
      </c>
      <c r="AY62" s="10" t="n">
        <v>3.1429329</v>
      </c>
      <c r="AZ62" s="9" t="n">
        <v>0.182890835326593</v>
      </c>
      <c r="BB62" s="10">
        <f>1/H62*AX62</f>
        <v/>
      </c>
      <c r="BC62" s="10">
        <f>I62/H62*AZ62</f>
        <v/>
      </c>
      <c r="BE62" s="10">
        <f>AW62</f>
        <v/>
      </c>
      <c r="BF62" s="10">
        <f>AY62*R62</f>
        <v/>
      </c>
      <c r="BG62" s="10">
        <f>J62/H62*AZ62</f>
        <v/>
      </c>
      <c r="BH62" s="10">
        <f>(L62+N62)/H62</f>
        <v/>
      </c>
      <c r="BI62" s="10">
        <f>(K62+M62)/H62</f>
        <v/>
      </c>
      <c r="BK62" s="1">
        <f>SUM(BE62:BI62)-SUM(BB62:BC62)</f>
        <v/>
      </c>
    </row>
    <row r="63">
      <c r="B63" s="13" t="inlineStr">
        <is>
          <t>NE_ESC</t>
        </is>
      </c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24" t="n">
        <v>0.2020556</v>
      </c>
      <c r="T63" s="15" t="n">
        <v>73.71884</v>
      </c>
      <c r="U63" s="15" t="n">
        <v>-23.276809</v>
      </c>
      <c r="V63" s="21" t="n">
        <v>21.9863533</v>
      </c>
      <c r="W63" s="15" t="n">
        <v>20.789991</v>
      </c>
      <c r="X63" s="15" t="n">
        <v>9.19598</v>
      </c>
      <c r="Y63" s="16" t="n">
        <v>-150.755789</v>
      </c>
      <c r="Z63" s="15" t="n">
        <v>8.960454</v>
      </c>
      <c r="AB63" s="1">
        <f>B63</f>
        <v/>
      </c>
      <c r="AC63" s="1">
        <f>C63</f>
        <v/>
      </c>
      <c r="AD63" s="11">
        <f>SUM(AG63:AO63)+AQ63+AR63</f>
        <v/>
      </c>
      <c r="AE63" s="11">
        <f>SUM(AG63:AO63)+AT63+AU63</f>
        <v/>
      </c>
      <c r="AF63" s="5">
        <f>AD63-AE63</f>
        <v/>
      </c>
      <c r="AG63" s="5">
        <f>E63/H63*X63</f>
        <v/>
      </c>
      <c r="AH63" s="1">
        <f>F63/H63*X63*-1</f>
        <v/>
      </c>
      <c r="AI63" s="1">
        <f>G63/H63*W63</f>
        <v/>
      </c>
      <c r="AJ63" s="1">
        <f>1/H63*V63</f>
        <v/>
      </c>
      <c r="AK63" s="1">
        <f>I63/H63*Z63</f>
        <v/>
      </c>
      <c r="AL63" s="1">
        <f>J63/H63*Z63*-1</f>
        <v/>
      </c>
      <c r="AM63" s="1">
        <f>O63/H63/(0.9*8760)</f>
        <v/>
      </c>
      <c r="AN63" s="1">
        <f>P63/H63/(0.9*8760)</f>
        <v/>
      </c>
      <c r="AO63" s="1">
        <f>Q63/H63</f>
        <v/>
      </c>
      <c r="AP63" s="1">
        <f>BG63+BH63+BI63</f>
        <v/>
      </c>
      <c r="AQ63" s="1">
        <f>(T63+U63)*-1*(K63+M63)/H63</f>
        <v/>
      </c>
      <c r="AR63" s="1">
        <f>AP63*T63</f>
        <v/>
      </c>
      <c r="AS63" s="1">
        <f>BG63+BH63</f>
        <v/>
      </c>
      <c r="AT63" s="1">
        <f>U63*(K63+M63)*-1/H63</f>
        <v/>
      </c>
      <c r="AU63" s="1">
        <f>AS63*T63</f>
        <v/>
      </c>
      <c r="AW63" s="9">
        <f>22/7</f>
        <v/>
      </c>
      <c r="AX63" s="10" t="n">
        <v>0.203205751129122</v>
      </c>
      <c r="AY63" s="10" t="n">
        <v>3.1429329</v>
      </c>
      <c r="AZ63" s="9" t="n">
        <v>0.182890835326593</v>
      </c>
      <c r="BB63" s="10">
        <f>1/H63*AX63</f>
        <v/>
      </c>
      <c r="BC63" s="10">
        <f>I63/H63*AZ63</f>
        <v/>
      </c>
      <c r="BE63" s="10">
        <f>AW63</f>
        <v/>
      </c>
      <c r="BF63" s="10">
        <f>AY63*R63</f>
        <v/>
      </c>
      <c r="BG63" s="10">
        <f>J63/H63*AZ63</f>
        <v/>
      </c>
      <c r="BH63" s="10">
        <f>(L63+N63)/H63</f>
        <v/>
      </c>
      <c r="BI63" s="10">
        <f>(K63+M63)/H63</f>
        <v/>
      </c>
      <c r="BK63" s="1">
        <f>SUM(BE63:BI63)-SUM(BB63:BC63)</f>
        <v/>
      </c>
    </row>
    <row r="64">
      <c r="B64" s="13" t="inlineStr">
        <is>
          <t>NE_ESC</t>
        </is>
      </c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24" t="n">
        <v>0.2020556</v>
      </c>
      <c r="T64" s="15" t="n">
        <v>73.71884</v>
      </c>
      <c r="U64" s="15" t="n">
        <v>-23.276809</v>
      </c>
      <c r="V64" s="21" t="n">
        <v>21.9863533</v>
      </c>
      <c r="W64" s="15" t="n">
        <v>20.789991</v>
      </c>
      <c r="X64" s="15" t="n">
        <v>9.19598</v>
      </c>
      <c r="Y64" s="16" t="n">
        <v>-150.755789</v>
      </c>
      <c r="Z64" s="15" t="n">
        <v>8.960454</v>
      </c>
      <c r="AB64" s="1">
        <f>B64</f>
        <v/>
      </c>
      <c r="AC64" s="1">
        <f>C64</f>
        <v/>
      </c>
      <c r="AD64" s="11">
        <f>SUM(AG64:AO64)+AQ64+AR64</f>
        <v/>
      </c>
      <c r="AE64" s="11">
        <f>SUM(AG64:AO64)+AT64+AU64</f>
        <v/>
      </c>
      <c r="AF64" s="5">
        <f>AD64-AE64</f>
        <v/>
      </c>
      <c r="AG64" s="5">
        <f>E64/H64*X64</f>
        <v/>
      </c>
      <c r="AH64" s="1">
        <f>F64/H64*X64*-1</f>
        <v/>
      </c>
      <c r="AI64" s="1">
        <f>G64/H64*W64</f>
        <v/>
      </c>
      <c r="AJ64" s="1">
        <f>1/H64*V64</f>
        <v/>
      </c>
      <c r="AK64" s="1">
        <f>I64/H64*Z64</f>
        <v/>
      </c>
      <c r="AL64" s="1">
        <f>J64/H64*Z64*-1</f>
        <v/>
      </c>
      <c r="AM64" s="1">
        <f>O64/H64/(0.9*8760)</f>
        <v/>
      </c>
      <c r="AN64" s="1">
        <f>P64/H64/(0.9*8760)</f>
        <v/>
      </c>
      <c r="AO64" s="1">
        <f>Q64/H64</f>
        <v/>
      </c>
      <c r="AP64" s="1">
        <f>BG64+BH64+BI64</f>
        <v/>
      </c>
      <c r="AQ64" s="1">
        <f>(T64+U64)*-1*(K64+M64)/H64</f>
        <v/>
      </c>
      <c r="AR64" s="1">
        <f>AP64*T64</f>
        <v/>
      </c>
      <c r="AS64" s="1">
        <f>BG64+BH64</f>
        <v/>
      </c>
      <c r="AT64" s="1">
        <f>U64*(K64+M64)*-1/H64</f>
        <v/>
      </c>
      <c r="AU64" s="1">
        <f>AS64*T64</f>
        <v/>
      </c>
      <c r="AW64" s="9">
        <f>22/7</f>
        <v/>
      </c>
      <c r="AX64" s="10" t="n">
        <v>0.203205751129122</v>
      </c>
      <c r="AY64" s="10" t="n">
        <v>3.1429329</v>
      </c>
      <c r="AZ64" s="9" t="n">
        <v>0.182890835326593</v>
      </c>
      <c r="BB64" s="10">
        <f>1/H64*AX64</f>
        <v/>
      </c>
      <c r="BC64" s="10">
        <f>I64/H64*AZ64</f>
        <v/>
      </c>
      <c r="BE64" s="10">
        <f>AW64</f>
        <v/>
      </c>
      <c r="BF64" s="10">
        <f>AY64*R64</f>
        <v/>
      </c>
      <c r="BG64" s="10">
        <f>J64/H64*AZ64</f>
        <v/>
      </c>
      <c r="BH64" s="10">
        <f>(L64+N64)/H64</f>
        <v/>
      </c>
      <c r="BI64" s="10">
        <f>(K64+M64)/H64</f>
        <v/>
      </c>
      <c r="BK64" s="1">
        <f>SUM(BE64:BI64)-SUM(BB64:BC64)</f>
        <v/>
      </c>
    </row>
    <row r="65">
      <c r="B65" s="13" t="inlineStr">
        <is>
          <t>NE_ESC</t>
        </is>
      </c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  <c r="P65" s="12" t="n"/>
      <c r="Q65" s="12" t="n"/>
      <c r="R65" s="24" t="n">
        <v>0.2020556</v>
      </c>
      <c r="T65" s="15" t="n">
        <v>73.71884</v>
      </c>
      <c r="U65" s="15" t="n">
        <v>-23.276809</v>
      </c>
      <c r="V65" s="21" t="n">
        <v>21.9863533</v>
      </c>
      <c r="W65" s="15" t="n">
        <v>20.789991</v>
      </c>
      <c r="X65" s="15" t="n">
        <v>9.19598</v>
      </c>
      <c r="Y65" s="16" t="n">
        <v>-150.755789</v>
      </c>
      <c r="Z65" s="15" t="n">
        <v>8.960454</v>
      </c>
      <c r="AB65" s="1">
        <f>B65</f>
        <v/>
      </c>
      <c r="AC65" s="1">
        <f>C65</f>
        <v/>
      </c>
      <c r="AD65" s="11">
        <f>SUM(AG65:AO65)+AQ65+AR65</f>
        <v/>
      </c>
      <c r="AE65" s="11">
        <f>SUM(AG65:AO65)+AT65+AU65</f>
        <v/>
      </c>
      <c r="AF65" s="5">
        <f>AD65-AE65</f>
        <v/>
      </c>
      <c r="AG65" s="5">
        <f>E65/H65*X65</f>
        <v/>
      </c>
      <c r="AH65" s="1">
        <f>F65/H65*X65*-1</f>
        <v/>
      </c>
      <c r="AI65" s="1">
        <f>G65/H65*W65</f>
        <v/>
      </c>
      <c r="AJ65" s="1">
        <f>1/H65*V65</f>
        <v/>
      </c>
      <c r="AK65" s="1">
        <f>I65/H65*Z65</f>
        <v/>
      </c>
      <c r="AL65" s="1">
        <f>J65/H65*Z65*-1</f>
        <v/>
      </c>
      <c r="AM65" s="1">
        <f>O65/H65/(0.9*8760)</f>
        <v/>
      </c>
      <c r="AN65" s="1">
        <f>P65/H65/(0.9*8760)</f>
        <v/>
      </c>
      <c r="AO65" s="1">
        <f>Q65/H65</f>
        <v/>
      </c>
      <c r="AP65" s="1">
        <f>BG65+BH65+BI65</f>
        <v/>
      </c>
      <c r="AQ65" s="1">
        <f>(T65+U65)*-1*(K65+M65)/H65</f>
        <v/>
      </c>
      <c r="AR65" s="1">
        <f>AP65*T65</f>
        <v/>
      </c>
      <c r="AS65" s="1">
        <f>BG65+BH65</f>
        <v/>
      </c>
      <c r="AT65" s="1">
        <f>U65*(K65+M65)*-1/H65</f>
        <v/>
      </c>
      <c r="AU65" s="1">
        <f>AS65*T65</f>
        <v/>
      </c>
      <c r="AW65" s="9">
        <f>22/7</f>
        <v/>
      </c>
      <c r="AX65" s="10" t="n">
        <v>0.203205751129122</v>
      </c>
      <c r="AY65" s="10" t="n">
        <v>3.1429329</v>
      </c>
      <c r="AZ65" s="9" t="n">
        <v>0.182890835326593</v>
      </c>
      <c r="BB65" s="10">
        <f>1/H65*AX65</f>
        <v/>
      </c>
      <c r="BC65" s="10">
        <f>I65/H65*AZ65</f>
        <v/>
      </c>
      <c r="BE65" s="10">
        <f>AW65</f>
        <v/>
      </c>
      <c r="BF65" s="10">
        <f>AY65*R65</f>
        <v/>
      </c>
      <c r="BG65" s="10">
        <f>J65/H65*AZ65</f>
        <v/>
      </c>
      <c r="BH65" s="10">
        <f>(L65+N65)/H65</f>
        <v/>
      </c>
      <c r="BI65" s="10">
        <f>(K65+M65)/H65</f>
        <v/>
      </c>
      <c r="BK65" s="1">
        <f>SUM(BE65:BI65)-SUM(BB65:BC65)</f>
        <v/>
      </c>
    </row>
    <row r="66">
      <c r="B66" s="13" t="inlineStr">
        <is>
          <t>NE_ESC</t>
        </is>
      </c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  <c r="P66" s="12" t="n"/>
      <c r="Q66" s="12" t="n"/>
      <c r="R66" s="24" t="n">
        <v>0.2020556</v>
      </c>
      <c r="T66" s="15" t="n">
        <v>73.71884</v>
      </c>
      <c r="U66" s="15" t="n">
        <v>-23.276809</v>
      </c>
      <c r="V66" s="21" t="n">
        <v>21.9863533</v>
      </c>
      <c r="W66" s="15" t="n">
        <v>20.789991</v>
      </c>
      <c r="X66" s="15" t="n">
        <v>9.19598</v>
      </c>
      <c r="Y66" s="16" t="n">
        <v>-150.755789</v>
      </c>
      <c r="Z66" s="15" t="n">
        <v>8.960454</v>
      </c>
      <c r="AB66" s="1">
        <f>B66</f>
        <v/>
      </c>
      <c r="AC66" s="1">
        <f>C66</f>
        <v/>
      </c>
      <c r="AD66" s="11">
        <f>SUM(AG66:AO66)+AQ66+AR66</f>
        <v/>
      </c>
      <c r="AE66" s="11">
        <f>SUM(AG66:AO66)+AT66+AU66</f>
        <v/>
      </c>
      <c r="AF66" s="5">
        <f>AD66-AE66</f>
        <v/>
      </c>
      <c r="AG66" s="5">
        <f>E66/H66*X66</f>
        <v/>
      </c>
      <c r="AH66" s="1">
        <f>F66/H66*X66*-1</f>
        <v/>
      </c>
      <c r="AI66" s="1">
        <f>G66/H66*W66</f>
        <v/>
      </c>
      <c r="AJ66" s="1">
        <f>1/H66*V66</f>
        <v/>
      </c>
      <c r="AK66" s="1">
        <f>I66/H66*Z66</f>
        <v/>
      </c>
      <c r="AL66" s="1">
        <f>J66/H66*Z66*-1</f>
        <v/>
      </c>
      <c r="AM66" s="1">
        <f>O66/H66/(0.9*8760)</f>
        <v/>
      </c>
      <c r="AN66" s="1">
        <f>P66/H66/(0.9*8760)</f>
        <v/>
      </c>
      <c r="AO66" s="1">
        <f>Q66/H66</f>
        <v/>
      </c>
      <c r="AP66" s="1">
        <f>BG66+BH66+BI66</f>
        <v/>
      </c>
      <c r="AQ66" s="1">
        <f>(T66+U66)*-1*(K66+M66)/H66</f>
        <v/>
      </c>
      <c r="AR66" s="1">
        <f>AP66*T66</f>
        <v/>
      </c>
      <c r="AS66" s="1">
        <f>BG66+BH66</f>
        <v/>
      </c>
      <c r="AT66" s="1">
        <f>U66*(K66+M66)*-1/H66</f>
        <v/>
      </c>
      <c r="AU66" s="1">
        <f>AS66*T66</f>
        <v/>
      </c>
      <c r="AW66" s="9">
        <f>22/7</f>
        <v/>
      </c>
      <c r="AX66" s="10" t="n">
        <v>0.203205751129122</v>
      </c>
      <c r="AY66" s="10" t="n">
        <v>3.1429329</v>
      </c>
      <c r="AZ66" s="9" t="n">
        <v>0.182890835326593</v>
      </c>
      <c r="BB66" s="10">
        <f>1/H66*AX66</f>
        <v/>
      </c>
      <c r="BC66" s="10">
        <f>I66/H66*AZ66</f>
        <v/>
      </c>
      <c r="BE66" s="10">
        <f>AW66</f>
        <v/>
      </c>
      <c r="BF66" s="10">
        <f>AY66*R66</f>
        <v/>
      </c>
      <c r="BG66" s="10">
        <f>J66/H66*AZ66</f>
        <v/>
      </c>
      <c r="BH66" s="10">
        <f>(L66+N66)/H66</f>
        <v/>
      </c>
      <c r="BI66" s="10">
        <f>(K66+M66)/H66</f>
        <v/>
      </c>
      <c r="BK66" s="1">
        <f>SUM(BE66:BI66)-SUM(BB66:BC66)</f>
        <v/>
      </c>
    </row>
    <row r="67">
      <c r="B67" s="13" t="inlineStr">
        <is>
          <t>NE_ESC</t>
        </is>
      </c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  <c r="P67" s="12" t="n"/>
      <c r="Q67" s="12" t="n"/>
      <c r="R67" s="24" t="n">
        <v>0.2020556</v>
      </c>
      <c r="T67" s="15" t="n">
        <v>73.71884</v>
      </c>
      <c r="U67" s="15" t="n">
        <v>-23.276809</v>
      </c>
      <c r="V67" s="21" t="n">
        <v>21.9863533</v>
      </c>
      <c r="W67" s="15" t="n">
        <v>20.789991</v>
      </c>
      <c r="X67" s="15" t="n">
        <v>9.19598</v>
      </c>
      <c r="Y67" s="16" t="n">
        <v>-150.755789</v>
      </c>
      <c r="Z67" s="15" t="n">
        <v>8.960454</v>
      </c>
      <c r="AB67" s="1">
        <f>B67</f>
        <v/>
      </c>
      <c r="AC67" s="1">
        <f>C67</f>
        <v/>
      </c>
      <c r="AD67" s="11">
        <f>SUM(AG67:AO67)+AQ67+AR67</f>
        <v/>
      </c>
      <c r="AE67" s="11">
        <f>SUM(AG67:AO67)+AT67+AU67</f>
        <v/>
      </c>
      <c r="AF67" s="5">
        <f>AD67-AE67</f>
        <v/>
      </c>
      <c r="AG67" s="5">
        <f>E67/H67*X67</f>
        <v/>
      </c>
      <c r="AH67" s="1">
        <f>F67/H67*X67*-1</f>
        <v/>
      </c>
      <c r="AI67" s="1">
        <f>G67/H67*W67</f>
        <v/>
      </c>
      <c r="AJ67" s="1">
        <f>1/H67*V67</f>
        <v/>
      </c>
      <c r="AK67" s="1">
        <f>I67/H67*Z67</f>
        <v/>
      </c>
      <c r="AL67" s="1">
        <f>J67/H67*Z67*-1</f>
        <v/>
      </c>
      <c r="AM67" s="1">
        <f>O67/H67/(0.9*8760)</f>
        <v/>
      </c>
      <c r="AN67" s="1">
        <f>P67/H67/(0.9*8760)</f>
        <v/>
      </c>
      <c r="AO67" s="1">
        <f>Q67/H67</f>
        <v/>
      </c>
      <c r="AP67" s="1">
        <f>BG67+BH67+BI67</f>
        <v/>
      </c>
      <c r="AQ67" s="1">
        <f>(T67+U67)*-1*(K67+M67)/H67</f>
        <v/>
      </c>
      <c r="AR67" s="1">
        <f>AP67*T67</f>
        <v/>
      </c>
      <c r="AS67" s="1">
        <f>BG67+BH67</f>
        <v/>
      </c>
      <c r="AT67" s="1">
        <f>U67*(K67+M67)*-1/H67</f>
        <v/>
      </c>
      <c r="AU67" s="1">
        <f>AS67*T67</f>
        <v/>
      </c>
      <c r="AW67" s="9">
        <f>22/7</f>
        <v/>
      </c>
      <c r="AX67" s="10" t="n">
        <v>0.203205751129122</v>
      </c>
      <c r="AY67" s="10" t="n">
        <v>3.1429329</v>
      </c>
      <c r="AZ67" s="9" t="n">
        <v>0.182890835326593</v>
      </c>
      <c r="BB67" s="10">
        <f>1/H67*AX67</f>
        <v/>
      </c>
      <c r="BC67" s="10">
        <f>I67/H67*AZ67</f>
        <v/>
      </c>
      <c r="BE67" s="10">
        <f>AW67</f>
        <v/>
      </c>
      <c r="BF67" s="10">
        <f>AY67*R67</f>
        <v/>
      </c>
      <c r="BG67" s="10">
        <f>J67/H67*AZ67</f>
        <v/>
      </c>
      <c r="BH67" s="10">
        <f>(L67+N67)/H67</f>
        <v/>
      </c>
      <c r="BI67" s="10">
        <f>(K67+M67)/H67</f>
        <v/>
      </c>
      <c r="BK67" s="1">
        <f>SUM(BE67:BI67)-SUM(BB67:BC67)</f>
        <v/>
      </c>
    </row>
    <row r="68">
      <c r="B68" s="13" t="inlineStr">
        <is>
          <t>NE_ESC</t>
        </is>
      </c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12" t="n"/>
      <c r="Q68" s="12" t="n"/>
      <c r="R68" s="24" t="n">
        <v>0.2020556</v>
      </c>
      <c r="T68" s="15" t="n">
        <v>73.71884</v>
      </c>
      <c r="U68" s="15" t="n">
        <v>-23.276809</v>
      </c>
      <c r="V68" s="21" t="n">
        <v>21.9863533</v>
      </c>
      <c r="W68" s="15" t="n">
        <v>20.789991</v>
      </c>
      <c r="X68" s="15" t="n">
        <v>9.19598</v>
      </c>
      <c r="Y68" s="16" t="n">
        <v>-150.755789</v>
      </c>
      <c r="Z68" s="15" t="n">
        <v>8.960454</v>
      </c>
      <c r="AB68" s="1">
        <f>B68</f>
        <v/>
      </c>
      <c r="AC68" s="1">
        <f>C68</f>
        <v/>
      </c>
      <c r="AD68" s="11">
        <f>SUM(AG68:AO68)+AQ68+AR68</f>
        <v/>
      </c>
      <c r="AE68" s="11">
        <f>SUM(AG68:AO68)+AT68+AU68</f>
        <v/>
      </c>
      <c r="AF68" s="5">
        <f>AD68-AE68</f>
        <v/>
      </c>
      <c r="AG68" s="5">
        <f>E68/H68*X68</f>
        <v/>
      </c>
      <c r="AH68" s="1">
        <f>F68/H68*X68*-1</f>
        <v/>
      </c>
      <c r="AI68" s="1">
        <f>G68/H68*W68</f>
        <v/>
      </c>
      <c r="AJ68" s="1">
        <f>1/H68*V68</f>
        <v/>
      </c>
      <c r="AK68" s="1">
        <f>I68/H68*Z68</f>
        <v/>
      </c>
      <c r="AL68" s="1">
        <f>J68/H68*Z68*-1</f>
        <v/>
      </c>
      <c r="AM68" s="1">
        <f>O68/H68/(0.9*8760)</f>
        <v/>
      </c>
      <c r="AN68" s="1">
        <f>P68/H68/(0.9*8760)</f>
        <v/>
      </c>
      <c r="AO68" s="1">
        <f>Q68/H68</f>
        <v/>
      </c>
      <c r="AP68" s="1">
        <f>BG68+BH68+BI68</f>
        <v/>
      </c>
      <c r="AQ68" s="1">
        <f>(T68+U68)*-1*(K68+M68)/H68</f>
        <v/>
      </c>
      <c r="AR68" s="1">
        <f>AP68*T68</f>
        <v/>
      </c>
      <c r="AS68" s="1">
        <f>BG68+BH68</f>
        <v/>
      </c>
      <c r="AT68" s="1">
        <f>U68*(K68+M68)*-1/H68</f>
        <v/>
      </c>
      <c r="AU68" s="1">
        <f>AS68*T68</f>
        <v/>
      </c>
      <c r="AW68" s="9">
        <f>22/7</f>
        <v/>
      </c>
      <c r="AX68" s="10" t="n">
        <v>0.203205751129122</v>
      </c>
      <c r="AY68" s="10" t="n">
        <v>3.1429329</v>
      </c>
      <c r="AZ68" s="9" t="n">
        <v>0.182890835326593</v>
      </c>
      <c r="BB68" s="10">
        <f>1/H68*AX68</f>
        <v/>
      </c>
      <c r="BC68" s="10">
        <f>I68/H68*AZ68</f>
        <v/>
      </c>
      <c r="BE68" s="10">
        <f>AW68</f>
        <v/>
      </c>
      <c r="BF68" s="10">
        <f>AY68*R68</f>
        <v/>
      </c>
      <c r="BG68" s="10">
        <f>J68/H68*AZ68</f>
        <v/>
      </c>
      <c r="BH68" s="10">
        <f>(L68+N68)/H68</f>
        <v/>
      </c>
      <c r="BI68" s="10">
        <f>(K68+M68)/H68</f>
        <v/>
      </c>
      <c r="BK68" s="1">
        <f>SUM(BE68:BI68)-SUM(BB68:BC68)</f>
        <v/>
      </c>
    </row>
    <row r="69">
      <c r="B69" s="13" t="inlineStr">
        <is>
          <t>NE_ESC</t>
        </is>
      </c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Q69" s="12" t="n"/>
      <c r="R69" s="24" t="n">
        <v>0.2020556</v>
      </c>
      <c r="T69" s="15" t="n">
        <v>73.71884</v>
      </c>
      <c r="U69" s="15" t="n">
        <v>-23.276809</v>
      </c>
      <c r="V69" s="21" t="n">
        <v>21.9863533</v>
      </c>
      <c r="W69" s="15" t="n">
        <v>20.789991</v>
      </c>
      <c r="X69" s="15" t="n">
        <v>9.19598</v>
      </c>
      <c r="Y69" s="16" t="n">
        <v>-150.755789</v>
      </c>
      <c r="Z69" s="15" t="n">
        <v>8.960454</v>
      </c>
      <c r="AB69" s="1">
        <f>B69</f>
        <v/>
      </c>
      <c r="AC69" s="1">
        <f>C69</f>
        <v/>
      </c>
      <c r="AD69" s="11">
        <f>SUM(AG69:AO69)+AQ69+AR69</f>
        <v/>
      </c>
      <c r="AE69" s="11">
        <f>SUM(AG69:AO69)+AT69+AU69</f>
        <v/>
      </c>
      <c r="AF69" s="5">
        <f>AD69-AE69</f>
        <v/>
      </c>
      <c r="AG69" s="5">
        <f>E69/H69*X69</f>
        <v/>
      </c>
      <c r="AH69" s="1">
        <f>F69/H69*X69*-1</f>
        <v/>
      </c>
      <c r="AI69" s="1">
        <f>G69/H69*W69</f>
        <v/>
      </c>
      <c r="AJ69" s="1">
        <f>1/H69*V69</f>
        <v/>
      </c>
      <c r="AK69" s="1">
        <f>I69/H69*Z69</f>
        <v/>
      </c>
      <c r="AL69" s="1">
        <f>J69/H69*Z69*-1</f>
        <v/>
      </c>
      <c r="AM69" s="1">
        <f>O69/H69/(0.9*8760)</f>
        <v/>
      </c>
      <c r="AN69" s="1">
        <f>P69/H69/(0.9*8760)</f>
        <v/>
      </c>
      <c r="AO69" s="1">
        <f>Q69/H69</f>
        <v/>
      </c>
      <c r="AP69" s="1">
        <f>BG69+BH69+BI69</f>
        <v/>
      </c>
      <c r="AQ69" s="1">
        <f>(T69+U69)*-1*(K69+M69)/H69</f>
        <v/>
      </c>
      <c r="AR69" s="1">
        <f>AP69*T69</f>
        <v/>
      </c>
      <c r="AS69" s="1">
        <f>BG69+BH69</f>
        <v/>
      </c>
      <c r="AT69" s="1">
        <f>U69*(K69+M69)*-1/H69</f>
        <v/>
      </c>
      <c r="AU69" s="1">
        <f>AS69*T69</f>
        <v/>
      </c>
      <c r="AW69" s="9">
        <f>22/7</f>
        <v/>
      </c>
      <c r="AX69" s="10" t="n">
        <v>0.203205751129122</v>
      </c>
      <c r="AY69" s="10" t="n">
        <v>3.1429329</v>
      </c>
      <c r="AZ69" s="9" t="n">
        <v>0.182890835326593</v>
      </c>
      <c r="BB69" s="10">
        <f>1/H69*AX69</f>
        <v/>
      </c>
      <c r="BC69" s="10">
        <f>I69/H69*AZ69</f>
        <v/>
      </c>
      <c r="BE69" s="10">
        <f>AW69</f>
        <v/>
      </c>
      <c r="BF69" s="10">
        <f>AY69*R69</f>
        <v/>
      </c>
      <c r="BG69" s="10">
        <f>J69/H69*AZ69</f>
        <v/>
      </c>
      <c r="BH69" s="10">
        <f>(L69+N69)/H69</f>
        <v/>
      </c>
      <c r="BI69" s="10">
        <f>(K69+M69)/H69</f>
        <v/>
      </c>
      <c r="BK69" s="1">
        <f>SUM(BE69:BI69)-SUM(BB69:BC69)</f>
        <v/>
      </c>
    </row>
    <row r="70">
      <c r="B70" s="13" t="inlineStr">
        <is>
          <t>NE_ESC</t>
        </is>
      </c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 s="12" t="n"/>
      <c r="R70" s="24" t="n">
        <v>0.2020556</v>
      </c>
      <c r="T70" s="15" t="n">
        <v>73.71884</v>
      </c>
      <c r="U70" s="15" t="n">
        <v>-23.276809</v>
      </c>
      <c r="V70" s="21" t="n">
        <v>21.9863533</v>
      </c>
      <c r="W70" s="15" t="n">
        <v>20.789991</v>
      </c>
      <c r="X70" s="15" t="n">
        <v>9.19598</v>
      </c>
      <c r="Y70" s="16" t="n">
        <v>-150.755789</v>
      </c>
      <c r="Z70" s="15" t="n">
        <v>8.960454</v>
      </c>
      <c r="AB70" s="1">
        <f>B70</f>
        <v/>
      </c>
      <c r="AC70" s="1">
        <f>C70</f>
        <v/>
      </c>
      <c r="AD70" s="11">
        <f>SUM(AG70:AO70)+AQ70+AR70</f>
        <v/>
      </c>
      <c r="AE70" s="11">
        <f>SUM(AG70:AO70)+AT70+AU70</f>
        <v/>
      </c>
      <c r="AF70" s="5">
        <f>AD70-AE70</f>
        <v/>
      </c>
      <c r="AG70" s="5">
        <f>E70/H70*X70</f>
        <v/>
      </c>
      <c r="AH70" s="1">
        <f>F70/H70*X70*-1</f>
        <v/>
      </c>
      <c r="AI70" s="1">
        <f>G70/H70*W70</f>
        <v/>
      </c>
      <c r="AJ70" s="1">
        <f>1/H70*V70</f>
        <v/>
      </c>
      <c r="AK70" s="1">
        <f>I70/H70*Z70</f>
        <v/>
      </c>
      <c r="AL70" s="1">
        <f>J70/H70*Z70*-1</f>
        <v/>
      </c>
      <c r="AM70" s="1">
        <f>O70/H70/(0.9*8760)</f>
        <v/>
      </c>
      <c r="AN70" s="1">
        <f>P70/H70/(0.9*8760)</f>
        <v/>
      </c>
      <c r="AO70" s="1">
        <f>Q70/H70</f>
        <v/>
      </c>
      <c r="AP70" s="1">
        <f>BG70+BH70+BI70</f>
        <v/>
      </c>
      <c r="AQ70" s="1">
        <f>(T70+U70)*-1*(K70+M70)/H70</f>
        <v/>
      </c>
      <c r="AR70" s="1">
        <f>AP70*T70</f>
        <v/>
      </c>
      <c r="AS70" s="1">
        <f>BG70+BH70</f>
        <v/>
      </c>
      <c r="AT70" s="1">
        <f>U70*(K70+M70)*-1/H70</f>
        <v/>
      </c>
      <c r="AU70" s="1">
        <f>AS70*T70</f>
        <v/>
      </c>
      <c r="AW70" s="9">
        <f>22/7</f>
        <v/>
      </c>
      <c r="AX70" s="10" t="n">
        <v>0.203205751129122</v>
      </c>
      <c r="AY70" s="10" t="n">
        <v>3.1429329</v>
      </c>
      <c r="AZ70" s="9" t="n">
        <v>0.182890835326593</v>
      </c>
      <c r="BB70" s="10">
        <f>1/H70*AX70</f>
        <v/>
      </c>
      <c r="BC70" s="10">
        <f>I70/H70*AZ70</f>
        <v/>
      </c>
      <c r="BE70" s="10">
        <f>AW70</f>
        <v/>
      </c>
      <c r="BF70" s="10">
        <f>AY70*R70</f>
        <v/>
      </c>
      <c r="BG70" s="10">
        <f>J70/H70*AZ70</f>
        <v/>
      </c>
      <c r="BH70" s="10">
        <f>(L70+N70)/H70</f>
        <v/>
      </c>
      <c r="BI70" s="10">
        <f>(K70+M70)/H70</f>
        <v/>
      </c>
      <c r="BK70" s="1">
        <f>SUM(BE70:BI70)-SUM(BB70:BC70)</f>
        <v/>
      </c>
    </row>
    <row r="71">
      <c r="B71" s="13" t="inlineStr">
        <is>
          <t>NE_ESC</t>
        </is>
      </c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24" t="n">
        <v>0.2020556</v>
      </c>
      <c r="T71" s="15" t="n">
        <v>73.71884</v>
      </c>
      <c r="U71" s="15" t="n">
        <v>-23.276809</v>
      </c>
      <c r="V71" s="21" t="n">
        <v>21.9863533</v>
      </c>
      <c r="W71" s="15" t="n">
        <v>20.789991</v>
      </c>
      <c r="X71" s="15" t="n">
        <v>9.19598</v>
      </c>
      <c r="Y71" s="16" t="n">
        <v>-150.755789</v>
      </c>
      <c r="Z71" s="15" t="n">
        <v>8.960454</v>
      </c>
      <c r="AB71" s="1">
        <f>B71</f>
        <v/>
      </c>
      <c r="AC71" s="1">
        <f>C71</f>
        <v/>
      </c>
      <c r="AD71" s="11">
        <f>SUM(AG71:AO71)+AQ71+AR71</f>
        <v/>
      </c>
      <c r="AE71" s="11">
        <f>SUM(AG71:AO71)+AT71+AU71</f>
        <v/>
      </c>
      <c r="AF71" s="5">
        <f>AD71-AE71</f>
        <v/>
      </c>
      <c r="AG71" s="5">
        <f>E71/H71*X71</f>
        <v/>
      </c>
      <c r="AH71" s="1">
        <f>F71/H71*X71*-1</f>
        <v/>
      </c>
      <c r="AI71" s="1">
        <f>G71/H71*W71</f>
        <v/>
      </c>
      <c r="AJ71" s="1">
        <f>1/H71*V71</f>
        <v/>
      </c>
      <c r="AK71" s="1">
        <f>I71/H71*Z71</f>
        <v/>
      </c>
      <c r="AL71" s="1">
        <f>J71/H71*Z71*-1</f>
        <v/>
      </c>
      <c r="AM71" s="1">
        <f>O71/H71/(0.9*8760)</f>
        <v/>
      </c>
      <c r="AN71" s="1">
        <f>P71/H71/(0.9*8760)</f>
        <v/>
      </c>
      <c r="AO71" s="1">
        <f>Q71/H71</f>
        <v/>
      </c>
      <c r="AP71" s="1">
        <f>BG71+BH71+BI71</f>
        <v/>
      </c>
      <c r="AQ71" s="1">
        <f>(T71+U71)*-1*(K71+M71)/H71</f>
        <v/>
      </c>
      <c r="AR71" s="1">
        <f>AP71*T71</f>
        <v/>
      </c>
      <c r="AS71" s="1">
        <f>BG71+BH71</f>
        <v/>
      </c>
      <c r="AT71" s="1">
        <f>U71*(K71+M71)*-1/H71</f>
        <v/>
      </c>
      <c r="AU71" s="1">
        <f>AS71*T71</f>
        <v/>
      </c>
      <c r="AW71" s="9">
        <f>22/7</f>
        <v/>
      </c>
      <c r="AX71" s="10" t="n">
        <v>0.203205751129122</v>
      </c>
      <c r="AY71" s="10" t="n">
        <v>3.1429329</v>
      </c>
      <c r="AZ71" s="9" t="n">
        <v>0.182890835326593</v>
      </c>
      <c r="BB71" s="10">
        <f>1/H71*AX71</f>
        <v/>
      </c>
      <c r="BC71" s="10">
        <f>I71/H71*AZ71</f>
        <v/>
      </c>
      <c r="BE71" s="10">
        <f>AW71</f>
        <v/>
      </c>
      <c r="BF71" s="10">
        <f>AY71*R71</f>
        <v/>
      </c>
      <c r="BG71" s="10">
        <f>J71/H71*AZ71</f>
        <v/>
      </c>
      <c r="BH71" s="10">
        <f>(L71+N71)/H71</f>
        <v/>
      </c>
      <c r="BI71" s="10">
        <f>(K71+M71)/H71</f>
        <v/>
      </c>
      <c r="BK71" s="1">
        <f>SUM(BE71:BI71)-SUM(BB71:BC71)</f>
        <v/>
      </c>
    </row>
    <row r="72">
      <c r="B72" s="13" t="inlineStr">
        <is>
          <t>NE_ESC</t>
        </is>
      </c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24" t="n">
        <v>0.2020556</v>
      </c>
      <c r="T72" s="15" t="n">
        <v>73.71884</v>
      </c>
      <c r="U72" s="15" t="n">
        <v>-23.276809</v>
      </c>
      <c r="V72" s="21" t="n">
        <v>21.9863533</v>
      </c>
      <c r="W72" s="15" t="n">
        <v>20.789991</v>
      </c>
      <c r="X72" s="15" t="n">
        <v>9.19598</v>
      </c>
      <c r="Y72" s="16" t="n">
        <v>-150.755789</v>
      </c>
      <c r="Z72" s="15" t="n">
        <v>8.960454</v>
      </c>
      <c r="AB72" s="1">
        <f>B72</f>
        <v/>
      </c>
      <c r="AC72" s="1">
        <f>C72</f>
        <v/>
      </c>
      <c r="AD72" s="11">
        <f>SUM(AG72:AO72)+AQ72+AR72</f>
        <v/>
      </c>
      <c r="AE72" s="11">
        <f>SUM(AG72:AO72)+AT72+AU72</f>
        <v/>
      </c>
      <c r="AF72" s="5">
        <f>AD72-AE72</f>
        <v/>
      </c>
      <c r="AG72" s="5">
        <f>E72/H72*X72</f>
        <v/>
      </c>
      <c r="AH72" s="1">
        <f>F72/H72*X72*-1</f>
        <v/>
      </c>
      <c r="AI72" s="1">
        <f>G72/H72*W72</f>
        <v/>
      </c>
      <c r="AJ72" s="1">
        <f>1/H72*V72</f>
        <v/>
      </c>
      <c r="AK72" s="1">
        <f>I72/H72*Z72</f>
        <v/>
      </c>
      <c r="AL72" s="1">
        <f>J72/H72*Z72*-1</f>
        <v/>
      </c>
      <c r="AM72" s="1">
        <f>O72/H72/(0.9*8760)</f>
        <v/>
      </c>
      <c r="AN72" s="1">
        <f>P72/H72/(0.9*8760)</f>
        <v/>
      </c>
      <c r="AO72" s="1">
        <f>Q72/H72</f>
        <v/>
      </c>
      <c r="AP72" s="1">
        <f>BG72+BH72+BI72</f>
        <v/>
      </c>
      <c r="AQ72" s="1">
        <f>(T72+U72)*-1*(K72+M72)/H72</f>
        <v/>
      </c>
      <c r="AR72" s="1">
        <f>AP72*T72</f>
        <v/>
      </c>
      <c r="AS72" s="1">
        <f>BG72+BH72</f>
        <v/>
      </c>
      <c r="AT72" s="1">
        <f>U72*(K72+M72)*-1/H72</f>
        <v/>
      </c>
      <c r="AU72" s="1">
        <f>AS72*T72</f>
        <v/>
      </c>
      <c r="AW72" s="9">
        <f>22/7</f>
        <v/>
      </c>
      <c r="AX72" s="10" t="n">
        <v>0.203205751129122</v>
      </c>
      <c r="AY72" s="10" t="n">
        <v>3.1429329</v>
      </c>
      <c r="AZ72" s="9" t="n">
        <v>0.182890835326593</v>
      </c>
      <c r="BB72" s="10">
        <f>1/H72*AX72</f>
        <v/>
      </c>
      <c r="BC72" s="10">
        <f>I72/H72*AZ72</f>
        <v/>
      </c>
      <c r="BE72" s="10">
        <f>AW72</f>
        <v/>
      </c>
      <c r="BF72" s="10">
        <f>AY72*R72</f>
        <v/>
      </c>
      <c r="BG72" s="10">
        <f>J72/H72*AZ72</f>
        <v/>
      </c>
      <c r="BH72" s="10">
        <f>(L72+N72)/H72</f>
        <v/>
      </c>
      <c r="BI72" s="10">
        <f>(K72+M72)/H72</f>
        <v/>
      </c>
      <c r="BK72" s="1">
        <f>SUM(BE72:BI72)-SUM(BB72:BC72)</f>
        <v/>
      </c>
    </row>
    <row r="73">
      <c r="B73" s="13" t="inlineStr">
        <is>
          <t>NE_ESC</t>
        </is>
      </c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24" t="n">
        <v>0.2020556</v>
      </c>
      <c r="T73" s="15" t="n">
        <v>73.71884</v>
      </c>
      <c r="U73" s="15" t="n">
        <v>-23.276809</v>
      </c>
      <c r="V73" s="21" t="n">
        <v>21.9863533</v>
      </c>
      <c r="W73" s="15" t="n">
        <v>20.789991</v>
      </c>
      <c r="X73" s="15" t="n">
        <v>9.19598</v>
      </c>
      <c r="Y73" s="16" t="n">
        <v>-150.755789</v>
      </c>
      <c r="Z73" s="15" t="n">
        <v>8.960454</v>
      </c>
      <c r="AB73" s="1">
        <f>B73</f>
        <v/>
      </c>
      <c r="AC73" s="1">
        <f>C73</f>
        <v/>
      </c>
      <c r="AD73" s="11">
        <f>SUM(AG73:AO73)+AQ73+AR73</f>
        <v/>
      </c>
      <c r="AE73" s="11">
        <f>SUM(AG73:AO73)+AT73+AU73</f>
        <v/>
      </c>
      <c r="AF73" s="5">
        <f>AD73-AE73</f>
        <v/>
      </c>
      <c r="AG73" s="5">
        <f>E73/H73*X73</f>
        <v/>
      </c>
      <c r="AH73" s="1">
        <f>F73/H73*X73*-1</f>
        <v/>
      </c>
      <c r="AI73" s="1">
        <f>G73/H73*W73</f>
        <v/>
      </c>
      <c r="AJ73" s="1">
        <f>1/H73*V73</f>
        <v/>
      </c>
      <c r="AK73" s="1">
        <f>I73/H73*Z73</f>
        <v/>
      </c>
      <c r="AL73" s="1">
        <f>J73/H73*Z73*-1</f>
        <v/>
      </c>
      <c r="AM73" s="1">
        <f>O73/H73/(0.9*8760)</f>
        <v/>
      </c>
      <c r="AN73" s="1">
        <f>P73/H73/(0.9*8760)</f>
        <v/>
      </c>
      <c r="AO73" s="1">
        <f>Q73/H73</f>
        <v/>
      </c>
      <c r="AP73" s="1">
        <f>BG73+BH73+BI73</f>
        <v/>
      </c>
      <c r="AQ73" s="1">
        <f>(T73+U73)*-1*(K73+M73)/H73</f>
        <v/>
      </c>
      <c r="AR73" s="1">
        <f>AP73*T73</f>
        <v/>
      </c>
      <c r="AS73" s="1">
        <f>BG73+BH73</f>
        <v/>
      </c>
      <c r="AT73" s="1">
        <f>U73*(K73+M73)*-1/H73</f>
        <v/>
      </c>
      <c r="AU73" s="1">
        <f>AS73*T73</f>
        <v/>
      </c>
      <c r="AW73" s="9">
        <f>22/7</f>
        <v/>
      </c>
      <c r="AX73" s="10" t="n">
        <v>0.203205751129122</v>
      </c>
      <c r="AY73" s="10" t="n">
        <v>3.1429329</v>
      </c>
      <c r="AZ73" s="9" t="n">
        <v>0.182890835326593</v>
      </c>
      <c r="BB73" s="10">
        <f>1/H73*AX73</f>
        <v/>
      </c>
      <c r="BC73" s="10">
        <f>I73/H73*AZ73</f>
        <v/>
      </c>
      <c r="BE73" s="10">
        <f>AW73</f>
        <v/>
      </c>
      <c r="BF73" s="10">
        <f>AY73*R73</f>
        <v/>
      </c>
      <c r="BG73" s="10">
        <f>J73/H73*AZ73</f>
        <v/>
      </c>
      <c r="BH73" s="10">
        <f>(L73+N73)/H73</f>
        <v/>
      </c>
      <c r="BI73" s="10">
        <f>(K73+M73)/H73</f>
        <v/>
      </c>
      <c r="BK73" s="1">
        <f>SUM(BE73:BI73)-SUM(BB73:BC73)</f>
        <v/>
      </c>
    </row>
    <row r="74">
      <c r="B74" s="13" t="inlineStr">
        <is>
          <t>NE_ESC</t>
        </is>
      </c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24" t="n">
        <v>0.2020556</v>
      </c>
      <c r="T74" s="15" t="n">
        <v>73.71884</v>
      </c>
      <c r="U74" s="15" t="n">
        <v>-23.276809</v>
      </c>
      <c r="V74" s="21" t="n">
        <v>21.9863533</v>
      </c>
      <c r="W74" s="15" t="n">
        <v>20.789991</v>
      </c>
      <c r="X74" s="15" t="n">
        <v>9.19598</v>
      </c>
      <c r="Y74" s="16" t="n">
        <v>-150.755789</v>
      </c>
      <c r="Z74" s="15" t="n">
        <v>8.960454</v>
      </c>
      <c r="AB74" s="1">
        <f>B74</f>
        <v/>
      </c>
      <c r="AC74" s="1">
        <f>C74</f>
        <v/>
      </c>
      <c r="AD74" s="11">
        <f>SUM(AG74:AO74)+AQ74+AR74</f>
        <v/>
      </c>
      <c r="AE74" s="11">
        <f>SUM(AG74:AO74)+AT74+AU74</f>
        <v/>
      </c>
      <c r="AF74" s="5">
        <f>AD74-AE74</f>
        <v/>
      </c>
      <c r="AG74" s="5">
        <f>E74/H74*X74</f>
        <v/>
      </c>
      <c r="AH74" s="1">
        <f>F74/H74*X74*-1</f>
        <v/>
      </c>
      <c r="AI74" s="1">
        <f>G74/H74*W74</f>
        <v/>
      </c>
      <c r="AJ74" s="1">
        <f>1/H74*V74</f>
        <v/>
      </c>
      <c r="AK74" s="1">
        <f>I74/H74*Z74</f>
        <v/>
      </c>
      <c r="AL74" s="1">
        <f>J74/H74*Z74*-1</f>
        <v/>
      </c>
      <c r="AM74" s="1">
        <f>O74/H74/(0.9*8760)</f>
        <v/>
      </c>
      <c r="AN74" s="1">
        <f>P74/H74/(0.9*8760)</f>
        <v/>
      </c>
      <c r="AO74" s="1">
        <f>Q74/H74</f>
        <v/>
      </c>
      <c r="AP74" s="1">
        <f>BG74+BH74+BI74</f>
        <v/>
      </c>
      <c r="AQ74" s="1">
        <f>(T74+U74)*-1*(K74+M74)/H74</f>
        <v/>
      </c>
      <c r="AR74" s="1">
        <f>AP74*T74</f>
        <v/>
      </c>
      <c r="AS74" s="1">
        <f>BG74+BH74</f>
        <v/>
      </c>
      <c r="AT74" s="1">
        <f>U74*(K74+M74)*-1/H74</f>
        <v/>
      </c>
      <c r="AU74" s="1">
        <f>AS74*T74</f>
        <v/>
      </c>
      <c r="AW74" s="9">
        <f>22/7</f>
        <v/>
      </c>
      <c r="AX74" s="10" t="n">
        <v>0.203205751129122</v>
      </c>
      <c r="AY74" s="10" t="n">
        <v>3.1429329</v>
      </c>
      <c r="AZ74" s="9" t="n">
        <v>0.182890835326593</v>
      </c>
      <c r="BB74" s="10">
        <f>1/H74*AX74</f>
        <v/>
      </c>
      <c r="BC74" s="10">
        <f>I74/H74*AZ74</f>
        <v/>
      </c>
      <c r="BE74" s="10">
        <f>AW74</f>
        <v/>
      </c>
      <c r="BF74" s="10">
        <f>AY74*R74</f>
        <v/>
      </c>
      <c r="BG74" s="10">
        <f>J74/H74*AZ74</f>
        <v/>
      </c>
      <c r="BH74" s="10">
        <f>(L74+N74)/H74</f>
        <v/>
      </c>
      <c r="BI74" s="10">
        <f>(K74+M74)/H74</f>
        <v/>
      </c>
      <c r="BK74" s="1">
        <f>SUM(BE74:BI74)-SUM(BB74:BC74)</f>
        <v/>
      </c>
    </row>
    <row r="75">
      <c r="B75" s="13" t="inlineStr">
        <is>
          <t>NE_ESC</t>
        </is>
      </c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24" t="n">
        <v>0.2020556</v>
      </c>
      <c r="T75" s="15" t="n">
        <v>73.71884</v>
      </c>
      <c r="U75" s="15" t="n">
        <v>-23.276809</v>
      </c>
      <c r="V75" s="21" t="n">
        <v>21.9863533</v>
      </c>
      <c r="W75" s="15" t="n">
        <v>20.789991</v>
      </c>
      <c r="X75" s="15" t="n">
        <v>9.19598</v>
      </c>
      <c r="Y75" s="16" t="n">
        <v>-150.755789</v>
      </c>
      <c r="Z75" s="15" t="n">
        <v>8.960454</v>
      </c>
      <c r="AB75" s="1">
        <f>B75</f>
        <v/>
      </c>
      <c r="AC75" s="1">
        <f>C75</f>
        <v/>
      </c>
      <c r="AD75" s="11">
        <f>SUM(AG75:AO75)+AQ75+AR75</f>
        <v/>
      </c>
      <c r="AE75" s="11">
        <f>SUM(AG75:AO75)+AT75+AU75</f>
        <v/>
      </c>
      <c r="AF75" s="5">
        <f>AD75-AE75</f>
        <v/>
      </c>
      <c r="AG75" s="5">
        <f>E75/H75*X75</f>
        <v/>
      </c>
      <c r="AH75" s="1">
        <f>F75/H75*X75*-1</f>
        <v/>
      </c>
      <c r="AI75" s="1">
        <f>G75/H75*W75</f>
        <v/>
      </c>
      <c r="AJ75" s="1">
        <f>1/H75*V75</f>
        <v/>
      </c>
      <c r="AK75" s="1">
        <f>I75/H75*Z75</f>
        <v/>
      </c>
      <c r="AL75" s="1">
        <f>J75/H75*Z75*-1</f>
        <v/>
      </c>
      <c r="AM75" s="1">
        <f>O75/H75/(0.9*8760)</f>
        <v/>
      </c>
      <c r="AN75" s="1">
        <f>P75/H75/(0.9*8760)</f>
        <v/>
      </c>
      <c r="AO75" s="1">
        <f>Q75/H75</f>
        <v/>
      </c>
      <c r="AP75" s="1">
        <f>BG75+BH75+BI75</f>
        <v/>
      </c>
      <c r="AQ75" s="1">
        <f>(T75+U75)*-1*(K75+M75)/H75</f>
        <v/>
      </c>
      <c r="AR75" s="1">
        <f>AP75*T75</f>
        <v/>
      </c>
      <c r="AS75" s="1">
        <f>BG75+BH75</f>
        <v/>
      </c>
      <c r="AT75" s="1">
        <f>U75*(K75+M75)*-1/H75</f>
        <v/>
      </c>
      <c r="AU75" s="1">
        <f>AS75*T75</f>
        <v/>
      </c>
      <c r="AW75" s="9">
        <f>22/7</f>
        <v/>
      </c>
      <c r="AX75" s="10" t="n">
        <v>0.203205751129122</v>
      </c>
      <c r="AY75" s="10" t="n">
        <v>3.1429329</v>
      </c>
      <c r="AZ75" s="9" t="n">
        <v>0.182890835326593</v>
      </c>
      <c r="BB75" s="10">
        <f>1/H75*AX75</f>
        <v/>
      </c>
      <c r="BC75" s="10">
        <f>I75/H75*AZ75</f>
        <v/>
      </c>
      <c r="BE75" s="10">
        <f>AW75</f>
        <v/>
      </c>
      <c r="BF75" s="10">
        <f>AY75*R75</f>
        <v/>
      </c>
      <c r="BG75" s="10">
        <f>J75/H75*AZ75</f>
        <v/>
      </c>
      <c r="BH75" s="10">
        <f>(L75+N75)/H75</f>
        <v/>
      </c>
      <c r="BI75" s="10">
        <f>(K75+M75)/H75</f>
        <v/>
      </c>
      <c r="BK75" s="1">
        <f>SUM(BE75:BI75)-SUM(BB75:BC75)</f>
        <v/>
      </c>
    </row>
    <row r="76">
      <c r="B76" s="13" t="inlineStr">
        <is>
          <t>NE_ESC</t>
        </is>
      </c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24" t="n">
        <v>0.2020556</v>
      </c>
      <c r="T76" s="15" t="n">
        <v>73.71884</v>
      </c>
      <c r="U76" s="15" t="n">
        <v>-23.276809</v>
      </c>
      <c r="V76" s="21" t="n">
        <v>21.9863533</v>
      </c>
      <c r="W76" s="15" t="n">
        <v>20.789991</v>
      </c>
      <c r="X76" s="15" t="n">
        <v>9.19598</v>
      </c>
      <c r="Y76" s="16" t="n">
        <v>-150.755789</v>
      </c>
      <c r="Z76" s="15" t="n">
        <v>8.960454</v>
      </c>
      <c r="AB76" s="1">
        <f>B76</f>
        <v/>
      </c>
      <c r="AC76" s="1">
        <f>C76</f>
        <v/>
      </c>
      <c r="AD76" s="11">
        <f>SUM(AG76:AO76)+AQ76+AR76</f>
        <v/>
      </c>
      <c r="AE76" s="11">
        <f>SUM(AG76:AO76)+AT76+AU76</f>
        <v/>
      </c>
      <c r="AF76" s="5">
        <f>AD76-AE76</f>
        <v/>
      </c>
      <c r="AG76" s="5">
        <f>E76/H76*X76</f>
        <v/>
      </c>
      <c r="AH76" s="1">
        <f>F76/H76*X76*-1</f>
        <v/>
      </c>
      <c r="AI76" s="1">
        <f>G76/H76*W76</f>
        <v/>
      </c>
      <c r="AJ76" s="1">
        <f>1/H76*V76</f>
        <v/>
      </c>
      <c r="AK76" s="1">
        <f>I76/H76*Z76</f>
        <v/>
      </c>
      <c r="AL76" s="1">
        <f>J76/H76*Z76*-1</f>
        <v/>
      </c>
      <c r="AM76" s="1">
        <f>O76/H76/(0.9*8760)</f>
        <v/>
      </c>
      <c r="AN76" s="1">
        <f>P76/H76/(0.9*8760)</f>
        <v/>
      </c>
      <c r="AO76" s="1">
        <f>Q76/H76</f>
        <v/>
      </c>
      <c r="AP76" s="1">
        <f>BG76+BH76+BI76</f>
        <v/>
      </c>
      <c r="AQ76" s="1">
        <f>(T76+U76)*-1*(K76+M76)/H76</f>
        <v/>
      </c>
      <c r="AR76" s="1">
        <f>AP76*T76</f>
        <v/>
      </c>
      <c r="AS76" s="1">
        <f>BG76+BH76</f>
        <v/>
      </c>
      <c r="AT76" s="1">
        <f>U76*(K76+M76)*-1/H76</f>
        <v/>
      </c>
      <c r="AU76" s="1">
        <f>AS76*T76</f>
        <v/>
      </c>
      <c r="AW76" s="9">
        <f>22/7</f>
        <v/>
      </c>
      <c r="AX76" s="10" t="n">
        <v>0.203205751129122</v>
      </c>
      <c r="AY76" s="10" t="n">
        <v>3.1429329</v>
      </c>
      <c r="AZ76" s="9" t="n">
        <v>0.182890835326593</v>
      </c>
      <c r="BB76" s="10">
        <f>1/H76*AX76</f>
        <v/>
      </c>
      <c r="BC76" s="10">
        <f>I76/H76*AZ76</f>
        <v/>
      </c>
      <c r="BE76" s="10">
        <f>AW76</f>
        <v/>
      </c>
      <c r="BF76" s="10">
        <f>AY76*R76</f>
        <v/>
      </c>
      <c r="BG76" s="10">
        <f>J76/H76*AZ76</f>
        <v/>
      </c>
      <c r="BH76" s="10">
        <f>(L76+N76)/H76</f>
        <v/>
      </c>
      <c r="BI76" s="10">
        <f>(K76+M76)/H76</f>
        <v/>
      </c>
      <c r="BK76" s="1">
        <f>SUM(BE76:BI76)-SUM(BB76:BC76)</f>
        <v/>
      </c>
    </row>
    <row r="77">
      <c r="B77" s="13" t="inlineStr">
        <is>
          <t>NE_ESC</t>
        </is>
      </c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24" t="n">
        <v>0.2020556</v>
      </c>
      <c r="T77" s="15" t="n">
        <v>73.71884</v>
      </c>
      <c r="U77" s="15" t="n">
        <v>-23.276809</v>
      </c>
      <c r="V77" s="21" t="n">
        <v>21.9863533</v>
      </c>
      <c r="W77" s="15" t="n">
        <v>20.789991</v>
      </c>
      <c r="X77" s="15" t="n">
        <v>9.19598</v>
      </c>
      <c r="Y77" s="16" t="n">
        <v>-150.755789</v>
      </c>
      <c r="Z77" s="15" t="n">
        <v>8.960454</v>
      </c>
      <c r="AB77" s="1">
        <f>B77</f>
        <v/>
      </c>
      <c r="AC77" s="1">
        <f>C77</f>
        <v/>
      </c>
      <c r="AD77" s="11">
        <f>SUM(AG77:AO77)+AQ77+AR77</f>
        <v/>
      </c>
      <c r="AE77" s="11">
        <f>SUM(AG77:AO77)+AT77+AU77</f>
        <v/>
      </c>
      <c r="AF77" s="5">
        <f>AD77-AE77</f>
        <v/>
      </c>
      <c r="AG77" s="5">
        <f>E77/H77*X77</f>
        <v/>
      </c>
      <c r="AH77" s="1">
        <f>F77/H77*X77*-1</f>
        <v/>
      </c>
      <c r="AI77" s="1">
        <f>G77/H77*W77</f>
        <v/>
      </c>
      <c r="AJ77" s="1">
        <f>1/H77*V77</f>
        <v/>
      </c>
      <c r="AK77" s="1">
        <f>I77/H77*Z77</f>
        <v/>
      </c>
      <c r="AL77" s="1">
        <f>J77/H77*Z77*-1</f>
        <v/>
      </c>
      <c r="AM77" s="1">
        <f>O77/H77/(0.9*8760)</f>
        <v/>
      </c>
      <c r="AN77" s="1">
        <f>P77/H77/(0.9*8760)</f>
        <v/>
      </c>
      <c r="AO77" s="1">
        <f>Q77/H77</f>
        <v/>
      </c>
      <c r="AP77" s="1">
        <f>BG77+BH77+BI77</f>
        <v/>
      </c>
      <c r="AQ77" s="1">
        <f>(T77+U77)*-1*(K77+M77)/H77</f>
        <v/>
      </c>
      <c r="AR77" s="1">
        <f>AP77*T77</f>
        <v/>
      </c>
      <c r="AS77" s="1">
        <f>BG77+BH77</f>
        <v/>
      </c>
      <c r="AT77" s="1">
        <f>U77*(K77+M77)*-1/H77</f>
        <v/>
      </c>
      <c r="AU77" s="1">
        <f>AS77*T77</f>
        <v/>
      </c>
      <c r="AW77" s="9">
        <f>22/7</f>
        <v/>
      </c>
      <c r="AX77" s="10" t="n">
        <v>0.203205751129122</v>
      </c>
      <c r="AY77" s="10" t="n">
        <v>3.1429329</v>
      </c>
      <c r="AZ77" s="9" t="n">
        <v>0.182890835326593</v>
      </c>
      <c r="BB77" s="10">
        <f>1/H77*AX77</f>
        <v/>
      </c>
      <c r="BC77" s="10">
        <f>I77/H77*AZ77</f>
        <v/>
      </c>
      <c r="BE77" s="10">
        <f>AW77</f>
        <v/>
      </c>
      <c r="BF77" s="10">
        <f>AY77*R77</f>
        <v/>
      </c>
      <c r="BG77" s="10">
        <f>J77/H77*AZ77</f>
        <v/>
      </c>
      <c r="BH77" s="10">
        <f>(L77+N77)/H77</f>
        <v/>
      </c>
      <c r="BI77" s="10">
        <f>(K77+M77)/H77</f>
        <v/>
      </c>
      <c r="BK77" s="1">
        <f>SUM(BE77:BI77)-SUM(BB77:BC77)</f>
        <v/>
      </c>
    </row>
    <row r="78">
      <c r="B78" s="13" t="inlineStr">
        <is>
          <t>NE_ESC</t>
        </is>
      </c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24" t="n">
        <v>0.2020556</v>
      </c>
      <c r="T78" s="15" t="n">
        <v>73.71884</v>
      </c>
      <c r="U78" s="15" t="n">
        <v>-23.276809</v>
      </c>
      <c r="V78" s="21" t="n">
        <v>21.9863533</v>
      </c>
      <c r="W78" s="15" t="n">
        <v>20.789991</v>
      </c>
      <c r="X78" s="15" t="n">
        <v>9.19598</v>
      </c>
      <c r="Y78" s="16" t="n">
        <v>-150.755789</v>
      </c>
      <c r="Z78" s="15" t="n">
        <v>8.960454</v>
      </c>
      <c r="AB78" s="1">
        <f>B78</f>
        <v/>
      </c>
      <c r="AC78" s="1">
        <f>C78</f>
        <v/>
      </c>
      <c r="AD78" s="11">
        <f>SUM(AG78:AO78)+AQ78+AR78</f>
        <v/>
      </c>
      <c r="AE78" s="11">
        <f>SUM(AG78:AO78)+AT78+AU78</f>
        <v/>
      </c>
      <c r="AF78" s="5">
        <f>AD78-AE78</f>
        <v/>
      </c>
      <c r="AG78" s="5">
        <f>E78/H78*X78</f>
        <v/>
      </c>
      <c r="AH78" s="1">
        <f>F78/H78*X78*-1</f>
        <v/>
      </c>
      <c r="AI78" s="1">
        <f>G78/H78*W78</f>
        <v/>
      </c>
      <c r="AJ78" s="1">
        <f>1/H78*V78</f>
        <v/>
      </c>
      <c r="AK78" s="1">
        <f>I78/H78*Z78</f>
        <v/>
      </c>
      <c r="AL78" s="1">
        <f>J78/H78*Z78*-1</f>
        <v/>
      </c>
      <c r="AM78" s="1">
        <f>O78/H78/(0.9*8760)</f>
        <v/>
      </c>
      <c r="AN78" s="1">
        <f>P78/H78/(0.9*8760)</f>
        <v/>
      </c>
      <c r="AO78" s="1">
        <f>Q78/H78</f>
        <v/>
      </c>
      <c r="AP78" s="1">
        <f>BG78+BH78+BI78</f>
        <v/>
      </c>
      <c r="AQ78" s="1">
        <f>(T78+U78)*-1*(K78+M78)/H78</f>
        <v/>
      </c>
      <c r="AR78" s="1">
        <f>AP78*T78</f>
        <v/>
      </c>
      <c r="AS78" s="1">
        <f>BG78+BH78</f>
        <v/>
      </c>
      <c r="AT78" s="1">
        <f>U78*(K78+M78)*-1/H78</f>
        <v/>
      </c>
      <c r="AU78" s="1">
        <f>AS78*T78</f>
        <v/>
      </c>
      <c r="AW78" s="9">
        <f>22/7</f>
        <v/>
      </c>
      <c r="AX78" s="10" t="n">
        <v>0.203205751129122</v>
      </c>
      <c r="AY78" s="10" t="n">
        <v>3.1429329</v>
      </c>
      <c r="AZ78" s="9" t="n">
        <v>0.182890835326593</v>
      </c>
      <c r="BB78" s="10">
        <f>1/H78*AX78</f>
        <v/>
      </c>
      <c r="BC78" s="10">
        <f>I78/H78*AZ78</f>
        <v/>
      </c>
      <c r="BE78" s="10">
        <f>AW78</f>
        <v/>
      </c>
      <c r="BF78" s="10">
        <f>AY78*R78</f>
        <v/>
      </c>
      <c r="BG78" s="10">
        <f>J78/H78*AZ78</f>
        <v/>
      </c>
      <c r="BH78" s="10">
        <f>(L78+N78)/H78</f>
        <v/>
      </c>
      <c r="BI78" s="10">
        <f>(K78+M78)/H78</f>
        <v/>
      </c>
      <c r="BK78" s="1">
        <f>SUM(BE78:BI78)-SUM(BB78:BC78)</f>
        <v/>
      </c>
    </row>
    <row r="79">
      <c r="B79" s="13" t="inlineStr">
        <is>
          <t>NE_ESC</t>
        </is>
      </c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24" t="n">
        <v>0.2020556</v>
      </c>
      <c r="T79" s="15" t="n">
        <v>73.71884</v>
      </c>
      <c r="U79" s="15" t="n">
        <v>-23.276809</v>
      </c>
      <c r="V79" s="21" t="n">
        <v>21.9863533</v>
      </c>
      <c r="W79" s="15" t="n">
        <v>20.789991</v>
      </c>
      <c r="X79" s="15" t="n">
        <v>9.19598</v>
      </c>
      <c r="Y79" s="16" t="n">
        <v>-150.755789</v>
      </c>
      <c r="Z79" s="15" t="n">
        <v>8.960454</v>
      </c>
      <c r="AB79" s="1">
        <f>B79</f>
        <v/>
      </c>
      <c r="AC79" s="1">
        <f>C79</f>
        <v/>
      </c>
      <c r="AD79" s="11">
        <f>SUM(AG79:AO79)+AQ79+AR79</f>
        <v/>
      </c>
      <c r="AE79" s="11">
        <f>SUM(AG79:AO79)+AT79+AU79</f>
        <v/>
      </c>
      <c r="AF79" s="5">
        <f>AD79-AE79</f>
        <v/>
      </c>
      <c r="AG79" s="5">
        <f>E79/H79*X79</f>
        <v/>
      </c>
      <c r="AH79" s="1">
        <f>F79/H79*X79*-1</f>
        <v/>
      </c>
      <c r="AI79" s="1">
        <f>G79/H79*W79</f>
        <v/>
      </c>
      <c r="AJ79" s="1">
        <f>1/H79*V79</f>
        <v/>
      </c>
      <c r="AK79" s="1">
        <f>I79/H79*Z79</f>
        <v/>
      </c>
      <c r="AL79" s="1">
        <f>J79/H79*Z79*-1</f>
        <v/>
      </c>
      <c r="AM79" s="1">
        <f>O79/H79/(0.9*8760)</f>
        <v/>
      </c>
      <c r="AN79" s="1">
        <f>P79/H79/(0.9*8760)</f>
        <v/>
      </c>
      <c r="AO79" s="1">
        <f>Q79/H79</f>
        <v/>
      </c>
      <c r="AP79" s="1">
        <f>BG79+BH79+BI79</f>
        <v/>
      </c>
      <c r="AQ79" s="1">
        <f>(T79+U79)*-1*(K79+M79)/H79</f>
        <v/>
      </c>
      <c r="AR79" s="1">
        <f>AP79*T79</f>
        <v/>
      </c>
      <c r="AS79" s="1">
        <f>BG79+BH79</f>
        <v/>
      </c>
      <c r="AT79" s="1">
        <f>U79*(K79+M79)*-1/H79</f>
        <v/>
      </c>
      <c r="AU79" s="1">
        <f>AS79*T79</f>
        <v/>
      </c>
      <c r="AW79" s="9">
        <f>22/7</f>
        <v/>
      </c>
      <c r="AX79" s="10" t="n">
        <v>0.203205751129122</v>
      </c>
      <c r="AY79" s="10" t="n">
        <v>3.1429329</v>
      </c>
      <c r="AZ79" s="9" t="n">
        <v>0.182890835326593</v>
      </c>
      <c r="BB79" s="10">
        <f>1/H79*AX79</f>
        <v/>
      </c>
      <c r="BC79" s="10">
        <f>I79/H79*AZ79</f>
        <v/>
      </c>
      <c r="BE79" s="10">
        <f>AW79</f>
        <v/>
      </c>
      <c r="BF79" s="10">
        <f>AY79*R79</f>
        <v/>
      </c>
      <c r="BG79" s="10">
        <f>J79/H79*AZ79</f>
        <v/>
      </c>
      <c r="BH79" s="10">
        <f>(L79+N79)/H79</f>
        <v/>
      </c>
      <c r="BI79" s="10">
        <f>(K79+M79)/H79</f>
        <v/>
      </c>
      <c r="BK79" s="1">
        <f>SUM(BE79:BI79)-SUM(BB79:BC79)</f>
        <v/>
      </c>
    </row>
    <row r="80">
      <c r="B80" s="13" t="inlineStr">
        <is>
          <t>NE_ESC</t>
        </is>
      </c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24" t="n">
        <v>0.2020556</v>
      </c>
      <c r="T80" s="15" t="n">
        <v>73.71884</v>
      </c>
      <c r="U80" s="15" t="n">
        <v>-23.276809</v>
      </c>
      <c r="V80" s="21" t="n">
        <v>21.9863533</v>
      </c>
      <c r="W80" s="15" t="n">
        <v>20.789991</v>
      </c>
      <c r="X80" s="15" t="n">
        <v>9.19598</v>
      </c>
      <c r="Y80" s="16" t="n">
        <v>-150.755789</v>
      </c>
      <c r="Z80" s="15" t="n">
        <v>8.960454</v>
      </c>
      <c r="AB80" s="1">
        <f>B80</f>
        <v/>
      </c>
      <c r="AC80" s="1">
        <f>C80</f>
        <v/>
      </c>
      <c r="AD80" s="11">
        <f>SUM(AG80:AO80)+AQ80+AR80</f>
        <v/>
      </c>
      <c r="AE80" s="11">
        <f>SUM(AG80:AO80)+AT80+AU80</f>
        <v/>
      </c>
      <c r="AF80" s="5">
        <f>AD80-AE80</f>
        <v/>
      </c>
      <c r="AG80" s="5">
        <f>E80/H80*X80</f>
        <v/>
      </c>
      <c r="AH80" s="1">
        <f>F80/H80*X80*-1</f>
        <v/>
      </c>
      <c r="AI80" s="1">
        <f>G80/H80*W80</f>
        <v/>
      </c>
      <c r="AJ80" s="1">
        <f>1/H80*V80</f>
        <v/>
      </c>
      <c r="AK80" s="1">
        <f>I80/H80*Z80</f>
        <v/>
      </c>
      <c r="AL80" s="1">
        <f>J80/H80*Z80*-1</f>
        <v/>
      </c>
      <c r="AM80" s="1">
        <f>O80/H80/(0.9*8760)</f>
        <v/>
      </c>
      <c r="AN80" s="1">
        <f>P80/H80/(0.9*8760)</f>
        <v/>
      </c>
      <c r="AO80" s="1">
        <f>Q80/H80</f>
        <v/>
      </c>
      <c r="AP80" s="1">
        <f>BG80+BH80+BI80</f>
        <v/>
      </c>
      <c r="AQ80" s="1">
        <f>(T80+U80)*-1*(K80+M80)/H80</f>
        <v/>
      </c>
      <c r="AR80" s="1">
        <f>AP80*T80</f>
        <v/>
      </c>
      <c r="AS80" s="1">
        <f>BG80+BH80</f>
        <v/>
      </c>
      <c r="AT80" s="1">
        <f>U80*(K80+M80)*-1/H80</f>
        <v/>
      </c>
      <c r="AU80" s="1">
        <f>AS80*T80</f>
        <v/>
      </c>
      <c r="AW80" s="9">
        <f>22/7</f>
        <v/>
      </c>
      <c r="AX80" s="10" t="n">
        <v>0.203205751129122</v>
      </c>
      <c r="AY80" s="10" t="n">
        <v>3.1429329</v>
      </c>
      <c r="AZ80" s="9" t="n">
        <v>0.182890835326593</v>
      </c>
      <c r="BB80" s="10">
        <f>1/H80*AX80</f>
        <v/>
      </c>
      <c r="BC80" s="10">
        <f>I80/H80*AZ80</f>
        <v/>
      </c>
      <c r="BE80" s="10">
        <f>AW80</f>
        <v/>
      </c>
      <c r="BF80" s="10">
        <f>AY80*R80</f>
        <v/>
      </c>
      <c r="BG80" s="10">
        <f>J80/H80*AZ80</f>
        <v/>
      </c>
      <c r="BH80" s="10">
        <f>(L80+N80)/H80</f>
        <v/>
      </c>
      <c r="BI80" s="10">
        <f>(K80+M80)/H80</f>
        <v/>
      </c>
      <c r="BK80" s="1">
        <f>SUM(BE80:BI80)-SUM(BB80:BC80)</f>
        <v/>
      </c>
    </row>
    <row r="81">
      <c r="AD81" s="5" t="n"/>
      <c r="AE81" s="5" t="n"/>
      <c r="AF81" s="5" t="n"/>
      <c r="AG81" s="5" t="n"/>
      <c r="AW81" s="8" t="n"/>
      <c r="AZ81" s="8" t="n"/>
    </row>
    <row r="82">
      <c r="AD82" s="5" t="n"/>
      <c r="AE82" s="5" t="n"/>
      <c r="AF82" s="5" t="n"/>
      <c r="AG82" s="5" t="n"/>
      <c r="AW82" s="8" t="n"/>
      <c r="AZ82" s="8" t="n"/>
    </row>
    <row r="83">
      <c r="AD83" s="5" t="n"/>
      <c r="AE83" s="5" t="n"/>
      <c r="AF83" s="5" t="n"/>
      <c r="AG83" s="5" t="n"/>
      <c r="AW83" s="8" t="n"/>
      <c r="AZ83" s="8" t="n"/>
    </row>
    <row r="84">
      <c r="AD84" s="5" t="n"/>
      <c r="AE84" s="5" t="n"/>
      <c r="AF84" s="5" t="n"/>
      <c r="AG84" s="5" t="n"/>
      <c r="AW84" s="8" t="n"/>
      <c r="AZ84" s="8" t="n"/>
    </row>
    <row r="85">
      <c r="AD85" s="5" t="n"/>
      <c r="AE85" s="5" t="n"/>
      <c r="AF85" s="5" t="n"/>
      <c r="AG85" s="5" t="n"/>
      <c r="AW85" s="8" t="n"/>
      <c r="AZ85" s="8" t="n"/>
    </row>
    <row r="86">
      <c r="AD86" s="5" t="n"/>
      <c r="AE86" s="5" t="n"/>
      <c r="AF86" s="5" t="n"/>
      <c r="AG86" s="5" t="n"/>
      <c r="AW86" s="8" t="n"/>
      <c r="AZ86" s="8" t="n"/>
    </row>
    <row r="87">
      <c r="AD87" s="5" t="n"/>
      <c r="AE87" s="5" t="n"/>
      <c r="AF87" s="5" t="n"/>
      <c r="AG87" s="5" t="n"/>
      <c r="AW87" s="8" t="n"/>
      <c r="AZ87" s="8" t="n"/>
    </row>
    <row r="88">
      <c r="AD88" s="5" t="n"/>
      <c r="AE88" s="5" t="n"/>
      <c r="AF88" s="5" t="n"/>
      <c r="AG88" s="5" t="n"/>
      <c r="AW88" s="8" t="n"/>
      <c r="AZ88" s="8" t="n"/>
    </row>
    <row r="89">
      <c r="AD89" s="5" t="n"/>
      <c r="AE89" s="5" t="n"/>
      <c r="AF89" s="5" t="n"/>
      <c r="AG89" s="5" t="n"/>
      <c r="AW89" s="8" t="n"/>
      <c r="AZ89" s="8" t="n"/>
    </row>
    <row r="90">
      <c r="AD90" s="5" t="n"/>
      <c r="AE90" s="5" t="n"/>
      <c r="AF90" s="5" t="n"/>
      <c r="AG90" s="5" t="n"/>
      <c r="AW90" s="8" t="n"/>
      <c r="AZ90" s="8" t="n"/>
    </row>
    <row r="91">
      <c r="AD91" s="5" t="n"/>
      <c r="AE91" s="5" t="n"/>
      <c r="AF91" s="5" t="n"/>
      <c r="AG91" s="5" t="n"/>
      <c r="AW91" s="8" t="n"/>
      <c r="AZ91" s="8" t="n"/>
    </row>
    <row r="92">
      <c r="AD92" s="5" t="n"/>
      <c r="AE92" s="5" t="n"/>
      <c r="AF92" s="5" t="n"/>
      <c r="AG92" s="5" t="n"/>
      <c r="AW92" s="8" t="n"/>
      <c r="AZ92" s="8" t="n"/>
    </row>
    <row r="93">
      <c r="AD93" s="5" t="n"/>
      <c r="AE93" s="5" t="n"/>
      <c r="AF93" s="5" t="n"/>
      <c r="AG93" s="5" t="n"/>
      <c r="AW93" s="8" t="n"/>
      <c r="AZ93" s="8" t="n"/>
    </row>
    <row r="94">
      <c r="AD94" s="5" t="n"/>
      <c r="AE94" s="5" t="n"/>
      <c r="AF94" s="5" t="n"/>
      <c r="AG94" s="5" t="n"/>
      <c r="AW94" s="8" t="n"/>
      <c r="AZ94" s="8" t="n"/>
    </row>
    <row r="95">
      <c r="AD95" s="5" t="n"/>
      <c r="AE95" s="5" t="n"/>
      <c r="AF95" s="5" t="n"/>
      <c r="AG95" s="5" t="n"/>
      <c r="AW95" s="8" t="n"/>
      <c r="AZ95" s="8" t="n"/>
    </row>
    <row r="96">
      <c r="AD96" s="5" t="n"/>
      <c r="AE96" s="5" t="n"/>
      <c r="AF96" s="5" t="n"/>
      <c r="AG96" s="5" t="n"/>
      <c r="AW96" s="8" t="n"/>
      <c r="AZ96" s="8" t="n"/>
    </row>
    <row r="97">
      <c r="AD97" s="5" t="n"/>
      <c r="AE97" s="5" t="n"/>
      <c r="AF97" s="5" t="n"/>
      <c r="AG97" s="5" t="n"/>
      <c r="AW97" s="8" t="n"/>
      <c r="AZ97" s="8" t="n"/>
    </row>
    <row r="98">
      <c r="AD98" s="5" t="n"/>
      <c r="AE98" s="5" t="n"/>
      <c r="AF98" s="5" t="n"/>
      <c r="AG98" s="5" t="n"/>
      <c r="AW98" s="8" t="n"/>
      <c r="AZ98" s="8" t="n"/>
    </row>
    <row r="99">
      <c r="AD99" s="5" t="n"/>
      <c r="AE99" s="5" t="n"/>
      <c r="AF99" s="5" t="n"/>
      <c r="AG99" s="5" t="n"/>
      <c r="AW99" s="8" t="n"/>
      <c r="AZ99" s="8" t="n"/>
    </row>
    <row r="100">
      <c r="AD100" s="5" t="n"/>
      <c r="AE100" s="5" t="n"/>
      <c r="AF100" s="5" t="n"/>
      <c r="AG100" s="5" t="n"/>
      <c r="AW100" s="8" t="n"/>
      <c r="AZ100" s="8" t="n"/>
    </row>
    <row r="101">
      <c r="AD101" s="5" t="n"/>
      <c r="AE101" s="5" t="n"/>
      <c r="AF101" s="5" t="n"/>
      <c r="AG101" s="5" t="n"/>
      <c r="AW101" s="8" t="n"/>
      <c r="AZ101" s="8" t="n"/>
    </row>
    <row r="102">
      <c r="AD102" s="5" t="n"/>
      <c r="AE102" s="5" t="n"/>
      <c r="AF102" s="5" t="n"/>
      <c r="AG102" s="5" t="n"/>
      <c r="AW102" s="8" t="n"/>
      <c r="AZ102" s="8" t="n"/>
    </row>
    <row r="103">
      <c r="AD103" s="5" t="n"/>
      <c r="AE103" s="5" t="n"/>
      <c r="AF103" s="5" t="n"/>
      <c r="AG103" s="5" t="n"/>
      <c r="AW103" s="8" t="n"/>
      <c r="AZ103" s="8" t="n"/>
    </row>
    <row r="104">
      <c r="AD104" s="5" t="n"/>
      <c r="AE104" s="5" t="n"/>
      <c r="AF104" s="5" t="n"/>
      <c r="AG104" s="5" t="n"/>
      <c r="AW104" s="8" t="n"/>
      <c r="AZ104" s="8" t="n"/>
    </row>
    <row r="105">
      <c r="AD105" s="5" t="n"/>
      <c r="AE105" s="5" t="n"/>
      <c r="AF105" s="5" t="n"/>
      <c r="AG105" s="5" t="n"/>
    </row>
    <row r="106">
      <c r="AD106" s="5" t="n"/>
      <c r="AE106" s="5" t="n"/>
      <c r="AF106" s="5" t="n"/>
      <c r="AG106" s="5" t="n"/>
    </row>
    <row r="107">
      <c r="AD107" s="5" t="n"/>
      <c r="AE107" s="5" t="n"/>
      <c r="AF107" s="5" t="n"/>
      <c r="AG107" s="5" t="n"/>
    </row>
    <row r="108">
      <c r="AG108" s="5" t="n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79"/>
  <sheetViews>
    <sheetView topLeftCell="A32" zoomScale="108" workbookViewId="0">
      <selection activeCell="A52" sqref="A52"/>
    </sheetView>
  </sheetViews>
  <sheetFormatPr baseColWidth="10" defaultRowHeight="16"/>
  <cols>
    <col width="19" customWidth="1" min="1" max="1"/>
    <col width="14.1640625" bestFit="1" customWidth="1" min="2" max="2"/>
    <col width="12.6640625" bestFit="1" customWidth="1" min="3" max="3"/>
    <col width="15.1640625" bestFit="1" customWidth="1" min="4" max="4"/>
    <col width="17.5" bestFit="1" customWidth="1" min="5" max="5"/>
    <col width="17.1640625" bestFit="1" customWidth="1" min="6" max="6"/>
    <col width="15.5" bestFit="1" customWidth="1" min="7" max="7"/>
    <col width="13.6640625" bestFit="1" customWidth="1" min="8" max="8"/>
    <col width="12.1640625" bestFit="1" customWidth="1" min="9" max="9"/>
    <col width="14.5" bestFit="1" customWidth="1" min="10" max="10"/>
    <col width="17.83203125" bestFit="1" customWidth="1" min="11" max="11"/>
    <col width="19.33203125" bestFit="1" customWidth="1" min="12" max="12"/>
    <col width="16" bestFit="1" customWidth="1" min="13" max="13"/>
    <col width="2.83203125" customWidth="1" min="14" max="14"/>
    <col width="20.5" customWidth="1" min="15" max="15"/>
    <col width="16" bestFit="1" customWidth="1" min="27" max="27"/>
  </cols>
  <sheetData>
    <row r="1" customFormat="1" s="18">
      <c r="A1" s="17" t="inlineStr">
        <is>
          <t>LCOE for steam/electric cracker ($/t-ethylene)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O1" s="17" t="n"/>
    </row>
    <row r="2" ht="32" customHeight="1">
      <c r="A2" s="4" t="inlineStr">
        <is>
          <t>id_LC</t>
        </is>
      </c>
      <c r="B2" s="4" t="inlineStr">
        <is>
          <t>h2_consumption</t>
        </is>
      </c>
      <c r="C2" s="4" t="inlineStr">
        <is>
          <t>h2_production</t>
        </is>
      </c>
      <c r="D2" s="4" t="inlineStr">
        <is>
          <t>elec_consumption</t>
        </is>
      </c>
      <c r="E2" s="4" t="inlineStr">
        <is>
          <t>ethane_consumption</t>
        </is>
      </c>
      <c r="F2" s="4" t="inlineStr">
        <is>
          <t>natgas_consumption</t>
        </is>
      </c>
      <c r="G2" s="4" t="inlineStr">
        <is>
          <t>natgas_production</t>
        </is>
      </c>
      <c r="H2" s="4" t="inlineStr">
        <is>
          <t>investment_cost</t>
        </is>
      </c>
      <c r="I2" s="4" t="inlineStr">
        <is>
          <t>fixed_om_cost</t>
        </is>
      </c>
      <c r="J2" s="4" t="inlineStr">
        <is>
          <t>variable_om_cost</t>
        </is>
      </c>
      <c r="K2" s="3" t="inlineStr">
        <is>
          <t>modified capture cost</t>
        </is>
      </c>
      <c r="L2" s="3" t="inlineStr">
        <is>
          <t>modified emissions cost</t>
        </is>
      </c>
      <c r="M2" s="19" t="inlineStr">
        <is>
          <t>LCOE ($/t-ethylene)</t>
        </is>
      </c>
      <c r="O2" s="4" t="inlineStr">
        <is>
          <t>id_LC</t>
        </is>
      </c>
      <c r="P2" s="4" t="inlineStr">
        <is>
          <t>h2_consumption</t>
        </is>
      </c>
      <c r="Q2" s="4" t="inlineStr">
        <is>
          <t>h2_production</t>
        </is>
      </c>
      <c r="R2" s="4" t="inlineStr">
        <is>
          <t>elec_consumption</t>
        </is>
      </c>
      <c r="S2" s="4" t="inlineStr">
        <is>
          <t>ethane_consumption</t>
        </is>
      </c>
      <c r="T2" s="4" t="inlineStr">
        <is>
          <t>natgas_consumption</t>
        </is>
      </c>
      <c r="U2" s="4" t="inlineStr">
        <is>
          <t>natgas_production</t>
        </is>
      </c>
      <c r="V2" s="4" t="inlineStr">
        <is>
          <t>investment_cost</t>
        </is>
      </c>
      <c r="W2" s="4" t="inlineStr">
        <is>
          <t>fixed_om_cost</t>
        </is>
      </c>
      <c r="X2" s="4" t="inlineStr">
        <is>
          <t>variable_om_cost</t>
        </is>
      </c>
      <c r="Y2" s="3" t="inlineStr">
        <is>
          <t>modified capture cost</t>
        </is>
      </c>
      <c r="Z2" s="3" t="inlineStr">
        <is>
          <t>modified emissions cost</t>
        </is>
      </c>
      <c r="AA2" s="19" t="inlineStr">
        <is>
          <t>LCOE ($/t-ethylene)</t>
        </is>
      </c>
      <c r="AB2" s="23" t="n"/>
      <c r="AC2" s="23" t="n"/>
    </row>
    <row r="3">
      <c r="A3">
        <f>lc_detailed!AB4</f>
        <v/>
      </c>
      <c r="B3" s="20">
        <f>lc_detailed!AG4</f>
        <v/>
      </c>
      <c r="C3" s="20">
        <f>lc_detailed!AH4</f>
        <v/>
      </c>
      <c r="D3" s="20">
        <f>lc_detailed!AI4</f>
        <v/>
      </c>
      <c r="E3" s="20">
        <f>lc_detailed!AJ4</f>
        <v/>
      </c>
      <c r="F3" s="20">
        <f>lc_detailed!AK4</f>
        <v/>
      </c>
      <c r="G3" s="20">
        <f>lc_detailed!AL4</f>
        <v/>
      </c>
      <c r="H3" s="20">
        <f>lc_detailed!AM4</f>
        <v/>
      </c>
      <c r="I3" s="20">
        <f>lc_detailed!AN4</f>
        <v/>
      </c>
      <c r="J3" s="20">
        <f>lc_detailed!AO4</f>
        <v/>
      </c>
      <c r="K3" s="20">
        <f>lc_detailed!AQ4</f>
        <v/>
      </c>
      <c r="L3" s="20">
        <f>lc_detailed!AR4</f>
        <v/>
      </c>
      <c r="M3" s="20">
        <f>lc_detailed!AD4</f>
        <v/>
      </c>
      <c r="O3">
        <f t="array" ref="O3:AA65">_xlfn._xlws.SORT(A3:M65, 13, 1)</f>
        <v/>
      </c>
      <c r="P3" t="n">
        <v>0</v>
      </c>
      <c r="Q3" t="n">
        <v>-27.22544342228009</v>
      </c>
      <c r="R3" t="n">
        <v>3.716730855157686</v>
      </c>
      <c r="S3" t="n">
        <v>414.0408242031392</v>
      </c>
      <c r="T3" t="n">
        <v>25.62347237513139</v>
      </c>
      <c r="U3" t="n">
        <v>0</v>
      </c>
      <c r="V3" t="n">
        <v>255.3436187978135</v>
      </c>
      <c r="W3" t="n">
        <v>139.7574035881295</v>
      </c>
      <c r="X3" t="n">
        <v>34.0413528885809</v>
      </c>
      <c r="Y3" t="n">
        <v>-92.67437303129637</v>
      </c>
      <c r="Z3" t="n">
        <v>109.35325927365</v>
      </c>
      <c r="AA3" t="n">
        <v>861.9768455280257</v>
      </c>
    </row>
    <row r="4">
      <c r="A4">
        <f>lc_detailed!AB5</f>
        <v/>
      </c>
      <c r="B4" s="20">
        <f>lc_detailed!AG5</f>
        <v/>
      </c>
      <c r="C4" s="20">
        <f>lc_detailed!AH5</f>
        <v/>
      </c>
      <c r="D4" s="20">
        <f>lc_detailed!AI5</f>
        <v/>
      </c>
      <c r="E4" s="20">
        <f>lc_detailed!AJ5</f>
        <v/>
      </c>
      <c r="F4" s="20">
        <f>lc_detailed!AK5</f>
        <v/>
      </c>
      <c r="G4" s="20">
        <f>lc_detailed!AL5</f>
        <v/>
      </c>
      <c r="H4" s="20">
        <f>lc_detailed!AM5</f>
        <v/>
      </c>
      <c r="I4" s="20">
        <f>lc_detailed!AN5</f>
        <v/>
      </c>
      <c r="J4" s="20">
        <f>lc_detailed!AO5</f>
        <v/>
      </c>
      <c r="K4" s="20">
        <f>lc_detailed!AQ5</f>
        <v/>
      </c>
      <c r="L4" s="20">
        <f>lc_detailed!AR5</f>
        <v/>
      </c>
      <c r="M4" s="20">
        <f>lc_detailed!AD5</f>
        <v/>
      </c>
      <c r="O4" t="inlineStr">
        <is>
          <t>SW_TSC+CC90</t>
        </is>
      </c>
      <c r="P4" t="n">
        <v>0</v>
      </c>
      <c r="Q4" t="n">
        <v>0</v>
      </c>
      <c r="R4" t="n">
        <v>3.187937823630709</v>
      </c>
      <c r="S4" t="n">
        <v>414.0408242031392</v>
      </c>
      <c r="T4" t="n">
        <v>4.41239675906594</v>
      </c>
      <c r="U4" t="n">
        <v>0</v>
      </c>
      <c r="V4" t="n">
        <v>255.2819824195449</v>
      </c>
      <c r="W4" t="n">
        <v>139.7244444255591</v>
      </c>
      <c r="X4" t="n">
        <v>34.03313589403496</v>
      </c>
      <c r="Y4" t="n">
        <v>-69.42896562863592</v>
      </c>
      <c r="Z4" t="n">
        <v>81.9243057985406</v>
      </c>
      <c r="AA4" t="n">
        <v>863.1760616948794</v>
      </c>
    </row>
    <row r="5">
      <c r="A5">
        <f>lc_detailed!AB6</f>
        <v/>
      </c>
      <c r="B5" s="20">
        <f>lc_detailed!AG6</f>
        <v/>
      </c>
      <c r="C5" s="20">
        <f>lc_detailed!AH6</f>
        <v/>
      </c>
      <c r="D5" s="20">
        <f>lc_detailed!AI6</f>
        <v/>
      </c>
      <c r="E5" s="20">
        <f>lc_detailed!AJ6</f>
        <v/>
      </c>
      <c r="F5" s="20">
        <f>lc_detailed!AK6</f>
        <v/>
      </c>
      <c r="G5" s="20">
        <f>lc_detailed!AL6</f>
        <v/>
      </c>
      <c r="H5" s="20">
        <f>lc_detailed!AM6</f>
        <v/>
      </c>
      <c r="I5" s="20">
        <f>lc_detailed!AN6</f>
        <v/>
      </c>
      <c r="J5" s="20">
        <f>lc_detailed!AO6</f>
        <v/>
      </c>
      <c r="K5" s="20">
        <f>lc_detailed!AQ6</f>
        <v/>
      </c>
      <c r="L5" s="20">
        <f>lc_detailed!AR6</f>
        <v/>
      </c>
      <c r="M5" s="20">
        <f>lc_detailed!AD6</f>
        <v/>
      </c>
      <c r="O5" t="inlineStr">
        <is>
          <t>TX_TSC+CC90</t>
        </is>
      </c>
      <c r="P5" t="n">
        <v>0</v>
      </c>
      <c r="Q5" t="n">
        <v>0</v>
      </c>
      <c r="R5" t="n">
        <v>3.238932511091733</v>
      </c>
      <c r="S5" t="n">
        <v>414.0408242031392</v>
      </c>
      <c r="T5" t="n">
        <v>3.677338596308639</v>
      </c>
      <c r="U5" t="n">
        <v>0</v>
      </c>
      <c r="V5" t="n">
        <v>255.2819824195449</v>
      </c>
      <c r="W5" t="n">
        <v>139.7244444255591</v>
      </c>
      <c r="X5" t="n">
        <v>34.03313589403496</v>
      </c>
      <c r="Y5" t="n">
        <v>-68.73090721605584</v>
      </c>
      <c r="Z5" t="n">
        <v>81.9243057985406</v>
      </c>
      <c r="AA5" t="n">
        <v>863.1900566321633</v>
      </c>
    </row>
    <row r="6">
      <c r="A6">
        <f>lc_detailed!AB7</f>
        <v/>
      </c>
      <c r="B6" s="20">
        <f>lc_detailed!AG7</f>
        <v/>
      </c>
      <c r="C6" s="20">
        <f>lc_detailed!AH7</f>
        <v/>
      </c>
      <c r="D6" s="20">
        <f>lc_detailed!AI7</f>
        <v/>
      </c>
      <c r="E6" s="20">
        <f>lc_detailed!AJ7</f>
        <v/>
      </c>
      <c r="F6" s="20">
        <f>lc_detailed!AK7</f>
        <v/>
      </c>
      <c r="G6" s="20">
        <f>lc_detailed!AL7</f>
        <v/>
      </c>
      <c r="H6" s="20">
        <f>lc_detailed!AM7</f>
        <v/>
      </c>
      <c r="I6" s="20">
        <f>lc_detailed!AN7</f>
        <v/>
      </c>
      <c r="J6" s="20">
        <f>lc_detailed!AO7</f>
        <v/>
      </c>
      <c r="K6" s="20">
        <f>lc_detailed!AQ7</f>
        <v/>
      </c>
      <c r="L6" s="20">
        <f>lc_detailed!AR7</f>
        <v/>
      </c>
      <c r="M6" s="20">
        <f>lc_detailed!AD7</f>
        <v/>
      </c>
      <c r="O6" t="inlineStr">
        <is>
          <t>TX_TSC+CC90:H2</t>
        </is>
      </c>
      <c r="P6" t="n">
        <v>0</v>
      </c>
      <c r="Q6" t="n">
        <v>-22.72274897079843</v>
      </c>
      <c r="R6" t="n">
        <v>3.776184187945604</v>
      </c>
      <c r="S6" t="n">
        <v>414.0408242031392</v>
      </c>
      <c r="T6" t="n">
        <v>21.35487561106486</v>
      </c>
      <c r="U6" t="n">
        <v>0</v>
      </c>
      <c r="V6" t="n">
        <v>255.3436187978135</v>
      </c>
      <c r="W6" t="n">
        <v>139.7574035881295</v>
      </c>
      <c r="X6" t="n">
        <v>34.0413528885809</v>
      </c>
      <c r="Y6" t="n">
        <v>-91.74259873307179</v>
      </c>
      <c r="Z6" t="n">
        <v>109.35325927365</v>
      </c>
      <c r="AA6" t="n">
        <v>863.2021708464533</v>
      </c>
    </row>
    <row r="7">
      <c r="A7">
        <f>lc_detailed!AB8</f>
        <v/>
      </c>
      <c r="B7" s="20">
        <f>lc_detailed!AG8</f>
        <v/>
      </c>
      <c r="C7" s="20">
        <f>lc_detailed!AH8</f>
        <v/>
      </c>
      <c r="D7" s="20">
        <f>lc_detailed!AI8</f>
        <v/>
      </c>
      <c r="E7" s="20">
        <f>lc_detailed!AJ8</f>
        <v/>
      </c>
      <c r="F7" s="20">
        <f>lc_detailed!AK8</f>
        <v/>
      </c>
      <c r="G7" s="20">
        <f>lc_detailed!AL8</f>
        <v/>
      </c>
      <c r="H7" s="20">
        <f>lc_detailed!AM8</f>
        <v/>
      </c>
      <c r="I7" s="20">
        <f>lc_detailed!AN8</f>
        <v/>
      </c>
      <c r="J7" s="20">
        <f>lc_detailed!AO8</f>
        <v/>
      </c>
      <c r="K7" s="20">
        <f>lc_detailed!AQ8</f>
        <v/>
      </c>
      <c r="L7" s="20">
        <f>lc_detailed!AR8</f>
        <v/>
      </c>
      <c r="M7" s="20">
        <f>lc_detailed!AD8</f>
        <v/>
      </c>
      <c r="O7" t="inlineStr">
        <is>
          <t>NCEN_TSC+CC90:H2</t>
        </is>
      </c>
      <c r="P7" t="n">
        <v>0</v>
      </c>
      <c r="Q7" t="n">
        <v>-39.72724053173003</v>
      </c>
      <c r="R7" t="n">
        <v>4.050041377254369</v>
      </c>
      <c r="S7" t="n">
        <v>414.0408242031392</v>
      </c>
      <c r="T7" t="n">
        <v>37.12492438640636</v>
      </c>
      <c r="U7" t="n">
        <v>0</v>
      </c>
      <c r="V7" t="n">
        <v>255.3436187978135</v>
      </c>
      <c r="W7" t="n">
        <v>139.7574035881295</v>
      </c>
      <c r="X7" t="n">
        <v>34.0413528885809</v>
      </c>
      <c r="Y7" t="n">
        <v>-90.27774783257107</v>
      </c>
      <c r="Z7" t="n">
        <v>109.35325927365</v>
      </c>
      <c r="AA7" t="n">
        <v>863.7064361506726</v>
      </c>
    </row>
    <row r="8">
      <c r="A8">
        <f>lc_detailed!AB9</f>
        <v/>
      </c>
      <c r="B8" s="20">
        <f>lc_detailed!AG9</f>
        <v/>
      </c>
      <c r="C8" s="20">
        <f>lc_detailed!AH9</f>
        <v/>
      </c>
      <c r="D8" s="20">
        <f>lc_detailed!AI9</f>
        <v/>
      </c>
      <c r="E8" s="20">
        <f>lc_detailed!AJ9</f>
        <v/>
      </c>
      <c r="F8" s="20">
        <f>lc_detailed!AK9</f>
        <v/>
      </c>
      <c r="G8" s="20">
        <f>lc_detailed!AL9</f>
        <v/>
      </c>
      <c r="H8" s="20">
        <f>lc_detailed!AM9</f>
        <v/>
      </c>
      <c r="I8" s="20">
        <f>lc_detailed!AN9</f>
        <v/>
      </c>
      <c r="J8" s="20">
        <f>lc_detailed!AO9</f>
        <v/>
      </c>
      <c r="K8" s="20">
        <f>lc_detailed!AQ9</f>
        <v/>
      </c>
      <c r="L8" s="20">
        <f>lc_detailed!AR9</f>
        <v/>
      </c>
      <c r="M8" s="20">
        <f>lc_detailed!AD9</f>
        <v/>
      </c>
      <c r="O8" t="inlineStr">
        <is>
          <t>CEN_TSC+CC90:H2</t>
        </is>
      </c>
      <c r="P8" t="n">
        <v>0</v>
      </c>
      <c r="Q8" t="n">
        <v>-39.99386966087835</v>
      </c>
      <c r="R8" t="n">
        <v>3.971973019493213</v>
      </c>
      <c r="S8" t="n">
        <v>414.0408242031392</v>
      </c>
      <c r="T8" t="n">
        <v>37.35548858204109</v>
      </c>
      <c r="U8" t="n">
        <v>0</v>
      </c>
      <c r="V8" t="n">
        <v>255.3436187978135</v>
      </c>
      <c r="W8" t="n">
        <v>139.7574035881295</v>
      </c>
      <c r="X8" t="n">
        <v>34.0413528885809</v>
      </c>
      <c r="Y8" t="n">
        <v>-90.14165339403309</v>
      </c>
      <c r="Z8" t="n">
        <v>109.35325927365</v>
      </c>
      <c r="AA8" t="n">
        <v>863.7283972979359</v>
      </c>
    </row>
    <row r="9">
      <c r="A9">
        <f>lc_detailed!AB10</f>
        <v/>
      </c>
      <c r="B9" s="20">
        <f>lc_detailed!AG10</f>
        <v/>
      </c>
      <c r="C9" s="20">
        <f>lc_detailed!AH10</f>
        <v/>
      </c>
      <c r="D9" s="20">
        <f>lc_detailed!AI10</f>
        <v/>
      </c>
      <c r="E9" s="20">
        <f>lc_detailed!AJ10</f>
        <v/>
      </c>
      <c r="F9" s="20">
        <f>lc_detailed!AK10</f>
        <v/>
      </c>
      <c r="G9" s="20">
        <f>lc_detailed!AL10</f>
        <v/>
      </c>
      <c r="H9" s="20">
        <f>lc_detailed!AM10</f>
        <v/>
      </c>
      <c r="I9" s="20">
        <f>lc_detailed!AN10</f>
        <v/>
      </c>
      <c r="J9" s="20">
        <f>lc_detailed!AO10</f>
        <v/>
      </c>
      <c r="K9" s="20">
        <f>lc_detailed!AQ10</f>
        <v/>
      </c>
      <c r="L9" s="20">
        <f>lc_detailed!AR10</f>
        <v/>
      </c>
      <c r="M9" s="20">
        <f>lc_detailed!AD10</f>
        <v/>
      </c>
      <c r="O9" t="inlineStr">
        <is>
          <t>SE_TSC+CC90:H2</t>
        </is>
      </c>
      <c r="P9" t="n">
        <v>0</v>
      </c>
      <c r="Q9" t="n">
        <v>-21.87826384876091</v>
      </c>
      <c r="R9" t="n">
        <v>3.760000069353684</v>
      </c>
      <c r="S9" t="n">
        <v>414.0408242031392</v>
      </c>
      <c r="T9" t="n">
        <v>19.77061103113841</v>
      </c>
      <c r="U9" t="n">
        <v>0</v>
      </c>
      <c r="V9" t="n">
        <v>255.3436187978135</v>
      </c>
      <c r="W9" t="n">
        <v>139.7574035881295</v>
      </c>
      <c r="X9" t="n">
        <v>34.0413528885809</v>
      </c>
      <c r="Y9" t="n">
        <v>-90.28617463359177</v>
      </c>
      <c r="Z9" t="n">
        <v>109.35325927365</v>
      </c>
      <c r="AA9" t="n">
        <v>863.9026313694525</v>
      </c>
    </row>
    <row r="10">
      <c r="A10">
        <f>lc_detailed!AB11</f>
        <v/>
      </c>
      <c r="B10" s="20">
        <f>lc_detailed!AG11</f>
        <v/>
      </c>
      <c r="C10" s="20">
        <f>lc_detailed!AH11</f>
        <v/>
      </c>
      <c r="D10" s="20">
        <f>lc_detailed!AI11</f>
        <v/>
      </c>
      <c r="E10" s="20">
        <f>lc_detailed!AJ11</f>
        <v/>
      </c>
      <c r="F10" s="20">
        <f>lc_detailed!AK11</f>
        <v/>
      </c>
      <c r="G10" s="20">
        <f>lc_detailed!AL11</f>
        <v/>
      </c>
      <c r="H10" s="20">
        <f>lc_detailed!AM11</f>
        <v/>
      </c>
      <c r="I10" s="20">
        <f>lc_detailed!AN11</f>
        <v/>
      </c>
      <c r="J10" s="20">
        <f>lc_detailed!AO11</f>
        <v/>
      </c>
      <c r="K10" s="20">
        <f>lc_detailed!AQ11</f>
        <v/>
      </c>
      <c r="L10" s="20">
        <f>lc_detailed!AR11</f>
        <v/>
      </c>
      <c r="M10" s="20">
        <f>lc_detailed!AD11</f>
        <v/>
      </c>
      <c r="O10" t="inlineStr">
        <is>
          <t>SE_TSC+CC90</t>
        </is>
      </c>
      <c r="P10" t="n">
        <v>0</v>
      </c>
      <c r="Q10" t="n">
        <v>0</v>
      </c>
      <c r="R10" t="n">
        <v>3.225050966849778</v>
      </c>
      <c r="S10" t="n">
        <v>414.0408242031392</v>
      </c>
      <c r="T10" t="n">
        <v>3.404526083014973</v>
      </c>
      <c r="U10" t="n">
        <v>0</v>
      </c>
      <c r="V10" t="n">
        <v>255.2819824195449</v>
      </c>
      <c r="W10" t="n">
        <v>139.7244444255591</v>
      </c>
      <c r="X10" t="n">
        <v>34.03313589403496</v>
      </c>
      <c r="Y10" t="n">
        <v>-67.63979631413082</v>
      </c>
      <c r="Z10" t="n">
        <v>81.9243057985406</v>
      </c>
      <c r="AA10" t="n">
        <v>863.9944734765526</v>
      </c>
    </row>
    <row r="11">
      <c r="A11">
        <f>lc_detailed!AB12</f>
        <v/>
      </c>
      <c r="B11" s="20">
        <f>lc_detailed!AG12</f>
        <v/>
      </c>
      <c r="C11" s="20">
        <f>lc_detailed!AH12</f>
        <v/>
      </c>
      <c r="D11" s="20">
        <f>lc_detailed!AI12</f>
        <v/>
      </c>
      <c r="E11" s="20">
        <f>lc_detailed!AJ12</f>
        <v/>
      </c>
      <c r="F11" s="20">
        <f>lc_detailed!AK12</f>
        <v/>
      </c>
      <c r="G11" s="20">
        <f>lc_detailed!AL12</f>
        <v/>
      </c>
      <c r="H11" s="20">
        <f>lc_detailed!AM12</f>
        <v/>
      </c>
      <c r="I11" s="20">
        <f>lc_detailed!AN12</f>
        <v/>
      </c>
      <c r="J11" s="20">
        <f>lc_detailed!AO12</f>
        <v/>
      </c>
      <c r="K11" s="20">
        <f>lc_detailed!AQ12</f>
        <v/>
      </c>
      <c r="L11" s="20">
        <f>lc_detailed!AR12</f>
        <v/>
      </c>
      <c r="M11" s="20">
        <f>lc_detailed!AD12</f>
        <v/>
      </c>
      <c r="O11" t="inlineStr">
        <is>
          <t>NCEN_TSC+CC90</t>
        </is>
      </c>
      <c r="P11" t="n">
        <v>0</v>
      </c>
      <c r="Q11" t="n">
        <v>0</v>
      </c>
      <c r="R11" t="n">
        <v>3.473827026216253</v>
      </c>
      <c r="S11" t="n">
        <v>414.0408242031392</v>
      </c>
      <c r="T11" t="n">
        <v>6.392962423084062</v>
      </c>
      <c r="U11" t="n">
        <v>0</v>
      </c>
      <c r="V11" t="n">
        <v>255.2819824195449</v>
      </c>
      <c r="W11" t="n">
        <v>139.7244444255591</v>
      </c>
      <c r="X11" t="n">
        <v>34.03313589403496</v>
      </c>
      <c r="Y11" t="n">
        <v>-67.63348319800942</v>
      </c>
      <c r="Z11" t="n">
        <v>81.9243057985406</v>
      </c>
      <c r="AA11" t="n">
        <v>867.2379989921096</v>
      </c>
    </row>
    <row r="12">
      <c r="A12">
        <f>lc_detailed!AB13</f>
        <v/>
      </c>
      <c r="B12" s="20">
        <f>lc_detailed!AG13</f>
        <v/>
      </c>
      <c r="C12" s="20">
        <f>lc_detailed!AH13</f>
        <v/>
      </c>
      <c r="D12" s="20">
        <f>lc_detailed!AI13</f>
        <v/>
      </c>
      <c r="E12" s="20">
        <f>lc_detailed!AJ13</f>
        <v/>
      </c>
      <c r="F12" s="20">
        <f>lc_detailed!AK13</f>
        <v/>
      </c>
      <c r="G12" s="20">
        <f>lc_detailed!AL13</f>
        <v/>
      </c>
      <c r="H12" s="20">
        <f>lc_detailed!AM13</f>
        <v/>
      </c>
      <c r="I12" s="20">
        <f>lc_detailed!AN13</f>
        <v/>
      </c>
      <c r="J12" s="20">
        <f>lc_detailed!AO13</f>
        <v/>
      </c>
      <c r="K12" s="20">
        <f>lc_detailed!AQ13</f>
        <v/>
      </c>
      <c r="L12" s="20">
        <f>lc_detailed!AR13</f>
        <v/>
      </c>
      <c r="M12" s="20">
        <f>lc_detailed!AD13</f>
        <v/>
      </c>
      <c r="O12" t="inlineStr">
        <is>
          <t>CEN_TSC+CC90</t>
        </is>
      </c>
      <c r="P12" t="n">
        <v>0</v>
      </c>
      <c r="Q12" t="n">
        <v>0</v>
      </c>
      <c r="R12" t="n">
        <v>3.406865742164662</v>
      </c>
      <c r="S12" t="n">
        <v>414.0408242031392</v>
      </c>
      <c r="T12" t="n">
        <v>6.432665890853041</v>
      </c>
      <c r="U12" t="n">
        <v>0</v>
      </c>
      <c r="V12" t="n">
        <v>255.2819824195449</v>
      </c>
      <c r="W12" t="n">
        <v>139.7244444255591</v>
      </c>
      <c r="X12" t="n">
        <v>34.03313589403496</v>
      </c>
      <c r="Y12" t="n">
        <v>-67.53152517243623</v>
      </c>
      <c r="Z12" t="n">
        <v>81.9243057985406</v>
      </c>
      <c r="AA12" t="n">
        <v>867.3126992014003</v>
      </c>
    </row>
    <row r="13">
      <c r="A13">
        <f>lc_detailed!AB14</f>
        <v/>
      </c>
      <c r="B13" s="20">
        <f>lc_detailed!AG14</f>
        <v/>
      </c>
      <c r="C13" s="20">
        <f>lc_detailed!AH14</f>
        <v/>
      </c>
      <c r="D13" s="20">
        <f>lc_detailed!AI14</f>
        <v/>
      </c>
      <c r="E13" s="20">
        <f>lc_detailed!AJ14</f>
        <v/>
      </c>
      <c r="F13" s="20">
        <f>lc_detailed!AK14</f>
        <v/>
      </c>
      <c r="G13" s="20">
        <f>lc_detailed!AL14</f>
        <v/>
      </c>
      <c r="H13" s="20">
        <f>lc_detailed!AM14</f>
        <v/>
      </c>
      <c r="I13" s="20">
        <f>lc_detailed!AN14</f>
        <v/>
      </c>
      <c r="J13" s="20">
        <f>lc_detailed!AO14</f>
        <v/>
      </c>
      <c r="K13" s="20">
        <f>lc_detailed!AQ14</f>
        <v/>
      </c>
      <c r="L13" s="20">
        <f>lc_detailed!AR14</f>
        <v/>
      </c>
      <c r="M13" s="20">
        <f>lc_detailed!AD14</f>
        <v/>
      </c>
      <c r="O13" t="inlineStr">
        <is>
          <t>MIDAT_TSC+CC90:H2</t>
        </is>
      </c>
      <c r="P13" t="n">
        <v>0</v>
      </c>
      <c r="Q13" t="n">
        <v>-22.67496632880128</v>
      </c>
      <c r="R13" t="n">
        <v>3.801457728761481</v>
      </c>
      <c r="S13" t="n">
        <v>414.0408242031392</v>
      </c>
      <c r="T13" t="n">
        <v>13.4252408710628</v>
      </c>
      <c r="U13" t="n">
        <v>0</v>
      </c>
      <c r="V13" t="n">
        <v>255.3436187978135</v>
      </c>
      <c r="W13" t="n">
        <v>139.7574035881295</v>
      </c>
      <c r="X13" t="n">
        <v>34.0413528885809</v>
      </c>
      <c r="Y13" t="n">
        <v>-76.81807728347869</v>
      </c>
      <c r="Z13" t="n">
        <v>109.35325927365</v>
      </c>
      <c r="AA13" t="n">
        <v>870.2701137388573</v>
      </c>
    </row>
    <row r="14">
      <c r="A14">
        <f>lc_detailed!AB15</f>
        <v/>
      </c>
      <c r="B14" s="20">
        <f>lc_detailed!AG15</f>
        <v/>
      </c>
      <c r="C14" s="20">
        <f>lc_detailed!AH15</f>
        <v/>
      </c>
      <c r="D14" s="20">
        <f>lc_detailed!AI15</f>
        <v/>
      </c>
      <c r="E14" s="20">
        <f>lc_detailed!AJ15</f>
        <v/>
      </c>
      <c r="F14" s="20">
        <f>lc_detailed!AK15</f>
        <v/>
      </c>
      <c r="G14" s="20">
        <f>lc_detailed!AL15</f>
        <v/>
      </c>
      <c r="H14" s="20">
        <f>lc_detailed!AM15</f>
        <v/>
      </c>
      <c r="I14" s="20">
        <f>lc_detailed!AN15</f>
        <v/>
      </c>
      <c r="J14" s="20">
        <f>lc_detailed!AO15</f>
        <v/>
      </c>
      <c r="K14" s="20">
        <f>lc_detailed!AQ15</f>
        <v/>
      </c>
      <c r="L14" s="20">
        <f>lc_detailed!AR15</f>
        <v/>
      </c>
      <c r="M14" s="20">
        <f>lc_detailed!AD15</f>
        <v/>
      </c>
      <c r="O14" t="inlineStr">
        <is>
          <t>MIDAT_TSC+CC90</t>
        </is>
      </c>
      <c r="P14" t="n">
        <v>0</v>
      </c>
      <c r="Q14" t="n">
        <v>0</v>
      </c>
      <c r="R14" t="n">
        <v>3.260610291873787</v>
      </c>
      <c r="S14" t="n">
        <v>414.0408242031392</v>
      </c>
      <c r="T14" t="n">
        <v>2.311844719634855</v>
      </c>
      <c r="U14" t="n">
        <v>0</v>
      </c>
      <c r="V14" t="n">
        <v>255.2819824195449</v>
      </c>
      <c r="W14" t="n">
        <v>139.7244444255591</v>
      </c>
      <c r="X14" t="n">
        <v>34.03313589403496</v>
      </c>
      <c r="Y14" t="n">
        <v>-57.54988647801737</v>
      </c>
      <c r="Z14" t="n">
        <v>81.9243057985406</v>
      </c>
      <c r="AA14" t="n">
        <v>873.02726127431</v>
      </c>
    </row>
    <row r="15">
      <c r="A15">
        <f>lc_detailed!AB16</f>
        <v/>
      </c>
      <c r="B15" s="20">
        <f>lc_detailed!AG16</f>
        <v/>
      </c>
      <c r="C15" s="20">
        <f>lc_detailed!AH16</f>
        <v/>
      </c>
      <c r="D15" s="20">
        <f>lc_detailed!AI16</f>
        <v/>
      </c>
      <c r="E15" s="20">
        <f>lc_detailed!AJ16</f>
        <v/>
      </c>
      <c r="F15" s="20">
        <f>lc_detailed!AK16</f>
        <v/>
      </c>
      <c r="G15" s="20">
        <f>lc_detailed!AL16</f>
        <v/>
      </c>
      <c r="H15" s="20">
        <f>lc_detailed!AM16</f>
        <v/>
      </c>
      <c r="I15" s="20">
        <f>lc_detailed!AN16</f>
        <v/>
      </c>
      <c r="J15" s="20">
        <f>lc_detailed!AO16</f>
        <v/>
      </c>
      <c r="K15" s="20">
        <f>lc_detailed!AQ16</f>
        <v/>
      </c>
      <c r="L15" s="20">
        <f>lc_detailed!AR16</f>
        <v/>
      </c>
      <c r="M15" s="20">
        <f>lc_detailed!AD16</f>
        <v/>
      </c>
      <c r="O15" t="inlineStr">
        <is>
          <t>NE_TSC+CC90</t>
        </is>
      </c>
      <c r="P15" t="n">
        <v>0</v>
      </c>
      <c r="Q15" t="n">
        <v>0</v>
      </c>
      <c r="R15" t="n">
        <v>3.15282708285626</v>
      </c>
      <c r="S15" t="n">
        <v>414.0408242031392</v>
      </c>
      <c r="T15" t="n">
        <v>3.830701689272393</v>
      </c>
      <c r="U15" t="n">
        <v>0</v>
      </c>
      <c r="V15" t="n">
        <v>255.2819824195449</v>
      </c>
      <c r="W15" t="n">
        <v>139.7244444255591</v>
      </c>
      <c r="X15" t="n">
        <v>34.03313589403496</v>
      </c>
      <c r="Y15" t="n">
        <v>-50.45095042829955</v>
      </c>
      <c r="Z15" t="n">
        <v>81.9243057985406</v>
      </c>
      <c r="AA15" t="n">
        <v>881.537271084648</v>
      </c>
    </row>
    <row r="16">
      <c r="A16">
        <f>lc_detailed!AB17</f>
        <v/>
      </c>
      <c r="B16" s="20">
        <f>lc_detailed!AG17</f>
        <v/>
      </c>
      <c r="C16" s="20">
        <f>lc_detailed!AH17</f>
        <v/>
      </c>
      <c r="D16" s="20">
        <f>lc_detailed!AI17</f>
        <v/>
      </c>
      <c r="E16" s="20">
        <f>lc_detailed!AJ17</f>
        <v/>
      </c>
      <c r="F16" s="20">
        <f>lc_detailed!AK17</f>
        <v/>
      </c>
      <c r="G16" s="20">
        <f>lc_detailed!AL17</f>
        <v/>
      </c>
      <c r="H16" s="20">
        <f>lc_detailed!AM17</f>
        <v/>
      </c>
      <c r="I16" s="20">
        <f>lc_detailed!AN17</f>
        <v/>
      </c>
      <c r="J16" s="20">
        <f>lc_detailed!AO17</f>
        <v/>
      </c>
      <c r="K16" s="20">
        <f>lc_detailed!AQ17</f>
        <v/>
      </c>
      <c r="L16" s="20">
        <f>lc_detailed!AR17</f>
        <v/>
      </c>
      <c r="M16" s="20">
        <f>lc_detailed!AD17</f>
        <v/>
      </c>
      <c r="O16" t="inlineStr">
        <is>
          <t>NE_TSC+CC90:H2</t>
        </is>
      </c>
      <c r="P16" t="n">
        <v>0</v>
      </c>
      <c r="Q16" t="n">
        <v>-27.68274555237967</v>
      </c>
      <c r="R16" t="n">
        <v>3.675796188045761</v>
      </c>
      <c r="S16" t="n">
        <v>414.0408242031392</v>
      </c>
      <c r="T16" t="n">
        <v>22.24547887965064</v>
      </c>
      <c r="U16" t="n">
        <v>0</v>
      </c>
      <c r="V16" t="n">
        <v>255.3436187978135</v>
      </c>
      <c r="W16" t="n">
        <v>139.7574035881295</v>
      </c>
      <c r="X16" t="n">
        <v>34.0413528885809</v>
      </c>
      <c r="Y16" t="n">
        <v>-67.34235714794033</v>
      </c>
      <c r="Z16" t="n">
        <v>109.35325927365</v>
      </c>
      <c r="AA16" t="n">
        <v>883.4326311186894</v>
      </c>
    </row>
    <row r="17">
      <c r="A17">
        <f>lc_detailed!AB18</f>
        <v/>
      </c>
      <c r="B17" s="20">
        <f>lc_detailed!AG18</f>
        <v/>
      </c>
      <c r="C17" s="20">
        <f>lc_detailed!AH18</f>
        <v/>
      </c>
      <c r="D17" s="20">
        <f>lc_detailed!AI18</f>
        <v/>
      </c>
      <c r="E17" s="20">
        <f>lc_detailed!AJ18</f>
        <v/>
      </c>
      <c r="F17" s="20">
        <f>lc_detailed!AK18</f>
        <v/>
      </c>
      <c r="G17" s="20">
        <f>lc_detailed!AL18</f>
        <v/>
      </c>
      <c r="H17" s="20">
        <f>lc_detailed!AM18</f>
        <v/>
      </c>
      <c r="I17" s="20">
        <f>lc_detailed!AN18</f>
        <v/>
      </c>
      <c r="J17" s="20">
        <f>lc_detailed!AO18</f>
        <v/>
      </c>
      <c r="K17" s="20">
        <f>lc_detailed!AQ18</f>
        <v/>
      </c>
      <c r="L17" s="20">
        <f>lc_detailed!AR18</f>
        <v/>
      </c>
      <c r="M17" s="20">
        <f>lc_detailed!AD18</f>
        <v/>
      </c>
      <c r="O17" t="inlineStr">
        <is>
          <t>TX_TSC+H2in:CH4</t>
        </is>
      </c>
      <c r="P17" t="n">
        <v>19.55762659712437</v>
      </c>
      <c r="Q17" t="n">
        <v>0</v>
      </c>
      <c r="R17" t="n">
        <v>0</v>
      </c>
      <c r="S17" t="n">
        <v>414.0408242031392</v>
      </c>
      <c r="T17" t="n">
        <v>0</v>
      </c>
      <c r="U17" t="n">
        <v>-19.13733272581942</v>
      </c>
      <c r="V17" t="n">
        <v>236.7683066840029</v>
      </c>
      <c r="W17" t="n">
        <v>129.5862975452785</v>
      </c>
      <c r="X17" t="n">
        <v>31.5649692971309</v>
      </c>
      <c r="Y17" t="n">
        <v>0</v>
      </c>
      <c r="Z17" t="n">
        <v>76.520652297477</v>
      </c>
      <c r="AA17" t="n">
        <v>888.9013438983335</v>
      </c>
    </row>
    <row r="18">
      <c r="A18">
        <f>lc_detailed!AB19</f>
        <v/>
      </c>
      <c r="B18" s="20">
        <f>lc_detailed!AG19</f>
        <v/>
      </c>
      <c r="C18" s="20">
        <f>lc_detailed!AH19</f>
        <v/>
      </c>
      <c r="D18" s="20">
        <f>lc_detailed!AI19</f>
        <v/>
      </c>
      <c r="E18" s="20">
        <f>lc_detailed!AJ19</f>
        <v/>
      </c>
      <c r="F18" s="20">
        <f>lc_detailed!AK19</f>
        <v/>
      </c>
      <c r="G18" s="20">
        <f>lc_detailed!AL19</f>
        <v/>
      </c>
      <c r="H18" s="20">
        <f>lc_detailed!AM19</f>
        <v/>
      </c>
      <c r="I18" s="20">
        <f>lc_detailed!AN19</f>
        <v/>
      </c>
      <c r="J18" s="20">
        <f>lc_detailed!AO19</f>
        <v/>
      </c>
      <c r="K18" s="20">
        <f>lc_detailed!AQ19</f>
        <v/>
      </c>
      <c r="L18" s="20">
        <f>lc_detailed!AR19</f>
        <v/>
      </c>
      <c r="M18" s="20">
        <f>lc_detailed!AD19</f>
        <v/>
      </c>
      <c r="O18" t="inlineStr">
        <is>
          <t>SW_TSC+H2in:CH4</t>
        </is>
      </c>
      <c r="P18" t="n">
        <v>23.43312673472623</v>
      </c>
      <c r="Q18" t="n">
        <v>0</v>
      </c>
      <c r="R18" t="n">
        <v>0</v>
      </c>
      <c r="S18" t="n">
        <v>414.0408242031392</v>
      </c>
      <c r="T18" t="n">
        <v>0</v>
      </c>
      <c r="U18" t="n">
        <v>-22.96266788740522</v>
      </c>
      <c r="V18" t="n">
        <v>236.7683066840029</v>
      </c>
      <c r="W18" t="n">
        <v>129.5862975452785</v>
      </c>
      <c r="X18" t="n">
        <v>31.5649692971309</v>
      </c>
      <c r="Y18" t="n">
        <v>0</v>
      </c>
      <c r="Z18" t="n">
        <v>76.520652297477</v>
      </c>
      <c r="AA18" t="n">
        <v>888.9515088743495</v>
      </c>
    </row>
    <row r="19">
      <c r="A19">
        <f>lc_detailed!AB20</f>
        <v/>
      </c>
      <c r="B19" s="20">
        <f>lc_detailed!AG20</f>
        <v/>
      </c>
      <c r="C19" s="20">
        <f>lc_detailed!AH20</f>
        <v/>
      </c>
      <c r="D19" s="20">
        <f>lc_detailed!AI20</f>
        <v/>
      </c>
      <c r="E19" s="20">
        <f>lc_detailed!AJ20</f>
        <v/>
      </c>
      <c r="F19" s="20">
        <f>lc_detailed!AK20</f>
        <v/>
      </c>
      <c r="G19" s="20">
        <f>lc_detailed!AL20</f>
        <v/>
      </c>
      <c r="H19" s="20">
        <f>lc_detailed!AM20</f>
        <v/>
      </c>
      <c r="I19" s="20">
        <f>lc_detailed!AN20</f>
        <v/>
      </c>
      <c r="J19" s="20">
        <f>lc_detailed!AO20</f>
        <v/>
      </c>
      <c r="K19" s="20">
        <f>lc_detailed!AQ20</f>
        <v/>
      </c>
      <c r="L19" s="20">
        <f>lc_detailed!AR20</f>
        <v/>
      </c>
      <c r="M19" s="20">
        <f>lc_detailed!AD20</f>
        <v/>
      </c>
      <c r="O19" t="inlineStr">
        <is>
          <t>NCEN_TSC+H2in:CH4</t>
        </is>
      </c>
      <c r="P19" t="n">
        <v>34.19350964323131</v>
      </c>
      <c r="Q19" t="n">
        <v>0</v>
      </c>
      <c r="R19" t="n">
        <v>0</v>
      </c>
      <c r="S19" t="n">
        <v>414.0408242031392</v>
      </c>
      <c r="T19" t="n">
        <v>0</v>
      </c>
      <c r="U19" t="n">
        <v>-33.26978079120351</v>
      </c>
      <c r="V19" t="n">
        <v>236.7683066840029</v>
      </c>
      <c r="W19" t="n">
        <v>129.5862975452785</v>
      </c>
      <c r="X19" t="n">
        <v>31.5649692971309</v>
      </c>
      <c r="Y19" t="n">
        <v>0</v>
      </c>
      <c r="Z19" t="n">
        <v>76.520652297477</v>
      </c>
      <c r="AA19" t="n">
        <v>889.4047788790564</v>
      </c>
    </row>
    <row r="20">
      <c r="A20">
        <f>lc_detailed!AB21</f>
        <v/>
      </c>
      <c r="B20" s="20">
        <f>lc_detailed!AG21</f>
        <v/>
      </c>
      <c r="C20" s="20">
        <f>lc_detailed!AH21</f>
        <v/>
      </c>
      <c r="D20" s="20">
        <f>lc_detailed!AI21</f>
        <v/>
      </c>
      <c r="E20" s="20">
        <f>lc_detailed!AJ21</f>
        <v/>
      </c>
      <c r="F20" s="20">
        <f>lc_detailed!AK21</f>
        <v/>
      </c>
      <c r="G20" s="20">
        <f>lc_detailed!AL21</f>
        <v/>
      </c>
      <c r="H20" s="20">
        <f>lc_detailed!AM21</f>
        <v/>
      </c>
      <c r="I20" s="20">
        <f>lc_detailed!AN21</f>
        <v/>
      </c>
      <c r="J20" s="20">
        <f>lc_detailed!AO21</f>
        <v/>
      </c>
      <c r="K20" s="20">
        <f>lc_detailed!AQ21</f>
        <v/>
      </c>
      <c r="L20" s="20">
        <f>lc_detailed!AR21</f>
        <v/>
      </c>
      <c r="M20" s="20">
        <f>lc_detailed!AD21</f>
        <v/>
      </c>
      <c r="O20" t="inlineStr">
        <is>
          <t>CEN_TSC+H2in:CH4</t>
        </is>
      </c>
      <c r="P20" t="n">
        <v>34.42299917174305</v>
      </c>
      <c r="Q20" t="n">
        <v>0</v>
      </c>
      <c r="R20" t="n">
        <v>0</v>
      </c>
      <c r="S20" t="n">
        <v>414.0408242031392</v>
      </c>
      <c r="T20" t="n">
        <v>0</v>
      </c>
      <c r="U20" t="n">
        <v>-33.47640263283282</v>
      </c>
      <c r="V20" t="n">
        <v>236.7683066840029</v>
      </c>
      <c r="W20" t="n">
        <v>129.5862975452785</v>
      </c>
      <c r="X20" t="n">
        <v>31.5649692971309</v>
      </c>
      <c r="Y20" t="n">
        <v>0</v>
      </c>
      <c r="Z20" t="n">
        <v>76.520652297477</v>
      </c>
      <c r="AA20" t="n">
        <v>889.4276465659387</v>
      </c>
    </row>
    <row r="21">
      <c r="A21">
        <f>lc_detailed!AB22</f>
        <v/>
      </c>
      <c r="B21" s="20">
        <f>lc_detailed!AG22</f>
        <v/>
      </c>
      <c r="C21" s="20">
        <f>lc_detailed!AH22</f>
        <v/>
      </c>
      <c r="D21" s="20">
        <f>lc_detailed!AI22</f>
        <v/>
      </c>
      <c r="E21" s="20">
        <f>lc_detailed!AJ22</f>
        <v/>
      </c>
      <c r="F21" s="20">
        <f>lc_detailed!AK22</f>
        <v/>
      </c>
      <c r="G21" s="20">
        <f>lc_detailed!AL22</f>
        <v/>
      </c>
      <c r="H21" s="20">
        <f>lc_detailed!AM22</f>
        <v/>
      </c>
      <c r="I21" s="20">
        <f>lc_detailed!AN22</f>
        <v/>
      </c>
      <c r="J21" s="20">
        <f>lc_detailed!AO22</f>
        <v/>
      </c>
      <c r="K21" s="20">
        <f>lc_detailed!AQ22</f>
        <v/>
      </c>
      <c r="L21" s="20">
        <f>lc_detailed!AR22</f>
        <v/>
      </c>
      <c r="M21" s="20">
        <f>lc_detailed!AD22</f>
        <v/>
      </c>
      <c r="O21" t="inlineStr">
        <is>
          <t>SE_TSC+H2in:CH4</t>
        </is>
      </c>
      <c r="P21" t="n">
        <v>18.83077243415041</v>
      </c>
      <c r="Q21" t="n">
        <v>0</v>
      </c>
      <c r="R21" t="n">
        <v>0</v>
      </c>
      <c r="S21" t="n">
        <v>414.0408242031392</v>
      </c>
      <c r="T21" t="n">
        <v>0</v>
      </c>
      <c r="U21" t="n">
        <v>-17.71758208226739</v>
      </c>
      <c r="V21" t="n">
        <v>236.7683066840029</v>
      </c>
      <c r="W21" t="n">
        <v>129.5862975452785</v>
      </c>
      <c r="X21" t="n">
        <v>31.5649692971309</v>
      </c>
      <c r="Y21" t="n">
        <v>0</v>
      </c>
      <c r="Z21" t="n">
        <v>76.520652297477</v>
      </c>
      <c r="AA21" t="n">
        <v>889.5942403789114</v>
      </c>
    </row>
    <row r="22">
      <c r="A22">
        <f>lc_detailed!AB23</f>
        <v/>
      </c>
      <c r="B22" s="20">
        <f>lc_detailed!AG23</f>
        <v/>
      </c>
      <c r="C22" s="20">
        <f>lc_detailed!AH23</f>
        <v/>
      </c>
      <c r="D22" s="20">
        <f>lc_detailed!AI23</f>
        <v/>
      </c>
      <c r="E22" s="20">
        <f>lc_detailed!AJ23</f>
        <v/>
      </c>
      <c r="F22" s="20">
        <f>lc_detailed!AK23</f>
        <v/>
      </c>
      <c r="G22" s="20">
        <f>lc_detailed!AL23</f>
        <v/>
      </c>
      <c r="H22" s="20">
        <f>lc_detailed!AM23</f>
        <v/>
      </c>
      <c r="I22" s="20">
        <f>lc_detailed!AN23</f>
        <v/>
      </c>
      <c r="J22" s="20">
        <f>lc_detailed!AO23</f>
        <v/>
      </c>
      <c r="K22" s="20">
        <f>lc_detailed!AQ23</f>
        <v/>
      </c>
      <c r="L22" s="20">
        <f>lc_detailed!AR23</f>
        <v/>
      </c>
      <c r="M22" s="20">
        <f>lc_detailed!AD23</f>
        <v/>
      </c>
      <c r="O22" t="inlineStr">
        <is>
          <t>SE_TSC+H2in</t>
        </is>
      </c>
      <c r="P22" t="n">
        <v>3.047491424191024</v>
      </c>
      <c r="Q22" t="n">
        <v>0</v>
      </c>
      <c r="R22" t="n">
        <v>0</v>
      </c>
      <c r="S22" t="n">
        <v>414.0408242031392</v>
      </c>
      <c r="T22" t="n">
        <v>0</v>
      </c>
      <c r="U22" t="n">
        <v>0</v>
      </c>
      <c r="V22" t="n">
        <v>236.7683066840029</v>
      </c>
      <c r="W22" t="n">
        <v>129.5862975452785</v>
      </c>
      <c r="X22" t="n">
        <v>31.5649692971309</v>
      </c>
      <c r="Y22" t="n">
        <v>0</v>
      </c>
      <c r="Z22" t="n">
        <v>76.21844515723221</v>
      </c>
      <c r="AA22" t="n">
        <v>891.2263343109746</v>
      </c>
    </row>
    <row r="23">
      <c r="A23">
        <f>lc_detailed!AB24</f>
        <v/>
      </c>
      <c r="B23" s="20">
        <f>lc_detailed!AG24</f>
        <v/>
      </c>
      <c r="C23" s="20">
        <f>lc_detailed!AH24</f>
        <v/>
      </c>
      <c r="D23" s="20">
        <f>lc_detailed!AI24</f>
        <v/>
      </c>
      <c r="E23" s="20">
        <f>lc_detailed!AJ24</f>
        <v/>
      </c>
      <c r="F23" s="20">
        <f>lc_detailed!AK24</f>
        <v/>
      </c>
      <c r="G23" s="20">
        <f>lc_detailed!AL24</f>
        <v/>
      </c>
      <c r="H23" s="20">
        <f>lc_detailed!AM24</f>
        <v/>
      </c>
      <c r="I23" s="20">
        <f>lc_detailed!AN24</f>
        <v/>
      </c>
      <c r="J23" s="20">
        <f>lc_detailed!AO24</f>
        <v/>
      </c>
      <c r="K23" s="20">
        <f>lc_detailed!AQ24</f>
        <v/>
      </c>
      <c r="L23" s="20">
        <f>lc_detailed!AR24</f>
        <v/>
      </c>
      <c r="M23" s="20">
        <f>lc_detailed!AD24</f>
        <v/>
      </c>
      <c r="O23" t="inlineStr">
        <is>
          <t>MIDAT_TSC+H2in</t>
        </is>
      </c>
      <c r="P23" t="n">
        <v>3.158466590791928</v>
      </c>
      <c r="Q23" t="n">
        <v>0</v>
      </c>
      <c r="R23" t="n">
        <v>0</v>
      </c>
      <c r="S23" t="n">
        <v>414.0408242031392</v>
      </c>
      <c r="T23" t="n">
        <v>0</v>
      </c>
      <c r="U23" t="n">
        <v>0</v>
      </c>
      <c r="V23" t="n">
        <v>236.7683066840029</v>
      </c>
      <c r="W23" t="n">
        <v>129.5862975452785</v>
      </c>
      <c r="X23" t="n">
        <v>31.5649692971309</v>
      </c>
      <c r="Y23" t="n">
        <v>0</v>
      </c>
      <c r="Z23" t="n">
        <v>76.21844515723221</v>
      </c>
      <c r="AA23" t="n">
        <v>891.3373094775757</v>
      </c>
    </row>
    <row r="24">
      <c r="A24">
        <f>lc_detailed!AB25</f>
        <v/>
      </c>
      <c r="B24" s="20">
        <f>lc_detailed!AG25</f>
        <v/>
      </c>
      <c r="C24" s="20">
        <f>lc_detailed!AH25</f>
        <v/>
      </c>
      <c r="D24" s="20">
        <f>lc_detailed!AI25</f>
        <v/>
      </c>
      <c r="E24" s="20">
        <f>lc_detailed!AJ25</f>
        <v/>
      </c>
      <c r="F24" s="20">
        <f>lc_detailed!AK25</f>
        <v/>
      </c>
      <c r="G24" s="20">
        <f>lc_detailed!AL25</f>
        <v/>
      </c>
      <c r="H24" s="20">
        <f>lc_detailed!AM25</f>
        <v/>
      </c>
      <c r="I24" s="20">
        <f>lc_detailed!AN25</f>
        <v/>
      </c>
      <c r="J24" s="20">
        <f>lc_detailed!AO25</f>
        <v/>
      </c>
      <c r="K24" s="20">
        <f>lc_detailed!AQ25</f>
        <v/>
      </c>
      <c r="L24" s="20">
        <f>lc_detailed!AR25</f>
        <v/>
      </c>
      <c r="M24" s="20">
        <f>lc_detailed!AD25</f>
        <v/>
      </c>
      <c r="O24" t="inlineStr">
        <is>
          <t>TX_TSC+H2in</t>
        </is>
      </c>
      <c r="P24" t="n">
        <v>3.165122383624399</v>
      </c>
      <c r="Q24" t="n">
        <v>0</v>
      </c>
      <c r="R24" t="n">
        <v>0</v>
      </c>
      <c r="S24" t="n">
        <v>414.0408242031392</v>
      </c>
      <c r="T24" t="n">
        <v>0</v>
      </c>
      <c r="U24" t="n">
        <v>0</v>
      </c>
      <c r="V24" t="n">
        <v>236.7683066840029</v>
      </c>
      <c r="W24" t="n">
        <v>129.5862975452785</v>
      </c>
      <c r="X24" t="n">
        <v>31.5649692971309</v>
      </c>
      <c r="Y24" t="n">
        <v>0</v>
      </c>
      <c r="Z24" t="n">
        <v>76.21844515723221</v>
      </c>
      <c r="AA24" t="n">
        <v>891.343965270408</v>
      </c>
    </row>
    <row r="25">
      <c r="A25">
        <f>lc_detailed!AB26</f>
        <v/>
      </c>
      <c r="B25" s="20">
        <f>lc_detailed!AG26</f>
        <v/>
      </c>
      <c r="C25" s="20">
        <f>lc_detailed!AH26</f>
        <v/>
      </c>
      <c r="D25" s="20">
        <f>lc_detailed!AI26</f>
        <v/>
      </c>
      <c r="E25" s="20">
        <f>lc_detailed!AJ26</f>
        <v/>
      </c>
      <c r="F25" s="20">
        <f>lc_detailed!AK26</f>
        <v/>
      </c>
      <c r="G25" s="20">
        <f>lc_detailed!AL26</f>
        <v/>
      </c>
      <c r="H25" s="20">
        <f>lc_detailed!AM26</f>
        <v/>
      </c>
      <c r="I25" s="20">
        <f>lc_detailed!AN26</f>
        <v/>
      </c>
      <c r="J25" s="20">
        <f>lc_detailed!AO26</f>
        <v/>
      </c>
      <c r="K25" s="20">
        <f>lc_detailed!AQ26</f>
        <v/>
      </c>
      <c r="L25" s="20">
        <f>lc_detailed!AR26</f>
        <v/>
      </c>
      <c r="M25" s="20">
        <f>lc_detailed!AD26</f>
        <v/>
      </c>
      <c r="O25" t="inlineStr">
        <is>
          <t>SW_TSC+H2in</t>
        </is>
      </c>
      <c r="P25" t="n">
        <v>3.792316699475929</v>
      </c>
      <c r="Q25" t="n">
        <v>0</v>
      </c>
      <c r="R25" t="n">
        <v>0</v>
      </c>
      <c r="S25" t="n">
        <v>414.0408242031392</v>
      </c>
      <c r="T25" t="n">
        <v>0</v>
      </c>
      <c r="U25" t="n">
        <v>0</v>
      </c>
      <c r="V25" t="n">
        <v>236.7683066840029</v>
      </c>
      <c r="W25" t="n">
        <v>129.5862975452785</v>
      </c>
      <c r="X25" t="n">
        <v>31.5649692971309</v>
      </c>
      <c r="Y25" t="n">
        <v>0</v>
      </c>
      <c r="Z25" t="n">
        <v>76.21844515723221</v>
      </c>
      <c r="AA25" t="n">
        <v>891.9711595862595</v>
      </c>
    </row>
    <row r="26">
      <c r="A26">
        <f>lc_detailed!AB27</f>
        <v/>
      </c>
      <c r="B26" s="20">
        <f>lc_detailed!AG27</f>
        <v/>
      </c>
      <c r="C26" s="20">
        <f>lc_detailed!AH27</f>
        <v/>
      </c>
      <c r="D26" s="20">
        <f>lc_detailed!AI27</f>
        <v/>
      </c>
      <c r="E26" s="20">
        <f>lc_detailed!AJ27</f>
        <v/>
      </c>
      <c r="F26" s="20">
        <f>lc_detailed!AK27</f>
        <v/>
      </c>
      <c r="G26" s="20">
        <f>lc_detailed!AL27</f>
        <v/>
      </c>
      <c r="H26" s="20">
        <f>lc_detailed!AM27</f>
        <v/>
      </c>
      <c r="I26" s="20">
        <f>lc_detailed!AN27</f>
        <v/>
      </c>
      <c r="J26" s="20">
        <f>lc_detailed!AO27</f>
        <v/>
      </c>
      <c r="K26" s="20">
        <f>lc_detailed!AQ27</f>
        <v/>
      </c>
      <c r="L26" s="20">
        <f>lc_detailed!AR27</f>
        <v/>
      </c>
      <c r="M26" s="20">
        <f>lc_detailed!AD27</f>
        <v/>
      </c>
      <c r="O26" t="inlineStr">
        <is>
          <t>NE_TSC+H2in</t>
        </is>
      </c>
      <c r="P26" t="n">
        <v>3.856015735623246</v>
      </c>
      <c r="Q26" t="n">
        <v>0</v>
      </c>
      <c r="R26" t="n">
        <v>0</v>
      </c>
      <c r="S26" t="n">
        <v>414.0408242031392</v>
      </c>
      <c r="T26" t="n">
        <v>0</v>
      </c>
      <c r="U26" t="n">
        <v>0</v>
      </c>
      <c r="V26" t="n">
        <v>236.7683066840029</v>
      </c>
      <c r="W26" t="n">
        <v>129.5862975452785</v>
      </c>
      <c r="X26" t="n">
        <v>31.5649692971309</v>
      </c>
      <c r="Y26" t="n">
        <v>0</v>
      </c>
      <c r="Z26" t="n">
        <v>76.21844515723221</v>
      </c>
      <c r="AA26" t="n">
        <v>892.034858622407</v>
      </c>
    </row>
    <row r="27">
      <c r="A27">
        <f>lc_detailed!AB28</f>
        <v/>
      </c>
      <c r="B27" s="20">
        <f>lc_detailed!AG28</f>
        <v/>
      </c>
      <c r="C27" s="20">
        <f>lc_detailed!AH28</f>
        <v/>
      </c>
      <c r="D27" s="20">
        <f>lc_detailed!AI28</f>
        <v/>
      </c>
      <c r="E27" s="20">
        <f>lc_detailed!AJ28</f>
        <v/>
      </c>
      <c r="F27" s="20">
        <f>lc_detailed!AK28</f>
        <v/>
      </c>
      <c r="G27" s="20">
        <f>lc_detailed!AL28</f>
        <v/>
      </c>
      <c r="H27" s="20">
        <f>lc_detailed!AM28</f>
        <v/>
      </c>
      <c r="I27" s="20">
        <f>lc_detailed!AN28</f>
        <v/>
      </c>
      <c r="J27" s="20">
        <f>lc_detailed!AO28</f>
        <v/>
      </c>
      <c r="K27" s="20">
        <f>lc_detailed!AQ28</f>
        <v/>
      </c>
      <c r="L27" s="20">
        <f>lc_detailed!AR28</f>
        <v/>
      </c>
      <c r="M27" s="20">
        <f>lc_detailed!AD28</f>
        <v/>
      </c>
      <c r="O27" t="inlineStr">
        <is>
          <t>NE_TSC+H2in:CH4</t>
        </is>
      </c>
      <c r="P27" t="n">
        <v>23.82672982887875</v>
      </c>
      <c r="Q27" t="n">
        <v>0</v>
      </c>
      <c r="R27" t="n">
        <v>0</v>
      </c>
      <c r="S27" t="n">
        <v>414.0408242031392</v>
      </c>
      <c r="T27" t="n">
        <v>0</v>
      </c>
      <c r="U27" t="n">
        <v>-19.93545355724199</v>
      </c>
      <c r="V27" t="n">
        <v>236.7683066840029</v>
      </c>
      <c r="W27" t="n">
        <v>129.5862975452785</v>
      </c>
      <c r="X27" t="n">
        <v>31.5649692971309</v>
      </c>
      <c r="Y27" t="n">
        <v>0</v>
      </c>
      <c r="Z27" t="n">
        <v>76.520652297477</v>
      </c>
      <c r="AA27" t="n">
        <v>892.3723262986651</v>
      </c>
    </row>
    <row r="28">
      <c r="A28">
        <f>lc_detailed!AB29</f>
        <v/>
      </c>
      <c r="B28" s="20">
        <f>lc_detailed!AG29</f>
        <v/>
      </c>
      <c r="C28" s="20">
        <f>lc_detailed!AH29</f>
        <v/>
      </c>
      <c r="D28" s="20">
        <f>lc_detailed!AI29</f>
        <v/>
      </c>
      <c r="E28" s="20">
        <f>lc_detailed!AJ29</f>
        <v/>
      </c>
      <c r="F28" s="20">
        <f>lc_detailed!AK29</f>
        <v/>
      </c>
      <c r="G28" s="20">
        <f>lc_detailed!AL29</f>
        <v/>
      </c>
      <c r="H28" s="20">
        <f>lc_detailed!AM29</f>
        <v/>
      </c>
      <c r="I28" s="20">
        <f>lc_detailed!AN29</f>
        <v/>
      </c>
      <c r="J28" s="20">
        <f>lc_detailed!AO29</f>
        <v/>
      </c>
      <c r="K28" s="20">
        <f>lc_detailed!AQ29</f>
        <v/>
      </c>
      <c r="L28" s="20">
        <f>lc_detailed!AR29</f>
        <v/>
      </c>
      <c r="M28" s="20">
        <f>lc_detailed!AD29</f>
        <v/>
      </c>
      <c r="O28" t="inlineStr">
        <is>
          <t>NCEN_TSC+H2in</t>
        </is>
      </c>
      <c r="P28" t="n">
        <v>5.533730905895357</v>
      </c>
      <c r="Q28" t="n">
        <v>0</v>
      </c>
      <c r="R28" t="n">
        <v>0</v>
      </c>
      <c r="S28" t="n">
        <v>414.0408242031392</v>
      </c>
      <c r="T28" t="n">
        <v>0</v>
      </c>
      <c r="U28" t="n">
        <v>0</v>
      </c>
      <c r="V28" t="n">
        <v>236.7683066840029</v>
      </c>
      <c r="W28" t="n">
        <v>129.5862975452785</v>
      </c>
      <c r="X28" t="n">
        <v>31.5649692971309</v>
      </c>
      <c r="Y28" t="n">
        <v>0</v>
      </c>
      <c r="Z28" t="n">
        <v>76.21844515723221</v>
      </c>
      <c r="AA28" t="n">
        <v>893.712573792679</v>
      </c>
    </row>
    <row r="29">
      <c r="A29">
        <f>lc_detailed!AB30</f>
        <v/>
      </c>
      <c r="B29" s="20">
        <f>lc_detailed!AG30</f>
        <v/>
      </c>
      <c r="C29" s="20">
        <f>lc_detailed!AH30</f>
        <v/>
      </c>
      <c r="D29" s="20">
        <f>lc_detailed!AI30</f>
        <v/>
      </c>
      <c r="E29" s="20">
        <f>lc_detailed!AJ30</f>
        <v/>
      </c>
      <c r="F29" s="20">
        <f>lc_detailed!AK30</f>
        <v/>
      </c>
      <c r="G29" s="20">
        <f>lc_detailed!AL30</f>
        <v/>
      </c>
      <c r="H29" s="20">
        <f>lc_detailed!AM30</f>
        <v/>
      </c>
      <c r="I29" s="20">
        <f>lc_detailed!AN30</f>
        <v/>
      </c>
      <c r="J29" s="20">
        <f>lc_detailed!AO30</f>
        <v/>
      </c>
      <c r="K29" s="20">
        <f>lc_detailed!AQ30</f>
        <v/>
      </c>
      <c r="L29" s="20">
        <f>lc_detailed!AR30</f>
        <v/>
      </c>
      <c r="M29" s="20">
        <f>lc_detailed!AD30</f>
        <v/>
      </c>
      <c r="O29" t="inlineStr">
        <is>
          <t>CEN_TSC+H2in</t>
        </is>
      </c>
      <c r="P29" t="n">
        <v>5.570870506648689</v>
      </c>
      <c r="Q29" t="n">
        <v>0</v>
      </c>
      <c r="R29" t="n">
        <v>0</v>
      </c>
      <c r="S29" t="n">
        <v>414.0408242031392</v>
      </c>
      <c r="T29" t="n">
        <v>0</v>
      </c>
      <c r="U29" t="n">
        <v>0</v>
      </c>
      <c r="V29" t="n">
        <v>236.7683066840029</v>
      </c>
      <c r="W29" t="n">
        <v>129.5862975452785</v>
      </c>
      <c r="X29" t="n">
        <v>31.5649692971309</v>
      </c>
      <c r="Y29" t="n">
        <v>0</v>
      </c>
      <c r="Z29" t="n">
        <v>76.21844515723221</v>
      </c>
      <c r="AA29" t="n">
        <v>893.7497133934323</v>
      </c>
    </row>
    <row r="30">
      <c r="A30">
        <f>lc_detailed!AB31</f>
        <v/>
      </c>
      <c r="B30" s="20">
        <f>lc_detailed!AG31</f>
        <v/>
      </c>
      <c r="C30" s="20">
        <f>lc_detailed!AH31</f>
        <v/>
      </c>
      <c r="D30" s="20">
        <f>lc_detailed!AI31</f>
        <v/>
      </c>
      <c r="E30" s="20">
        <f>lc_detailed!AJ31</f>
        <v/>
      </c>
      <c r="F30" s="20">
        <f>lc_detailed!AK31</f>
        <v/>
      </c>
      <c r="G30" s="20">
        <f>lc_detailed!AL31</f>
        <v/>
      </c>
      <c r="H30" s="20">
        <f>lc_detailed!AM31</f>
        <v/>
      </c>
      <c r="I30" s="20">
        <f>lc_detailed!AN31</f>
        <v/>
      </c>
      <c r="J30" s="20">
        <f>lc_detailed!AO31</f>
        <v/>
      </c>
      <c r="K30" s="20">
        <f>lc_detailed!AQ31</f>
        <v/>
      </c>
      <c r="L30" s="20">
        <f>lc_detailed!AR31</f>
        <v/>
      </c>
      <c r="M30" s="20">
        <f>lc_detailed!AD31</f>
        <v/>
      </c>
      <c r="O30" t="inlineStr">
        <is>
          <t>MIDAT_TSC+H2in:CH4</t>
        </is>
      </c>
      <c r="P30" t="n">
        <v>19.51649974793877</v>
      </c>
      <c r="Q30" t="n">
        <v>0</v>
      </c>
      <c r="R30" t="n">
        <v>0</v>
      </c>
      <c r="S30" t="n">
        <v>414.0408242031392</v>
      </c>
      <c r="T30" t="n">
        <v>0</v>
      </c>
      <c r="U30" t="n">
        <v>-12.03113078966734</v>
      </c>
      <c r="V30" t="n">
        <v>236.7683066840029</v>
      </c>
      <c r="W30" t="n">
        <v>129.5862975452785</v>
      </c>
      <c r="X30" t="n">
        <v>31.5649692971309</v>
      </c>
      <c r="Y30" t="n">
        <v>0</v>
      </c>
      <c r="Z30" t="n">
        <v>76.520652297477</v>
      </c>
      <c r="AA30" t="n">
        <v>895.9664189853</v>
      </c>
    </row>
    <row r="31">
      <c r="A31">
        <f>lc_detailed!AB32</f>
        <v/>
      </c>
      <c r="B31" s="20">
        <f>lc_detailed!AG32</f>
        <v/>
      </c>
      <c r="C31" s="20">
        <f>lc_detailed!AH32</f>
        <v/>
      </c>
      <c r="D31" s="20">
        <f>lc_detailed!AI32</f>
        <v/>
      </c>
      <c r="E31" s="20">
        <f>lc_detailed!AJ32</f>
        <v/>
      </c>
      <c r="F31" s="20">
        <f>lc_detailed!AK32</f>
        <v/>
      </c>
      <c r="G31" s="20">
        <f>lc_detailed!AL32</f>
        <v/>
      </c>
      <c r="H31" s="20">
        <f>lc_detailed!AM32</f>
        <v/>
      </c>
      <c r="I31" s="20">
        <f>lc_detailed!AN32</f>
        <v/>
      </c>
      <c r="J31" s="20">
        <f>lc_detailed!AO32</f>
        <v/>
      </c>
      <c r="K31" s="20">
        <f>lc_detailed!AQ32</f>
        <v/>
      </c>
      <c r="L31" s="20">
        <f>lc_detailed!AR32</f>
        <v/>
      </c>
      <c r="M31" s="20">
        <f>lc_detailed!AD32</f>
        <v/>
      </c>
      <c r="O31" t="inlineStr">
        <is>
          <t>MIDAT_TSC</t>
        </is>
      </c>
      <c r="P31" t="n">
        <v>0</v>
      </c>
      <c r="Q31" t="n">
        <v>0</v>
      </c>
      <c r="R31" t="n">
        <v>0</v>
      </c>
      <c r="S31" t="n">
        <v>414.0408242031392</v>
      </c>
      <c r="T31" t="n">
        <v>2.311844719634855</v>
      </c>
      <c r="U31" t="n">
        <v>0</v>
      </c>
      <c r="V31" t="n">
        <v>236.7683066840029</v>
      </c>
      <c r="W31" t="n">
        <v>129.5862975452785</v>
      </c>
      <c r="X31" t="n">
        <v>31.5649692971309</v>
      </c>
      <c r="Y31" t="n">
        <v>0</v>
      </c>
      <c r="Z31" t="n">
        <v>81.92430579854062</v>
      </c>
      <c r="AA31" t="n">
        <v>896.1965482477269</v>
      </c>
    </row>
    <row r="32">
      <c r="A32">
        <f>lc_detailed!AB33</f>
        <v/>
      </c>
      <c r="B32" s="20">
        <f>lc_detailed!AG33</f>
        <v/>
      </c>
      <c r="C32" s="20">
        <f>lc_detailed!AH33</f>
        <v/>
      </c>
      <c r="D32" s="20">
        <f>lc_detailed!AI33</f>
        <v/>
      </c>
      <c r="E32" s="20">
        <f>lc_detailed!AJ33</f>
        <v/>
      </c>
      <c r="F32" s="20">
        <f>lc_detailed!AK33</f>
        <v/>
      </c>
      <c r="G32" s="20">
        <f>lc_detailed!AL33</f>
        <v/>
      </c>
      <c r="H32" s="20">
        <f>lc_detailed!AM33</f>
        <v/>
      </c>
      <c r="I32" s="20">
        <f>lc_detailed!AN33</f>
        <v/>
      </c>
      <c r="J32" s="20">
        <f>lc_detailed!AO33</f>
        <v/>
      </c>
      <c r="K32" s="20">
        <f>lc_detailed!AQ33</f>
        <v/>
      </c>
      <c r="L32" s="20">
        <f>lc_detailed!AR33</f>
        <v/>
      </c>
      <c r="M32" s="20">
        <f>lc_detailed!AD33</f>
        <v/>
      </c>
      <c r="O32" t="inlineStr">
        <is>
          <t>SE_TSC</t>
        </is>
      </c>
      <c r="P32" t="n">
        <v>0</v>
      </c>
      <c r="Q32" t="n">
        <v>0</v>
      </c>
      <c r="R32" t="n">
        <v>0</v>
      </c>
      <c r="S32" t="n">
        <v>414.0408242031392</v>
      </c>
      <c r="T32" t="n">
        <v>3.404526083014973</v>
      </c>
      <c r="U32" t="n">
        <v>0</v>
      </c>
      <c r="V32" t="n">
        <v>236.7683066840029</v>
      </c>
      <c r="W32" t="n">
        <v>129.5862975452785</v>
      </c>
      <c r="X32" t="n">
        <v>31.5649692971309</v>
      </c>
      <c r="Y32" t="n">
        <v>0</v>
      </c>
      <c r="Z32" t="n">
        <v>81.92430579854062</v>
      </c>
      <c r="AA32" t="n">
        <v>897.289229611107</v>
      </c>
    </row>
    <row r="33">
      <c r="A33">
        <f>lc_detailed!AB34</f>
        <v/>
      </c>
      <c r="B33" s="20">
        <f>lc_detailed!AG34</f>
        <v/>
      </c>
      <c r="C33" s="20">
        <f>lc_detailed!AH34</f>
        <v/>
      </c>
      <c r="D33" s="20">
        <f>lc_detailed!AI34</f>
        <v/>
      </c>
      <c r="E33" s="20">
        <f>lc_detailed!AJ34</f>
        <v/>
      </c>
      <c r="F33" s="20">
        <f>lc_detailed!AK34</f>
        <v/>
      </c>
      <c r="G33" s="20">
        <f>lc_detailed!AL34</f>
        <v/>
      </c>
      <c r="H33" s="20">
        <f>lc_detailed!AM34</f>
        <v/>
      </c>
      <c r="I33" s="20">
        <f>lc_detailed!AN34</f>
        <v/>
      </c>
      <c r="J33" s="20">
        <f>lc_detailed!AO34</f>
        <v/>
      </c>
      <c r="K33" s="20">
        <f>lc_detailed!AQ34</f>
        <v/>
      </c>
      <c r="L33" s="20">
        <f>lc_detailed!AR34</f>
        <v/>
      </c>
      <c r="M33" s="20">
        <f>lc_detailed!AD34</f>
        <v/>
      </c>
      <c r="O33" t="inlineStr">
        <is>
          <t>TX_TSC</t>
        </is>
      </c>
      <c r="P33" t="n">
        <v>0</v>
      </c>
      <c r="Q33" t="n">
        <v>0</v>
      </c>
      <c r="R33" t="n">
        <v>0</v>
      </c>
      <c r="S33" t="n">
        <v>414.0408242031392</v>
      </c>
      <c r="T33" t="n">
        <v>3.677338596308639</v>
      </c>
      <c r="U33" t="n">
        <v>0</v>
      </c>
      <c r="V33" t="n">
        <v>236.7683066840029</v>
      </c>
      <c r="W33" t="n">
        <v>129.5862975452785</v>
      </c>
      <c r="X33" t="n">
        <v>31.5649692971309</v>
      </c>
      <c r="Y33" t="n">
        <v>0</v>
      </c>
      <c r="Z33" t="n">
        <v>81.92430579854062</v>
      </c>
      <c r="AA33" t="n">
        <v>897.5620421244007</v>
      </c>
    </row>
    <row r="34">
      <c r="A34">
        <f>lc_detailed!AB35</f>
        <v/>
      </c>
      <c r="B34" s="20">
        <f>lc_detailed!AG35</f>
        <v/>
      </c>
      <c r="C34" s="20">
        <f>lc_detailed!AH35</f>
        <v/>
      </c>
      <c r="D34" s="20">
        <f>lc_detailed!AI35</f>
        <v/>
      </c>
      <c r="E34" s="20">
        <f>lc_detailed!AJ35</f>
        <v/>
      </c>
      <c r="F34" s="20">
        <f>lc_detailed!AK35</f>
        <v/>
      </c>
      <c r="G34" s="20">
        <f>lc_detailed!AL35</f>
        <v/>
      </c>
      <c r="H34" s="20">
        <f>lc_detailed!AM35</f>
        <v/>
      </c>
      <c r="I34" s="20">
        <f>lc_detailed!AN35</f>
        <v/>
      </c>
      <c r="J34" s="20">
        <f>lc_detailed!AO35</f>
        <v/>
      </c>
      <c r="K34" s="20">
        <f>lc_detailed!AQ35</f>
        <v/>
      </c>
      <c r="L34" s="20">
        <f>lc_detailed!AR35</f>
        <v/>
      </c>
      <c r="M34" s="20">
        <f>lc_detailed!AD35</f>
        <v/>
      </c>
      <c r="O34" t="inlineStr">
        <is>
          <t>NE_TSC</t>
        </is>
      </c>
      <c r="P34" t="n">
        <v>0</v>
      </c>
      <c r="Q34" t="n">
        <v>0</v>
      </c>
      <c r="R34" t="n">
        <v>0</v>
      </c>
      <c r="S34" t="n">
        <v>414.0408242031392</v>
      </c>
      <c r="T34" t="n">
        <v>3.830701689272393</v>
      </c>
      <c r="U34" t="n">
        <v>0</v>
      </c>
      <c r="V34" t="n">
        <v>236.7683066840029</v>
      </c>
      <c r="W34" t="n">
        <v>129.5862975452785</v>
      </c>
      <c r="X34" t="n">
        <v>31.5649692971309</v>
      </c>
      <c r="Y34" t="n">
        <v>0</v>
      </c>
      <c r="Z34" t="n">
        <v>81.92430579854062</v>
      </c>
      <c r="AA34" t="n">
        <v>897.7154052173644</v>
      </c>
    </row>
    <row r="35">
      <c r="A35">
        <f>lc_detailed!AB36</f>
        <v/>
      </c>
      <c r="B35" s="20">
        <f>lc_detailed!AG36</f>
        <v/>
      </c>
      <c r="C35" s="20">
        <f>lc_detailed!AH36</f>
        <v/>
      </c>
      <c r="D35" s="20">
        <f>lc_detailed!AI36</f>
        <v/>
      </c>
      <c r="E35" s="20">
        <f>lc_detailed!AJ36</f>
        <v/>
      </c>
      <c r="F35" s="20">
        <f>lc_detailed!AK36</f>
        <v/>
      </c>
      <c r="G35" s="20">
        <f>lc_detailed!AL36</f>
        <v/>
      </c>
      <c r="H35" s="20">
        <f>lc_detailed!AM36</f>
        <v/>
      </c>
      <c r="I35" s="20">
        <f>lc_detailed!AN36</f>
        <v/>
      </c>
      <c r="J35" s="20">
        <f>lc_detailed!AO36</f>
        <v/>
      </c>
      <c r="K35" s="20">
        <f>lc_detailed!AQ36</f>
        <v/>
      </c>
      <c r="L35" s="20">
        <f>lc_detailed!AR36</f>
        <v/>
      </c>
      <c r="M35" s="20">
        <f>lc_detailed!AD36</f>
        <v/>
      </c>
      <c r="O35" t="inlineStr">
        <is>
          <t>SW_TSC</t>
        </is>
      </c>
      <c r="P35" t="n">
        <v>0</v>
      </c>
      <c r="Q35" t="n">
        <v>0</v>
      </c>
      <c r="R35" t="n">
        <v>0</v>
      </c>
      <c r="S35" t="n">
        <v>414.0408242031392</v>
      </c>
      <c r="T35" t="n">
        <v>4.41239675906594</v>
      </c>
      <c r="U35" t="n">
        <v>0</v>
      </c>
      <c r="V35" t="n">
        <v>236.7683066840029</v>
      </c>
      <c r="W35" t="n">
        <v>129.5862975452785</v>
      </c>
      <c r="X35" t="n">
        <v>31.5649692971309</v>
      </c>
      <c r="Y35" t="n">
        <v>0</v>
      </c>
      <c r="Z35" t="n">
        <v>81.92430579854062</v>
      </c>
      <c r="AA35" t="n">
        <v>898.2971002871579</v>
      </c>
    </row>
    <row r="36">
      <c r="A36">
        <f>lc_detailed!AB37</f>
        <v/>
      </c>
      <c r="B36" s="20">
        <f>lc_detailed!AG37</f>
        <v/>
      </c>
      <c r="C36" s="20">
        <f>lc_detailed!AH37</f>
        <v/>
      </c>
      <c r="D36" s="20">
        <f>lc_detailed!AI37</f>
        <v/>
      </c>
      <c r="E36" s="20">
        <f>lc_detailed!AJ37</f>
        <v/>
      </c>
      <c r="F36" s="20">
        <f>lc_detailed!AK37</f>
        <v/>
      </c>
      <c r="G36" s="20">
        <f>lc_detailed!AL37</f>
        <v/>
      </c>
      <c r="H36" s="20">
        <f>lc_detailed!AM37</f>
        <v/>
      </c>
      <c r="I36" s="20">
        <f>lc_detailed!AN37</f>
        <v/>
      </c>
      <c r="J36" s="20">
        <f>lc_detailed!AO37</f>
        <v/>
      </c>
      <c r="K36" s="20">
        <f>lc_detailed!AQ37</f>
        <v/>
      </c>
      <c r="L36" s="20">
        <f>lc_detailed!AR37</f>
        <v/>
      </c>
      <c r="M36" s="20">
        <f>lc_detailed!AD37</f>
        <v/>
      </c>
      <c r="O36" t="inlineStr">
        <is>
          <t>NCEN_TSC</t>
        </is>
      </c>
      <c r="P36" t="n">
        <v>0</v>
      </c>
      <c r="Q36" t="n">
        <v>0</v>
      </c>
      <c r="R36" t="n">
        <v>0</v>
      </c>
      <c r="S36" t="n">
        <v>414.0408242031392</v>
      </c>
      <c r="T36" t="n">
        <v>6.392962423084062</v>
      </c>
      <c r="U36" t="n">
        <v>0</v>
      </c>
      <c r="V36" t="n">
        <v>236.7683066840029</v>
      </c>
      <c r="W36" t="n">
        <v>129.5862975452785</v>
      </c>
      <c r="X36" t="n">
        <v>31.5649692971309</v>
      </c>
      <c r="Y36" t="n">
        <v>0</v>
      </c>
      <c r="Z36" t="n">
        <v>81.92430579854062</v>
      </c>
      <c r="AA36" t="n">
        <v>900.277665951176</v>
      </c>
    </row>
    <row r="37">
      <c r="A37">
        <f>lc_detailed!AB38</f>
        <v/>
      </c>
      <c r="B37" s="20">
        <f>lc_detailed!AG38</f>
        <v/>
      </c>
      <c r="C37" s="20">
        <f>lc_detailed!AH38</f>
        <v/>
      </c>
      <c r="D37" s="20">
        <f>lc_detailed!AI38</f>
        <v/>
      </c>
      <c r="E37" s="20">
        <f>lc_detailed!AJ38</f>
        <v/>
      </c>
      <c r="F37" s="20">
        <f>lc_detailed!AK38</f>
        <v/>
      </c>
      <c r="G37" s="20">
        <f>lc_detailed!AL38</f>
        <v/>
      </c>
      <c r="H37" s="20">
        <f>lc_detailed!AM38</f>
        <v/>
      </c>
      <c r="I37" s="20">
        <f>lc_detailed!AN38</f>
        <v/>
      </c>
      <c r="J37" s="20">
        <f>lc_detailed!AO38</f>
        <v/>
      </c>
      <c r="K37" s="20">
        <f>lc_detailed!AQ38</f>
        <v/>
      </c>
      <c r="L37" s="20">
        <f>lc_detailed!AR38</f>
        <v/>
      </c>
      <c r="M37" s="20">
        <f>lc_detailed!AD38</f>
        <v/>
      </c>
      <c r="O37" t="inlineStr">
        <is>
          <t>CEN_TSC</t>
        </is>
      </c>
      <c r="P37" t="n">
        <v>0</v>
      </c>
      <c r="Q37" t="n">
        <v>0</v>
      </c>
      <c r="R37" t="n">
        <v>0</v>
      </c>
      <c r="S37" t="n">
        <v>414.0408242031392</v>
      </c>
      <c r="T37" t="n">
        <v>6.432665890853041</v>
      </c>
      <c r="U37" t="n">
        <v>0</v>
      </c>
      <c r="V37" t="n">
        <v>236.7683066840029</v>
      </c>
      <c r="W37" t="n">
        <v>129.5862975452785</v>
      </c>
      <c r="X37" t="n">
        <v>31.5649692971309</v>
      </c>
      <c r="Y37" t="n">
        <v>0</v>
      </c>
      <c r="Z37" t="n">
        <v>81.92430579854062</v>
      </c>
      <c r="AA37" t="n">
        <v>900.3173694189452</v>
      </c>
    </row>
    <row r="38">
      <c r="A38">
        <f>lc_detailed!AB39</f>
        <v/>
      </c>
      <c r="B38" s="20">
        <f>lc_detailed!AG39</f>
        <v/>
      </c>
      <c r="C38" s="20">
        <f>lc_detailed!AH39</f>
        <v/>
      </c>
      <c r="D38" s="20">
        <f>lc_detailed!AI39</f>
        <v/>
      </c>
      <c r="E38" s="20">
        <f>lc_detailed!AJ39</f>
        <v/>
      </c>
      <c r="F38" s="20">
        <f>lc_detailed!AK39</f>
        <v/>
      </c>
      <c r="G38" s="20">
        <f>lc_detailed!AL39</f>
        <v/>
      </c>
      <c r="H38" s="20">
        <f>lc_detailed!AM39</f>
        <v/>
      </c>
      <c r="I38" s="20">
        <f>lc_detailed!AN39</f>
        <v/>
      </c>
      <c r="J38" s="20">
        <f>lc_detailed!AO39</f>
        <v/>
      </c>
      <c r="K38" s="20">
        <f>lc_detailed!AQ39</f>
        <v/>
      </c>
      <c r="L38" s="20">
        <f>lc_detailed!AR39</f>
        <v/>
      </c>
      <c r="M38" s="20">
        <f>lc_detailed!AD39</f>
        <v/>
      </c>
      <c r="O38" t="inlineStr">
        <is>
          <t>MIDAT_TSC:H2</t>
        </is>
      </c>
      <c r="P38" t="n">
        <v>0</v>
      </c>
      <c r="Q38" t="n">
        <v>-22.67496632880128</v>
      </c>
      <c r="R38" t="n">
        <v>0</v>
      </c>
      <c r="S38" t="n">
        <v>414.0408242031392</v>
      </c>
      <c r="T38" t="n">
        <v>13.4252408710628</v>
      </c>
      <c r="U38" t="n">
        <v>0</v>
      </c>
      <c r="V38" t="n">
        <v>236.7683066840029</v>
      </c>
      <c r="W38" t="n">
        <v>129.5862975452785</v>
      </c>
      <c r="X38" t="n">
        <v>31.5649692971309</v>
      </c>
      <c r="Y38" t="n">
        <v>0</v>
      </c>
      <c r="Z38" t="n">
        <v>109.35325927365</v>
      </c>
      <c r="AA38" t="n">
        <v>912.063931545463</v>
      </c>
    </row>
    <row r="39">
      <c r="A39">
        <f>lc_detailed!AB40</f>
        <v/>
      </c>
      <c r="B39" s="20">
        <f>lc_detailed!AG40</f>
        <v/>
      </c>
      <c r="C39" s="20">
        <f>lc_detailed!AH40</f>
        <v/>
      </c>
      <c r="D39" s="20">
        <f>lc_detailed!AI40</f>
        <v/>
      </c>
      <c r="E39" s="20">
        <f>lc_detailed!AJ40</f>
        <v/>
      </c>
      <c r="F39" s="20">
        <f>lc_detailed!AK40</f>
        <v/>
      </c>
      <c r="G39" s="20">
        <f>lc_detailed!AL40</f>
        <v/>
      </c>
      <c r="H39" s="20">
        <f>lc_detailed!AM40</f>
        <v/>
      </c>
      <c r="I39" s="20">
        <f>lc_detailed!AN40</f>
        <v/>
      </c>
      <c r="J39" s="20">
        <f>lc_detailed!AO40</f>
        <v/>
      </c>
      <c r="K39" s="20">
        <f>lc_detailed!AQ40</f>
        <v/>
      </c>
      <c r="L39" s="20">
        <f>lc_detailed!AR40</f>
        <v/>
      </c>
      <c r="M39" s="20">
        <f>lc_detailed!AD40</f>
        <v/>
      </c>
      <c r="O39" t="inlineStr">
        <is>
          <t>NE_TSC:H2</t>
        </is>
      </c>
      <c r="P39" t="n">
        <v>0</v>
      </c>
      <c r="Q39" t="n">
        <v>-27.68274555237967</v>
      </c>
      <c r="R39" t="n">
        <v>0</v>
      </c>
      <c r="S39" t="n">
        <v>414.0408242031392</v>
      </c>
      <c r="T39" t="n">
        <v>22.24547887965064</v>
      </c>
      <c r="U39" t="n">
        <v>0</v>
      </c>
      <c r="V39" t="n">
        <v>236.7683066840029</v>
      </c>
      <c r="W39" t="n">
        <v>129.5862975452785</v>
      </c>
      <c r="X39" t="n">
        <v>31.5649692971309</v>
      </c>
      <c r="Y39" t="n">
        <v>0</v>
      </c>
      <c r="Z39" t="n">
        <v>109.35325927365</v>
      </c>
      <c r="AA39" t="n">
        <v>915.8763903304725</v>
      </c>
    </row>
    <row r="40">
      <c r="A40">
        <f>lc_detailed!AB41</f>
        <v/>
      </c>
      <c r="B40" s="20">
        <f>lc_detailed!AG41</f>
        <v/>
      </c>
      <c r="C40" s="20">
        <f>lc_detailed!AH41</f>
        <v/>
      </c>
      <c r="D40" s="20">
        <f>lc_detailed!AI41</f>
        <v/>
      </c>
      <c r="E40" s="20">
        <f>lc_detailed!AJ41</f>
        <v/>
      </c>
      <c r="F40" s="20">
        <f>lc_detailed!AK41</f>
        <v/>
      </c>
      <c r="G40" s="20">
        <f>lc_detailed!AL41</f>
        <v/>
      </c>
      <c r="H40" s="20">
        <f>lc_detailed!AM41</f>
        <v/>
      </c>
      <c r="I40" s="20">
        <f>lc_detailed!AN41</f>
        <v/>
      </c>
      <c r="J40" s="20">
        <f>lc_detailed!AO41</f>
        <v/>
      </c>
      <c r="K40" s="20">
        <f>lc_detailed!AQ41</f>
        <v/>
      </c>
      <c r="L40" s="20">
        <f>lc_detailed!AR41</f>
        <v/>
      </c>
      <c r="M40" s="20">
        <f>lc_detailed!AD41</f>
        <v/>
      </c>
      <c r="O40" t="inlineStr">
        <is>
          <t>CEN_TSC:H2</t>
        </is>
      </c>
      <c r="P40" t="n">
        <v>0</v>
      </c>
      <c r="Q40" t="n">
        <v>-39.99386966087835</v>
      </c>
      <c r="R40" t="n">
        <v>0</v>
      </c>
      <c r="S40" t="n">
        <v>414.0408242031392</v>
      </c>
      <c r="T40" t="n">
        <v>37.35548858204109</v>
      </c>
      <c r="U40" t="n">
        <v>0</v>
      </c>
      <c r="V40" t="n">
        <v>236.7683066840029</v>
      </c>
      <c r="W40" t="n">
        <v>129.5862975452785</v>
      </c>
      <c r="X40" t="n">
        <v>31.5649692971309</v>
      </c>
      <c r="Y40" t="n">
        <v>0</v>
      </c>
      <c r="Z40" t="n">
        <v>109.35325927365</v>
      </c>
      <c r="AA40" t="n">
        <v>918.6752759243641</v>
      </c>
    </row>
    <row r="41">
      <c r="A41">
        <f>lc_detailed!AB42</f>
        <v/>
      </c>
      <c r="B41" s="20">
        <f>lc_detailed!AG42</f>
        <v/>
      </c>
      <c r="C41" s="20">
        <f>lc_detailed!AH42</f>
        <v/>
      </c>
      <c r="D41" s="20">
        <f>lc_detailed!AI42</f>
        <v/>
      </c>
      <c r="E41" s="20">
        <f>lc_detailed!AJ42</f>
        <v/>
      </c>
      <c r="F41" s="20">
        <f>lc_detailed!AK42</f>
        <v/>
      </c>
      <c r="G41" s="20">
        <f>lc_detailed!AL42</f>
        <v/>
      </c>
      <c r="H41" s="20">
        <f>lc_detailed!AM42</f>
        <v/>
      </c>
      <c r="I41" s="20">
        <f>lc_detailed!AN42</f>
        <v/>
      </c>
      <c r="J41" s="20">
        <f>lc_detailed!AO42</f>
        <v/>
      </c>
      <c r="K41" s="20">
        <f>lc_detailed!AQ42</f>
        <v/>
      </c>
      <c r="L41" s="20">
        <f>lc_detailed!AR42</f>
        <v/>
      </c>
      <c r="M41" s="20">
        <f>lc_detailed!AD42</f>
        <v/>
      </c>
      <c r="O41" t="inlineStr">
        <is>
          <t>NCEN_TSC:H2</t>
        </is>
      </c>
      <c r="P41" t="n">
        <v>0</v>
      </c>
      <c r="Q41" t="n">
        <v>-39.72724053173003</v>
      </c>
      <c r="R41" t="n">
        <v>0</v>
      </c>
      <c r="S41" t="n">
        <v>414.0408242031392</v>
      </c>
      <c r="T41" t="n">
        <v>37.12492438640636</v>
      </c>
      <c r="U41" t="n">
        <v>0</v>
      </c>
      <c r="V41" t="n">
        <v>236.7683066840029</v>
      </c>
      <c r="W41" t="n">
        <v>129.5862975452785</v>
      </c>
      <c r="X41" t="n">
        <v>31.5649692971309</v>
      </c>
      <c r="Y41" t="n">
        <v>0</v>
      </c>
      <c r="Z41" t="n">
        <v>109.35325927365</v>
      </c>
      <c r="AA41" t="n">
        <v>918.7113408578778</v>
      </c>
    </row>
    <row r="42">
      <c r="A42">
        <f>lc_detailed!AB43</f>
        <v/>
      </c>
      <c r="B42" s="20">
        <f>lc_detailed!AG43</f>
        <v/>
      </c>
      <c r="C42" s="20">
        <f>lc_detailed!AH43</f>
        <v/>
      </c>
      <c r="D42" s="20">
        <f>lc_detailed!AI43</f>
        <v/>
      </c>
      <c r="E42" s="20">
        <f>lc_detailed!AJ43</f>
        <v/>
      </c>
      <c r="F42" s="20">
        <f>lc_detailed!AK43</f>
        <v/>
      </c>
      <c r="G42" s="20">
        <f>lc_detailed!AL43</f>
        <v/>
      </c>
      <c r="H42" s="20">
        <f>lc_detailed!AM43</f>
        <v/>
      </c>
      <c r="I42" s="20">
        <f>lc_detailed!AN43</f>
        <v/>
      </c>
      <c r="J42" s="20">
        <f>lc_detailed!AO43</f>
        <v/>
      </c>
      <c r="K42" s="20">
        <f>lc_detailed!AQ43</f>
        <v/>
      </c>
      <c r="L42" s="20">
        <f>lc_detailed!AR43</f>
        <v/>
      </c>
      <c r="M42" s="20">
        <f>lc_detailed!AD43</f>
        <v/>
      </c>
      <c r="O42" t="inlineStr">
        <is>
          <t>SE_TSC:H2</t>
        </is>
      </c>
      <c r="P42" t="n">
        <v>0</v>
      </c>
      <c r="Q42" t="n">
        <v>-21.87826384876091</v>
      </c>
      <c r="R42" t="n">
        <v>0</v>
      </c>
      <c r="S42" t="n">
        <v>414.0408242031392</v>
      </c>
      <c r="T42" t="n">
        <v>19.77061103113841</v>
      </c>
      <c r="U42" t="n">
        <v>0</v>
      </c>
      <c r="V42" t="n">
        <v>236.7683066840029</v>
      </c>
      <c r="W42" t="n">
        <v>129.5862975452785</v>
      </c>
      <c r="X42" t="n">
        <v>31.5649692971309</v>
      </c>
      <c r="Y42" t="n">
        <v>0</v>
      </c>
      <c r="Z42" t="n">
        <v>109.35325927365</v>
      </c>
      <c r="AA42" t="n">
        <v>919.2060041855789</v>
      </c>
    </row>
    <row r="43">
      <c r="A43">
        <f>lc_detailed!AB44</f>
        <v/>
      </c>
      <c r="B43" s="20">
        <f>lc_detailed!AG44</f>
        <v/>
      </c>
      <c r="C43" s="20">
        <f>lc_detailed!AH44</f>
        <v/>
      </c>
      <c r="D43" s="20">
        <f>lc_detailed!AI44</f>
        <v/>
      </c>
      <c r="E43" s="20">
        <f>lc_detailed!AJ44</f>
        <v/>
      </c>
      <c r="F43" s="20">
        <f>lc_detailed!AK44</f>
        <v/>
      </c>
      <c r="G43" s="20">
        <f>lc_detailed!AL44</f>
        <v/>
      </c>
      <c r="H43" s="20">
        <f>lc_detailed!AM44</f>
        <v/>
      </c>
      <c r="I43" s="20">
        <f>lc_detailed!AN44</f>
        <v/>
      </c>
      <c r="J43" s="20">
        <f>lc_detailed!AO44</f>
        <v/>
      </c>
      <c r="K43" s="20">
        <f>lc_detailed!AQ44</f>
        <v/>
      </c>
      <c r="L43" s="20">
        <f>lc_detailed!AR44</f>
        <v/>
      </c>
      <c r="M43" s="20">
        <f>lc_detailed!AD44</f>
        <v/>
      </c>
      <c r="O43" t="inlineStr">
        <is>
          <t>SW_TSC:H2</t>
        </is>
      </c>
      <c r="P43" t="n">
        <v>0</v>
      </c>
      <c r="Q43" t="n">
        <v>-27.22544342228009</v>
      </c>
      <c r="R43" t="n">
        <v>0</v>
      </c>
      <c r="S43" t="n">
        <v>414.0408242031392</v>
      </c>
      <c r="T43" t="n">
        <v>25.62347237513139</v>
      </c>
      <c r="U43" t="n">
        <v>0</v>
      </c>
      <c r="V43" t="n">
        <v>236.7683066840029</v>
      </c>
      <c r="W43" t="n">
        <v>129.5862975452785</v>
      </c>
      <c r="X43" t="n">
        <v>31.5649692971309</v>
      </c>
      <c r="Y43" t="n">
        <v>0</v>
      </c>
      <c r="Z43" t="n">
        <v>109.35325927365</v>
      </c>
      <c r="AA43" t="n">
        <v>919.7116859560529</v>
      </c>
    </row>
    <row r="44">
      <c r="A44">
        <f>lc_detailed!AB45</f>
        <v/>
      </c>
      <c r="B44" s="20">
        <f>lc_detailed!AG45</f>
        <v/>
      </c>
      <c r="C44" s="20">
        <f>lc_detailed!AH45</f>
        <v/>
      </c>
      <c r="D44" s="20">
        <f>lc_detailed!AI45</f>
        <v/>
      </c>
      <c r="E44" s="20">
        <f>lc_detailed!AJ45</f>
        <v/>
      </c>
      <c r="F44" s="20">
        <f>lc_detailed!AK45</f>
        <v/>
      </c>
      <c r="G44" s="20">
        <f>lc_detailed!AL45</f>
        <v/>
      </c>
      <c r="H44" s="20">
        <f>lc_detailed!AM45</f>
        <v/>
      </c>
      <c r="I44" s="20">
        <f>lc_detailed!AN45</f>
        <v/>
      </c>
      <c r="J44" s="20">
        <f>lc_detailed!AO45</f>
        <v/>
      </c>
      <c r="K44" s="20">
        <f>lc_detailed!AQ45</f>
        <v/>
      </c>
      <c r="L44" s="20">
        <f>lc_detailed!AR45</f>
        <v/>
      </c>
      <c r="M44" s="20">
        <f>lc_detailed!AD45</f>
        <v/>
      </c>
      <c r="O44" t="inlineStr">
        <is>
          <t>TX_TSC:H2</t>
        </is>
      </c>
      <c r="P44" t="n">
        <v>0</v>
      </c>
      <c r="Q44" t="n">
        <v>-22.72274897079843</v>
      </c>
      <c r="R44" t="n">
        <v>0</v>
      </c>
      <c r="S44" t="n">
        <v>414.0408242031392</v>
      </c>
      <c r="T44" t="n">
        <v>21.35487561106486</v>
      </c>
      <c r="U44" t="n">
        <v>0</v>
      </c>
      <c r="V44" t="n">
        <v>236.7683066840029</v>
      </c>
      <c r="W44" t="n">
        <v>129.5862975452785</v>
      </c>
      <c r="X44" t="n">
        <v>31.5649692971309</v>
      </c>
      <c r="Y44" t="n">
        <v>0</v>
      </c>
      <c r="Z44" t="n">
        <v>109.35325927365</v>
      </c>
      <c r="AA44" t="n">
        <v>919.9457836434678</v>
      </c>
    </row>
    <row r="45">
      <c r="A45">
        <f>lc_detailed!AB46</f>
        <v/>
      </c>
      <c r="B45" s="20">
        <f>lc_detailed!AG46</f>
        <v/>
      </c>
      <c r="C45" s="20">
        <f>lc_detailed!AH46</f>
        <v/>
      </c>
      <c r="D45" s="20">
        <f>lc_detailed!AI46</f>
        <v/>
      </c>
      <c r="E45" s="20">
        <f>lc_detailed!AJ46</f>
        <v/>
      </c>
      <c r="F45" s="20">
        <f>lc_detailed!AK46</f>
        <v/>
      </c>
      <c r="G45" s="20">
        <f>lc_detailed!AL46</f>
        <v/>
      </c>
      <c r="H45" s="20">
        <f>lc_detailed!AM46</f>
        <v/>
      </c>
      <c r="I45" s="20">
        <f>lc_detailed!AN46</f>
        <v/>
      </c>
      <c r="J45" s="20">
        <f>lc_detailed!AO46</f>
        <v/>
      </c>
      <c r="K45" s="20">
        <f>lc_detailed!AQ46</f>
        <v/>
      </c>
      <c r="L45" s="20">
        <f>lc_detailed!AR46</f>
        <v/>
      </c>
      <c r="M45" s="20">
        <f>lc_detailed!AD46</f>
        <v/>
      </c>
      <c r="O45" t="inlineStr">
        <is>
          <t>CEN_ESC</t>
        </is>
      </c>
      <c r="P45" t="n">
        <v>0</v>
      </c>
      <c r="Q45" t="n">
        <v>-39.99386966087835</v>
      </c>
      <c r="R45" t="n">
        <v>80.96587601021744</v>
      </c>
      <c r="S45" t="n">
        <v>414.0408242031392</v>
      </c>
      <c r="T45" t="n">
        <v>0</v>
      </c>
      <c r="U45" t="n">
        <v>-33.47640263283282</v>
      </c>
      <c r="V45" t="n">
        <v>313.6807217218005</v>
      </c>
      <c r="W45" t="n">
        <v>171.6814383334408</v>
      </c>
      <c r="X45" t="n">
        <v>41.81861380514395</v>
      </c>
      <c r="Y45" t="n">
        <v>0</v>
      </c>
      <c r="Z45" t="n">
        <v>76.520652297477</v>
      </c>
      <c r="AA45" t="n">
        <v>1025.237854077508</v>
      </c>
    </row>
    <row r="46">
      <c r="A46">
        <f>lc_detailed!AB47</f>
        <v/>
      </c>
      <c r="B46" s="20">
        <f>lc_detailed!AG47</f>
        <v/>
      </c>
      <c r="C46" s="20">
        <f>lc_detailed!AH47</f>
        <v/>
      </c>
      <c r="D46" s="20">
        <f>lc_detailed!AI47</f>
        <v/>
      </c>
      <c r="E46" s="20">
        <f>lc_detailed!AJ47</f>
        <v/>
      </c>
      <c r="F46" s="20">
        <f>lc_detailed!AK47</f>
        <v/>
      </c>
      <c r="G46" s="20">
        <f>lc_detailed!AL47</f>
        <v/>
      </c>
      <c r="H46" s="20">
        <f>lc_detailed!AM47</f>
        <v/>
      </c>
      <c r="I46" s="20">
        <f>lc_detailed!AN47</f>
        <v/>
      </c>
      <c r="J46" s="20">
        <f>lc_detailed!AO47</f>
        <v/>
      </c>
      <c r="K46" s="20">
        <f>lc_detailed!AQ47</f>
        <v/>
      </c>
      <c r="L46" s="20">
        <f>lc_detailed!AR47</f>
        <v/>
      </c>
      <c r="M46" s="20">
        <f>lc_detailed!AD47</f>
        <v/>
      </c>
      <c r="O46" t="inlineStr">
        <is>
          <t>NCEN_ESC</t>
        </is>
      </c>
      <c r="P46" t="n">
        <v>0</v>
      </c>
      <c r="Q46" t="n">
        <v>-39.72724053173003</v>
      </c>
      <c r="R46" t="n">
        <v>82.5572445678059</v>
      </c>
      <c r="S46" t="n">
        <v>414.0408242031392</v>
      </c>
      <c r="T46" t="n">
        <v>0</v>
      </c>
      <c r="U46" t="n">
        <v>-33.26978079120351</v>
      </c>
      <c r="V46" t="n">
        <v>313.6807217218005</v>
      </c>
      <c r="W46" t="n">
        <v>171.6814383334408</v>
      </c>
      <c r="X46" t="n">
        <v>41.81861380514395</v>
      </c>
      <c r="Y46" t="n">
        <v>0</v>
      </c>
      <c r="Z46" t="n">
        <v>76.520652297477</v>
      </c>
      <c r="AA46" t="n">
        <v>1027.302473605874</v>
      </c>
    </row>
    <row r="47">
      <c r="A47">
        <f>lc_detailed!AB48</f>
        <v/>
      </c>
      <c r="B47" s="20">
        <f>lc_detailed!AG48</f>
        <v/>
      </c>
      <c r="C47" s="20">
        <f>lc_detailed!AH48</f>
        <v/>
      </c>
      <c r="D47" s="20">
        <f>lc_detailed!AI48</f>
        <v/>
      </c>
      <c r="E47" s="20">
        <f>lc_detailed!AJ48</f>
        <v/>
      </c>
      <c r="F47" s="20">
        <f>lc_detailed!AK48</f>
        <v/>
      </c>
      <c r="G47" s="20">
        <f>lc_detailed!AL48</f>
        <v/>
      </c>
      <c r="H47" s="20">
        <f>lc_detailed!AM48</f>
        <v/>
      </c>
      <c r="I47" s="20">
        <f>lc_detailed!AN48</f>
        <v/>
      </c>
      <c r="J47" s="20">
        <f>lc_detailed!AO48</f>
        <v/>
      </c>
      <c r="K47" s="20">
        <f>lc_detailed!AQ48</f>
        <v/>
      </c>
      <c r="L47" s="20">
        <f>lc_detailed!AR48</f>
        <v/>
      </c>
      <c r="M47" s="20">
        <f>lc_detailed!AD48</f>
        <v/>
      </c>
      <c r="O47" t="inlineStr">
        <is>
          <t>SW_ESC</t>
        </is>
      </c>
      <c r="P47" t="n">
        <v>0</v>
      </c>
      <c r="Q47" t="n">
        <v>-27.22544342228009</v>
      </c>
      <c r="R47" t="n">
        <v>75.76294403440896</v>
      </c>
      <c r="S47" t="n">
        <v>414.0408242031392</v>
      </c>
      <c r="T47" t="n">
        <v>0</v>
      </c>
      <c r="U47" t="n">
        <v>-22.96266788740522</v>
      </c>
      <c r="V47" t="n">
        <v>313.6807217218005</v>
      </c>
      <c r="W47" t="n">
        <v>171.6814383334408</v>
      </c>
      <c r="X47" t="n">
        <v>41.81861380514395</v>
      </c>
      <c r="Y47" t="n">
        <v>0</v>
      </c>
      <c r="Z47" t="n">
        <v>76.520652297477</v>
      </c>
      <c r="AA47" t="n">
        <v>1043.317083085725</v>
      </c>
    </row>
    <row r="48">
      <c r="A48">
        <f>lc_detailed!AB49</f>
        <v/>
      </c>
      <c r="B48" s="20">
        <f>lc_detailed!AG49</f>
        <v/>
      </c>
      <c r="C48" s="20">
        <f>lc_detailed!AH49</f>
        <v/>
      </c>
      <c r="D48" s="20">
        <f>lc_detailed!AI49</f>
        <v/>
      </c>
      <c r="E48" s="20">
        <f>lc_detailed!AJ49</f>
        <v/>
      </c>
      <c r="F48" s="20">
        <f>lc_detailed!AK49</f>
        <v/>
      </c>
      <c r="G48" s="20">
        <f>lc_detailed!AL49</f>
        <v/>
      </c>
      <c r="H48" s="20">
        <f>lc_detailed!AM49</f>
        <v/>
      </c>
      <c r="I48" s="20">
        <f>lc_detailed!AN49</f>
        <v/>
      </c>
      <c r="J48" s="20">
        <f>lc_detailed!AO49</f>
        <v/>
      </c>
      <c r="K48" s="20">
        <f>lc_detailed!AQ49</f>
        <v/>
      </c>
      <c r="L48" s="20">
        <f>lc_detailed!AR49</f>
        <v/>
      </c>
      <c r="M48" s="20">
        <f>lc_detailed!AD49</f>
        <v/>
      </c>
      <c r="O48" t="inlineStr">
        <is>
          <t>NE_ESC</t>
        </is>
      </c>
      <c r="P48" t="n">
        <v>0</v>
      </c>
      <c r="Q48" t="n">
        <v>-27.68274555237967</v>
      </c>
      <c r="R48" t="n">
        <v>74.92851963987304</v>
      </c>
      <c r="S48" t="n">
        <v>414.0408242031392</v>
      </c>
      <c r="T48" t="n">
        <v>0</v>
      </c>
      <c r="U48" t="n">
        <v>-19.93545355724199</v>
      </c>
      <c r="V48" t="n">
        <v>313.6807217218005</v>
      </c>
      <c r="W48" t="n">
        <v>171.6814383334408</v>
      </c>
      <c r="X48" t="n">
        <v>41.81861380514395</v>
      </c>
      <c r="Y48" t="n">
        <v>0</v>
      </c>
      <c r="Z48" t="n">
        <v>76.520652297477</v>
      </c>
      <c r="AA48" t="n">
        <v>1045.052570891253</v>
      </c>
    </row>
    <row r="49">
      <c r="A49">
        <f>lc_detailed!AB50</f>
        <v/>
      </c>
      <c r="B49" s="20">
        <f>lc_detailed!AG50</f>
        <v/>
      </c>
      <c r="C49" s="20">
        <f>lc_detailed!AH50</f>
        <v/>
      </c>
      <c r="D49" s="20">
        <f>lc_detailed!AI50</f>
        <v/>
      </c>
      <c r="E49" s="20">
        <f>lc_detailed!AJ50</f>
        <v/>
      </c>
      <c r="F49" s="20">
        <f>lc_detailed!AK50</f>
        <v/>
      </c>
      <c r="G49" s="20">
        <f>lc_detailed!AL50</f>
        <v/>
      </c>
      <c r="H49" s="20">
        <f>lc_detailed!AM50</f>
        <v/>
      </c>
      <c r="I49" s="20">
        <f>lc_detailed!AN50</f>
        <v/>
      </c>
      <c r="J49" s="20">
        <f>lc_detailed!AO50</f>
        <v/>
      </c>
      <c r="K49" s="20">
        <f>lc_detailed!AQ50</f>
        <v/>
      </c>
      <c r="L49" s="20">
        <f>lc_detailed!AR50</f>
        <v/>
      </c>
      <c r="M49" s="20">
        <f>lc_detailed!AD50</f>
        <v/>
      </c>
      <c r="O49" t="inlineStr">
        <is>
          <t>TX_ESC</t>
        </is>
      </c>
      <c r="P49" t="n">
        <v>0</v>
      </c>
      <c r="Q49" t="n">
        <v>-22.72274897079843</v>
      </c>
      <c r="R49" t="n">
        <v>76.97485840222483</v>
      </c>
      <c r="S49" t="n">
        <v>414.0408242031392</v>
      </c>
      <c r="T49" t="n">
        <v>0</v>
      </c>
      <c r="U49" t="n">
        <v>-19.13733272581942</v>
      </c>
      <c r="V49" t="n">
        <v>313.6807217218005</v>
      </c>
      <c r="W49" t="n">
        <v>171.6814383334408</v>
      </c>
      <c r="X49" t="n">
        <v>41.81861380514395</v>
      </c>
      <c r="Y49" t="n">
        <v>0</v>
      </c>
      <c r="Z49" t="n">
        <v>76.520652297477</v>
      </c>
      <c r="AA49" t="n">
        <v>1052.857027066608</v>
      </c>
    </row>
    <row r="50">
      <c r="A50">
        <f>lc_detailed!AB51</f>
        <v/>
      </c>
      <c r="B50" s="20">
        <f>lc_detailed!AG51</f>
        <v/>
      </c>
      <c r="C50" s="20">
        <f>lc_detailed!AH51</f>
        <v/>
      </c>
      <c r="D50" s="20">
        <f>lc_detailed!AI51</f>
        <v/>
      </c>
      <c r="E50" s="20">
        <f>lc_detailed!AJ51</f>
        <v/>
      </c>
      <c r="F50" s="20">
        <f>lc_detailed!AK51</f>
        <v/>
      </c>
      <c r="G50" s="20">
        <f>lc_detailed!AL51</f>
        <v/>
      </c>
      <c r="H50" s="20">
        <f>lc_detailed!AM51</f>
        <v/>
      </c>
      <c r="I50" s="20">
        <f>lc_detailed!AN51</f>
        <v/>
      </c>
      <c r="J50" s="20">
        <f>lc_detailed!AO51</f>
        <v/>
      </c>
      <c r="K50" s="20">
        <f>lc_detailed!AQ51</f>
        <v/>
      </c>
      <c r="L50" s="20">
        <f>lc_detailed!AR51</f>
        <v/>
      </c>
      <c r="M50" s="20">
        <f>lc_detailed!AD51</f>
        <v/>
      </c>
      <c r="O50" t="inlineStr">
        <is>
          <t>SE_ESC</t>
        </is>
      </c>
      <c r="P50" t="n">
        <v>0</v>
      </c>
      <c r="Q50" t="n">
        <v>-21.87826384876091</v>
      </c>
      <c r="R50" t="n">
        <v>76.64495652907081</v>
      </c>
      <c r="S50" t="n">
        <v>414.0408242031392</v>
      </c>
      <c r="T50" t="n">
        <v>0</v>
      </c>
      <c r="U50" t="n">
        <v>-17.71758208226739</v>
      </c>
      <c r="V50" t="n">
        <v>313.6807217218005</v>
      </c>
      <c r="W50" t="n">
        <v>171.6814383334408</v>
      </c>
      <c r="X50" t="n">
        <v>41.81861380514395</v>
      </c>
      <c r="Y50" t="n">
        <v>0</v>
      </c>
      <c r="Z50" t="n">
        <v>76.520652297477</v>
      </c>
      <c r="AA50" t="n">
        <v>1054.791360959044</v>
      </c>
    </row>
    <row r="51">
      <c r="A51">
        <f>lc_detailed!AB52</f>
        <v/>
      </c>
      <c r="B51" s="20">
        <f>lc_detailed!AG52</f>
        <v/>
      </c>
      <c r="C51" s="20">
        <f>lc_detailed!AH52</f>
        <v/>
      </c>
      <c r="D51" s="20">
        <f>lc_detailed!AI52</f>
        <v/>
      </c>
      <c r="E51" s="20">
        <f>lc_detailed!AJ52</f>
        <v/>
      </c>
      <c r="F51" s="20">
        <f>lc_detailed!AK52</f>
        <v/>
      </c>
      <c r="G51" s="20">
        <f>lc_detailed!AL52</f>
        <v/>
      </c>
      <c r="H51" s="20">
        <f>lc_detailed!AM52</f>
        <v/>
      </c>
      <c r="I51" s="20">
        <f>lc_detailed!AN52</f>
        <v/>
      </c>
      <c r="J51" s="20">
        <f>lc_detailed!AO52</f>
        <v/>
      </c>
      <c r="K51" s="20">
        <f>lc_detailed!AQ52</f>
        <v/>
      </c>
      <c r="L51" s="20">
        <f>lc_detailed!AR52</f>
        <v/>
      </c>
      <c r="M51" s="20">
        <f>lc_detailed!AD52</f>
        <v/>
      </c>
      <c r="O51" t="inlineStr">
        <is>
          <t>MIDAT_ESC</t>
        </is>
      </c>
      <c r="P51" t="n">
        <v>0</v>
      </c>
      <c r="Q51" t="n">
        <v>-22.67496632880128</v>
      </c>
      <c r="R51" t="n">
        <v>77.49004175367129</v>
      </c>
      <c r="S51" t="n">
        <v>414.0408242031392</v>
      </c>
      <c r="T51" t="n">
        <v>0</v>
      </c>
      <c r="U51" t="n">
        <v>-12.03113078966734</v>
      </c>
      <c r="V51" t="n">
        <v>313.6807217218005</v>
      </c>
      <c r="W51" t="n">
        <v>171.6814383334408</v>
      </c>
      <c r="X51" t="n">
        <v>41.81861380514395</v>
      </c>
      <c r="Y51" t="n">
        <v>0</v>
      </c>
      <c r="Z51" t="n">
        <v>76.520652297477</v>
      </c>
      <c r="AA51" t="n">
        <v>1060.526194996204</v>
      </c>
    </row>
    <row r="52">
      <c r="A52">
        <f>lc_detailed!AB53</f>
        <v/>
      </c>
      <c r="B52" s="20">
        <f>lc_detailed!AG53</f>
        <v/>
      </c>
      <c r="C52" s="20">
        <f>lc_detailed!AH53</f>
        <v/>
      </c>
      <c r="D52" s="20">
        <f>lc_detailed!AI53</f>
        <v/>
      </c>
      <c r="E52" s="20">
        <f>lc_detailed!AJ53</f>
        <v/>
      </c>
      <c r="F52" s="20">
        <f>lc_detailed!AK53</f>
        <v/>
      </c>
      <c r="G52" s="20">
        <f>lc_detailed!AL53</f>
        <v/>
      </c>
      <c r="H52" s="20">
        <f>lc_detailed!AM53</f>
        <v/>
      </c>
      <c r="I52" s="20">
        <f>lc_detailed!AN53</f>
        <v/>
      </c>
      <c r="J52" s="20">
        <f>lc_detailed!AO53</f>
        <v/>
      </c>
      <c r="K52" s="20">
        <f>lc_detailed!AQ53</f>
        <v/>
      </c>
      <c r="L52" s="20">
        <f>lc_detailed!AR53</f>
        <v/>
      </c>
      <c r="M52" s="20">
        <f>lc_detailed!AD53</f>
        <v/>
      </c>
      <c r="O52" t="inlineStr">
        <is>
          <t>NE_ESC</t>
        </is>
      </c>
      <c r="P52" t="e">
        <v>#DIV/0!</v>
      </c>
      <c r="Q52" t="e">
        <v>#DIV/0!</v>
      </c>
      <c r="R52" t="e">
        <v>#DIV/0!</v>
      </c>
      <c r="S52" t="e">
        <v>#DIV/0!</v>
      </c>
      <c r="T52" t="e">
        <v>#DIV/0!</v>
      </c>
      <c r="U52" t="e">
        <v>#DIV/0!</v>
      </c>
      <c r="V52" t="e">
        <v>#DIV/0!</v>
      </c>
      <c r="W52" t="e">
        <v>#DIV/0!</v>
      </c>
      <c r="X52" t="e">
        <v>#DIV/0!</v>
      </c>
      <c r="Y52" t="e">
        <v>#DIV/0!</v>
      </c>
      <c r="Z52" t="e">
        <v>#DIV/0!</v>
      </c>
      <c r="AA52" t="e">
        <v>#DIV/0!</v>
      </c>
    </row>
    <row r="53">
      <c r="A53">
        <f>lc_detailed!AB54</f>
        <v/>
      </c>
      <c r="B53" s="20">
        <f>lc_detailed!AG54</f>
        <v/>
      </c>
      <c r="C53" s="20">
        <f>lc_detailed!AH54</f>
        <v/>
      </c>
      <c r="D53" s="20">
        <f>lc_detailed!AI54</f>
        <v/>
      </c>
      <c r="E53" s="20">
        <f>lc_detailed!AJ54</f>
        <v/>
      </c>
      <c r="F53" s="20">
        <f>lc_detailed!AK54</f>
        <v/>
      </c>
      <c r="G53" s="20">
        <f>lc_detailed!AL54</f>
        <v/>
      </c>
      <c r="H53" s="20">
        <f>lc_detailed!AM54</f>
        <v/>
      </c>
      <c r="I53" s="20">
        <f>lc_detailed!AN54</f>
        <v/>
      </c>
      <c r="J53" s="20">
        <f>lc_detailed!AO54</f>
        <v/>
      </c>
      <c r="K53" s="20">
        <f>lc_detailed!AQ54</f>
        <v/>
      </c>
      <c r="L53" s="20">
        <f>lc_detailed!AR54</f>
        <v/>
      </c>
      <c r="M53" s="20">
        <f>lc_detailed!AD54</f>
        <v/>
      </c>
      <c r="O53" t="inlineStr">
        <is>
          <t>NE_ESC</t>
        </is>
      </c>
      <c r="P53" t="e">
        <v>#DIV/0!</v>
      </c>
      <c r="Q53" t="e">
        <v>#DIV/0!</v>
      </c>
      <c r="R53" t="e">
        <v>#DIV/0!</v>
      </c>
      <c r="S53" t="e">
        <v>#DIV/0!</v>
      </c>
      <c r="T53" t="e">
        <v>#DIV/0!</v>
      </c>
      <c r="U53" t="e">
        <v>#DIV/0!</v>
      </c>
      <c r="V53" t="e">
        <v>#DIV/0!</v>
      </c>
      <c r="W53" t="e">
        <v>#DIV/0!</v>
      </c>
      <c r="X53" t="e">
        <v>#DIV/0!</v>
      </c>
      <c r="Y53" t="e">
        <v>#DIV/0!</v>
      </c>
      <c r="Z53" t="e">
        <v>#DIV/0!</v>
      </c>
      <c r="AA53" t="e">
        <v>#DIV/0!</v>
      </c>
    </row>
    <row r="54">
      <c r="A54">
        <f>lc_detailed!AB55</f>
        <v/>
      </c>
      <c r="B54" s="20">
        <f>lc_detailed!AG55</f>
        <v/>
      </c>
      <c r="C54" s="20">
        <f>lc_detailed!AH55</f>
        <v/>
      </c>
      <c r="D54" s="20">
        <f>lc_detailed!AI55</f>
        <v/>
      </c>
      <c r="E54" s="20">
        <f>lc_detailed!AJ55</f>
        <v/>
      </c>
      <c r="F54" s="20">
        <f>lc_detailed!AK55</f>
        <v/>
      </c>
      <c r="G54" s="20">
        <f>lc_detailed!AL55</f>
        <v/>
      </c>
      <c r="H54" s="20">
        <f>lc_detailed!AM55</f>
        <v/>
      </c>
      <c r="I54" s="20">
        <f>lc_detailed!AN55</f>
        <v/>
      </c>
      <c r="J54" s="20">
        <f>lc_detailed!AO55</f>
        <v/>
      </c>
      <c r="K54" s="20">
        <f>lc_detailed!AQ55</f>
        <v/>
      </c>
      <c r="L54" s="20">
        <f>lc_detailed!AR55</f>
        <v/>
      </c>
      <c r="M54" s="20">
        <f>lc_detailed!AD55</f>
        <v/>
      </c>
      <c r="O54" t="inlineStr">
        <is>
          <t>NE_ESC</t>
        </is>
      </c>
      <c r="P54" t="e">
        <v>#DIV/0!</v>
      </c>
      <c r="Q54" t="e">
        <v>#DIV/0!</v>
      </c>
      <c r="R54" t="e">
        <v>#DIV/0!</v>
      </c>
      <c r="S54" t="e">
        <v>#DIV/0!</v>
      </c>
      <c r="T54" t="e">
        <v>#DIV/0!</v>
      </c>
      <c r="U54" t="e">
        <v>#DIV/0!</v>
      </c>
      <c r="V54" t="e">
        <v>#DIV/0!</v>
      </c>
      <c r="W54" t="e">
        <v>#DIV/0!</v>
      </c>
      <c r="X54" t="e">
        <v>#DIV/0!</v>
      </c>
      <c r="Y54" t="e">
        <v>#DIV/0!</v>
      </c>
      <c r="Z54" t="e">
        <v>#DIV/0!</v>
      </c>
      <c r="AA54" t="e">
        <v>#DIV/0!</v>
      </c>
    </row>
    <row r="55">
      <c r="A55">
        <f>lc_detailed!AB56</f>
        <v/>
      </c>
      <c r="B55" s="20">
        <f>lc_detailed!AG56</f>
        <v/>
      </c>
      <c r="C55" s="20">
        <f>lc_detailed!AH56</f>
        <v/>
      </c>
      <c r="D55" s="20">
        <f>lc_detailed!AI56</f>
        <v/>
      </c>
      <c r="E55" s="20">
        <f>lc_detailed!AJ56</f>
        <v/>
      </c>
      <c r="F55" s="20">
        <f>lc_detailed!AK56</f>
        <v/>
      </c>
      <c r="G55" s="20">
        <f>lc_detailed!AL56</f>
        <v/>
      </c>
      <c r="H55" s="20">
        <f>lc_detailed!AM56</f>
        <v/>
      </c>
      <c r="I55" s="20">
        <f>lc_detailed!AN56</f>
        <v/>
      </c>
      <c r="J55" s="20">
        <f>lc_detailed!AO56</f>
        <v/>
      </c>
      <c r="K55" s="20">
        <f>lc_detailed!AQ56</f>
        <v/>
      </c>
      <c r="L55" s="20">
        <f>lc_detailed!AR56</f>
        <v/>
      </c>
      <c r="M55" s="20">
        <f>lc_detailed!AD56</f>
        <v/>
      </c>
      <c r="O55" t="inlineStr">
        <is>
          <t>NE_ESC</t>
        </is>
      </c>
      <c r="P55" t="e">
        <v>#DIV/0!</v>
      </c>
      <c r="Q55" t="e">
        <v>#DIV/0!</v>
      </c>
      <c r="R55" t="e">
        <v>#DIV/0!</v>
      </c>
      <c r="S55" t="e">
        <v>#DIV/0!</v>
      </c>
      <c r="T55" t="e">
        <v>#DIV/0!</v>
      </c>
      <c r="U55" t="e">
        <v>#DIV/0!</v>
      </c>
      <c r="V55" t="e">
        <v>#DIV/0!</v>
      </c>
      <c r="W55" t="e">
        <v>#DIV/0!</v>
      </c>
      <c r="X55" t="e">
        <v>#DIV/0!</v>
      </c>
      <c r="Y55" t="e">
        <v>#DIV/0!</v>
      </c>
      <c r="Z55" t="e">
        <v>#DIV/0!</v>
      </c>
      <c r="AA55" t="e">
        <v>#DIV/0!</v>
      </c>
    </row>
    <row r="56">
      <c r="A56">
        <f>lc_detailed!AB57</f>
        <v/>
      </c>
      <c r="B56" s="20">
        <f>lc_detailed!AG57</f>
        <v/>
      </c>
      <c r="C56" s="20">
        <f>lc_detailed!AH57</f>
        <v/>
      </c>
      <c r="D56" s="20">
        <f>lc_detailed!AI57</f>
        <v/>
      </c>
      <c r="E56" s="20">
        <f>lc_detailed!AJ57</f>
        <v/>
      </c>
      <c r="F56" s="20">
        <f>lc_detailed!AK57</f>
        <v/>
      </c>
      <c r="G56" s="20">
        <f>lc_detailed!AL57</f>
        <v/>
      </c>
      <c r="H56" s="20">
        <f>lc_detailed!AM57</f>
        <v/>
      </c>
      <c r="I56" s="20">
        <f>lc_detailed!AN57</f>
        <v/>
      </c>
      <c r="J56" s="20">
        <f>lc_detailed!AO57</f>
        <v/>
      </c>
      <c r="K56" s="20">
        <f>lc_detailed!AQ57</f>
        <v/>
      </c>
      <c r="L56" s="20">
        <f>lc_detailed!AR57</f>
        <v/>
      </c>
      <c r="M56" s="20">
        <f>lc_detailed!AD57</f>
        <v/>
      </c>
      <c r="O56" t="inlineStr">
        <is>
          <t>NE_ESC</t>
        </is>
      </c>
      <c r="P56" t="e">
        <v>#DIV/0!</v>
      </c>
      <c r="Q56" t="e">
        <v>#DIV/0!</v>
      </c>
      <c r="R56" t="e">
        <v>#DIV/0!</v>
      </c>
      <c r="S56" t="e">
        <v>#DIV/0!</v>
      </c>
      <c r="T56" t="e">
        <v>#DIV/0!</v>
      </c>
      <c r="U56" t="e">
        <v>#DIV/0!</v>
      </c>
      <c r="V56" t="e">
        <v>#DIV/0!</v>
      </c>
      <c r="W56" t="e">
        <v>#DIV/0!</v>
      </c>
      <c r="X56" t="e">
        <v>#DIV/0!</v>
      </c>
      <c r="Y56" t="e">
        <v>#DIV/0!</v>
      </c>
      <c r="Z56" t="e">
        <v>#DIV/0!</v>
      </c>
      <c r="AA56" t="e">
        <v>#DIV/0!</v>
      </c>
    </row>
    <row r="57">
      <c r="A57">
        <f>lc_detailed!AB58</f>
        <v/>
      </c>
      <c r="B57" s="20">
        <f>lc_detailed!AG58</f>
        <v/>
      </c>
      <c r="C57" s="20">
        <f>lc_detailed!AH58</f>
        <v/>
      </c>
      <c r="D57" s="20">
        <f>lc_detailed!AI58</f>
        <v/>
      </c>
      <c r="E57" s="20">
        <f>lc_detailed!AJ58</f>
        <v/>
      </c>
      <c r="F57" s="20">
        <f>lc_detailed!AK58</f>
        <v/>
      </c>
      <c r="G57" s="20">
        <f>lc_detailed!AL58</f>
        <v/>
      </c>
      <c r="H57" s="20">
        <f>lc_detailed!AM58</f>
        <v/>
      </c>
      <c r="I57" s="20">
        <f>lc_detailed!AN58</f>
        <v/>
      </c>
      <c r="J57" s="20">
        <f>lc_detailed!AO58</f>
        <v/>
      </c>
      <c r="K57" s="20">
        <f>lc_detailed!AQ58</f>
        <v/>
      </c>
      <c r="L57" s="20">
        <f>lc_detailed!AR58</f>
        <v/>
      </c>
      <c r="M57" s="20">
        <f>lc_detailed!AD58</f>
        <v/>
      </c>
      <c r="O57" t="inlineStr">
        <is>
          <t>NE_ESC</t>
        </is>
      </c>
      <c r="P57" t="e">
        <v>#DIV/0!</v>
      </c>
      <c r="Q57" t="e">
        <v>#DIV/0!</v>
      </c>
      <c r="R57" t="e">
        <v>#DIV/0!</v>
      </c>
      <c r="S57" t="e">
        <v>#DIV/0!</v>
      </c>
      <c r="T57" t="e">
        <v>#DIV/0!</v>
      </c>
      <c r="U57" t="e">
        <v>#DIV/0!</v>
      </c>
      <c r="V57" t="e">
        <v>#DIV/0!</v>
      </c>
      <c r="W57" t="e">
        <v>#DIV/0!</v>
      </c>
      <c r="X57" t="e">
        <v>#DIV/0!</v>
      </c>
      <c r="Y57" t="e">
        <v>#DIV/0!</v>
      </c>
      <c r="Z57" t="e">
        <v>#DIV/0!</v>
      </c>
      <c r="AA57" t="e">
        <v>#DIV/0!</v>
      </c>
    </row>
    <row r="58">
      <c r="A58">
        <f>lc_detailed!AB59</f>
        <v/>
      </c>
      <c r="B58" s="20">
        <f>lc_detailed!AG59</f>
        <v/>
      </c>
      <c r="C58" s="20">
        <f>lc_detailed!AH59</f>
        <v/>
      </c>
      <c r="D58" s="20">
        <f>lc_detailed!AI59</f>
        <v/>
      </c>
      <c r="E58" s="20">
        <f>lc_detailed!AJ59</f>
        <v/>
      </c>
      <c r="F58" s="20">
        <f>lc_detailed!AK59</f>
        <v/>
      </c>
      <c r="G58" s="20">
        <f>lc_detailed!AL59</f>
        <v/>
      </c>
      <c r="H58" s="20">
        <f>lc_detailed!AM59</f>
        <v/>
      </c>
      <c r="I58" s="20">
        <f>lc_detailed!AN59</f>
        <v/>
      </c>
      <c r="J58" s="20">
        <f>lc_detailed!AO59</f>
        <v/>
      </c>
      <c r="K58" s="20">
        <f>lc_detailed!AQ59</f>
        <v/>
      </c>
      <c r="L58" s="20">
        <f>lc_detailed!AR59</f>
        <v/>
      </c>
      <c r="M58" s="20">
        <f>lc_detailed!AD59</f>
        <v/>
      </c>
      <c r="O58" t="inlineStr">
        <is>
          <t>NE_ESC</t>
        </is>
      </c>
      <c r="P58" t="e">
        <v>#DIV/0!</v>
      </c>
      <c r="Q58" t="e">
        <v>#DIV/0!</v>
      </c>
      <c r="R58" t="e">
        <v>#DIV/0!</v>
      </c>
      <c r="S58" t="e">
        <v>#DIV/0!</v>
      </c>
      <c r="T58" t="e">
        <v>#DIV/0!</v>
      </c>
      <c r="U58" t="e">
        <v>#DIV/0!</v>
      </c>
      <c r="V58" t="e">
        <v>#DIV/0!</v>
      </c>
      <c r="W58" t="e">
        <v>#DIV/0!</v>
      </c>
      <c r="X58" t="e">
        <v>#DIV/0!</v>
      </c>
      <c r="Y58" t="e">
        <v>#DIV/0!</v>
      </c>
      <c r="Z58" t="e">
        <v>#DIV/0!</v>
      </c>
      <c r="AA58" t="e">
        <v>#DIV/0!</v>
      </c>
    </row>
    <row r="59">
      <c r="A59">
        <f>lc_detailed!AB60</f>
        <v/>
      </c>
      <c r="B59" s="20">
        <f>lc_detailed!AG60</f>
        <v/>
      </c>
      <c r="C59" s="20">
        <f>lc_detailed!AH60</f>
        <v/>
      </c>
      <c r="D59" s="20">
        <f>lc_detailed!AI60</f>
        <v/>
      </c>
      <c r="E59" s="20">
        <f>lc_detailed!AJ60</f>
        <v/>
      </c>
      <c r="F59" s="20">
        <f>lc_detailed!AK60</f>
        <v/>
      </c>
      <c r="G59" s="20">
        <f>lc_detailed!AL60</f>
        <v/>
      </c>
      <c r="H59" s="20">
        <f>lc_detailed!AM60</f>
        <v/>
      </c>
      <c r="I59" s="20">
        <f>lc_detailed!AN60</f>
        <v/>
      </c>
      <c r="J59" s="20">
        <f>lc_detailed!AO60</f>
        <v/>
      </c>
      <c r="K59" s="20">
        <f>lc_detailed!AQ60</f>
        <v/>
      </c>
      <c r="L59" s="20">
        <f>lc_detailed!AR60</f>
        <v/>
      </c>
      <c r="M59" s="20">
        <f>lc_detailed!AD60</f>
        <v/>
      </c>
      <c r="O59" t="inlineStr">
        <is>
          <t>NE_ESC</t>
        </is>
      </c>
      <c r="P59" t="e">
        <v>#DIV/0!</v>
      </c>
      <c r="Q59" t="e">
        <v>#DIV/0!</v>
      </c>
      <c r="R59" t="e">
        <v>#DIV/0!</v>
      </c>
      <c r="S59" t="e">
        <v>#DIV/0!</v>
      </c>
      <c r="T59" t="e">
        <v>#DIV/0!</v>
      </c>
      <c r="U59" t="e">
        <v>#DIV/0!</v>
      </c>
      <c r="V59" t="e">
        <v>#DIV/0!</v>
      </c>
      <c r="W59" t="e">
        <v>#DIV/0!</v>
      </c>
      <c r="X59" t="e">
        <v>#DIV/0!</v>
      </c>
      <c r="Y59" t="e">
        <v>#DIV/0!</v>
      </c>
      <c r="Z59" t="e">
        <v>#DIV/0!</v>
      </c>
      <c r="AA59" t="e">
        <v>#DIV/0!</v>
      </c>
    </row>
    <row r="60">
      <c r="A60">
        <f>lc_detailed!AB61</f>
        <v/>
      </c>
      <c r="B60" s="20">
        <f>lc_detailed!AG61</f>
        <v/>
      </c>
      <c r="C60" s="20">
        <f>lc_detailed!AH61</f>
        <v/>
      </c>
      <c r="D60" s="20">
        <f>lc_detailed!AI61</f>
        <v/>
      </c>
      <c r="E60" s="20">
        <f>lc_detailed!AJ61</f>
        <v/>
      </c>
      <c r="F60" s="20">
        <f>lc_detailed!AK61</f>
        <v/>
      </c>
      <c r="G60" s="20">
        <f>lc_detailed!AL61</f>
        <v/>
      </c>
      <c r="H60" s="20">
        <f>lc_detailed!AM61</f>
        <v/>
      </c>
      <c r="I60" s="20">
        <f>lc_detailed!AN61</f>
        <v/>
      </c>
      <c r="J60" s="20">
        <f>lc_detailed!AO61</f>
        <v/>
      </c>
      <c r="K60" s="20">
        <f>lc_detailed!AQ61</f>
        <v/>
      </c>
      <c r="L60" s="20">
        <f>lc_detailed!AR61</f>
        <v/>
      </c>
      <c r="M60" s="20">
        <f>lc_detailed!AD61</f>
        <v/>
      </c>
      <c r="O60" t="inlineStr">
        <is>
          <t>NE_ESC</t>
        </is>
      </c>
      <c r="P60" t="e">
        <v>#DIV/0!</v>
      </c>
      <c r="Q60" t="e">
        <v>#DIV/0!</v>
      </c>
      <c r="R60" t="e">
        <v>#DIV/0!</v>
      </c>
      <c r="S60" t="e">
        <v>#DIV/0!</v>
      </c>
      <c r="T60" t="e">
        <v>#DIV/0!</v>
      </c>
      <c r="U60" t="e">
        <v>#DIV/0!</v>
      </c>
      <c r="V60" t="e">
        <v>#DIV/0!</v>
      </c>
      <c r="W60" t="e">
        <v>#DIV/0!</v>
      </c>
      <c r="X60" t="e">
        <v>#DIV/0!</v>
      </c>
      <c r="Y60" t="e">
        <v>#DIV/0!</v>
      </c>
      <c r="Z60" t="e">
        <v>#DIV/0!</v>
      </c>
      <c r="AA60" t="e">
        <v>#DIV/0!</v>
      </c>
    </row>
    <row r="61">
      <c r="A61">
        <f>lc_detailed!AB62</f>
        <v/>
      </c>
      <c r="B61" s="20">
        <f>lc_detailed!AG62</f>
        <v/>
      </c>
      <c r="C61" s="20">
        <f>lc_detailed!AH62</f>
        <v/>
      </c>
      <c r="D61" s="20">
        <f>lc_detailed!AI62</f>
        <v/>
      </c>
      <c r="E61" s="20">
        <f>lc_detailed!AJ62</f>
        <v/>
      </c>
      <c r="F61" s="20">
        <f>lc_detailed!AK62</f>
        <v/>
      </c>
      <c r="G61" s="20">
        <f>lc_detailed!AL62</f>
        <v/>
      </c>
      <c r="H61" s="20">
        <f>lc_detailed!AM62</f>
        <v/>
      </c>
      <c r="I61" s="20">
        <f>lc_detailed!AN62</f>
        <v/>
      </c>
      <c r="J61" s="20">
        <f>lc_detailed!AO62</f>
        <v/>
      </c>
      <c r="K61" s="20">
        <f>lc_detailed!AQ62</f>
        <v/>
      </c>
      <c r="L61" s="20">
        <f>lc_detailed!AR62</f>
        <v/>
      </c>
      <c r="M61" s="20">
        <f>lc_detailed!AD62</f>
        <v/>
      </c>
      <c r="O61" t="inlineStr">
        <is>
          <t>NE_ESC</t>
        </is>
      </c>
      <c r="P61" t="e">
        <v>#DIV/0!</v>
      </c>
      <c r="Q61" t="e">
        <v>#DIV/0!</v>
      </c>
      <c r="R61" t="e">
        <v>#DIV/0!</v>
      </c>
      <c r="S61" t="e">
        <v>#DIV/0!</v>
      </c>
      <c r="T61" t="e">
        <v>#DIV/0!</v>
      </c>
      <c r="U61" t="e">
        <v>#DIV/0!</v>
      </c>
      <c r="V61" t="e">
        <v>#DIV/0!</v>
      </c>
      <c r="W61" t="e">
        <v>#DIV/0!</v>
      </c>
      <c r="X61" t="e">
        <v>#DIV/0!</v>
      </c>
      <c r="Y61" t="e">
        <v>#DIV/0!</v>
      </c>
      <c r="Z61" t="e">
        <v>#DIV/0!</v>
      </c>
      <c r="AA61" t="e">
        <v>#DIV/0!</v>
      </c>
    </row>
    <row r="62">
      <c r="A62">
        <f>lc_detailed!AB63</f>
        <v/>
      </c>
      <c r="B62" s="20">
        <f>lc_detailed!AG63</f>
        <v/>
      </c>
      <c r="C62" s="20">
        <f>lc_detailed!AH63</f>
        <v/>
      </c>
      <c r="D62" s="20">
        <f>lc_detailed!AI63</f>
        <v/>
      </c>
      <c r="E62" s="20">
        <f>lc_detailed!AJ63</f>
        <v/>
      </c>
      <c r="F62" s="20">
        <f>lc_detailed!AK63</f>
        <v/>
      </c>
      <c r="G62" s="20">
        <f>lc_detailed!AL63</f>
        <v/>
      </c>
      <c r="H62" s="20">
        <f>lc_detailed!AM63</f>
        <v/>
      </c>
      <c r="I62" s="20">
        <f>lc_detailed!AN63</f>
        <v/>
      </c>
      <c r="J62" s="20">
        <f>lc_detailed!AO63</f>
        <v/>
      </c>
      <c r="K62" s="20">
        <f>lc_detailed!AQ63</f>
        <v/>
      </c>
      <c r="L62" s="20">
        <f>lc_detailed!AR63</f>
        <v/>
      </c>
      <c r="M62" s="20">
        <f>lc_detailed!AD63</f>
        <v/>
      </c>
      <c r="O62" t="inlineStr">
        <is>
          <t>NE_ESC</t>
        </is>
      </c>
      <c r="P62" t="e">
        <v>#DIV/0!</v>
      </c>
      <c r="Q62" t="e">
        <v>#DIV/0!</v>
      </c>
      <c r="R62" t="e">
        <v>#DIV/0!</v>
      </c>
      <c r="S62" t="e">
        <v>#DIV/0!</v>
      </c>
      <c r="T62" t="e">
        <v>#DIV/0!</v>
      </c>
      <c r="U62" t="e">
        <v>#DIV/0!</v>
      </c>
      <c r="V62" t="e">
        <v>#DIV/0!</v>
      </c>
      <c r="W62" t="e">
        <v>#DIV/0!</v>
      </c>
      <c r="X62" t="e">
        <v>#DIV/0!</v>
      </c>
      <c r="Y62" t="e">
        <v>#DIV/0!</v>
      </c>
      <c r="Z62" t="e">
        <v>#DIV/0!</v>
      </c>
      <c r="AA62" t="e">
        <v>#DIV/0!</v>
      </c>
    </row>
    <row r="63">
      <c r="A63">
        <f>lc_detailed!AB64</f>
        <v/>
      </c>
      <c r="B63" s="20">
        <f>lc_detailed!AG64</f>
        <v/>
      </c>
      <c r="C63" s="20">
        <f>lc_detailed!AH64</f>
        <v/>
      </c>
      <c r="D63" s="20">
        <f>lc_detailed!AI64</f>
        <v/>
      </c>
      <c r="E63" s="20">
        <f>lc_detailed!AJ64</f>
        <v/>
      </c>
      <c r="F63" s="20">
        <f>lc_detailed!AK64</f>
        <v/>
      </c>
      <c r="G63" s="20">
        <f>lc_detailed!AL64</f>
        <v/>
      </c>
      <c r="H63" s="20">
        <f>lc_detailed!AM64</f>
        <v/>
      </c>
      <c r="I63" s="20">
        <f>lc_detailed!AN64</f>
        <v/>
      </c>
      <c r="J63" s="20">
        <f>lc_detailed!AO64</f>
        <v/>
      </c>
      <c r="K63" s="20">
        <f>lc_detailed!AQ64</f>
        <v/>
      </c>
      <c r="L63" s="20">
        <f>lc_detailed!AR64</f>
        <v/>
      </c>
      <c r="M63" s="20">
        <f>lc_detailed!AD64</f>
        <v/>
      </c>
      <c r="O63" t="inlineStr">
        <is>
          <t>NE_ESC</t>
        </is>
      </c>
      <c r="P63" t="e">
        <v>#DIV/0!</v>
      </c>
      <c r="Q63" t="e">
        <v>#DIV/0!</v>
      </c>
      <c r="R63" t="e">
        <v>#DIV/0!</v>
      </c>
      <c r="S63" t="e">
        <v>#DIV/0!</v>
      </c>
      <c r="T63" t="e">
        <v>#DIV/0!</v>
      </c>
      <c r="U63" t="e">
        <v>#DIV/0!</v>
      </c>
      <c r="V63" t="e">
        <v>#DIV/0!</v>
      </c>
      <c r="W63" t="e">
        <v>#DIV/0!</v>
      </c>
      <c r="X63" t="e">
        <v>#DIV/0!</v>
      </c>
      <c r="Y63" t="e">
        <v>#DIV/0!</v>
      </c>
      <c r="Z63" t="e">
        <v>#DIV/0!</v>
      </c>
      <c r="AA63" t="e">
        <v>#DIV/0!</v>
      </c>
    </row>
    <row r="64">
      <c r="A64">
        <f>lc_detailed!AB65</f>
        <v/>
      </c>
      <c r="B64" s="20">
        <f>lc_detailed!AG65</f>
        <v/>
      </c>
      <c r="C64" s="20">
        <f>lc_detailed!AH65</f>
        <v/>
      </c>
      <c r="D64" s="20">
        <f>lc_detailed!AI65</f>
        <v/>
      </c>
      <c r="E64" s="20">
        <f>lc_detailed!AJ65</f>
        <v/>
      </c>
      <c r="F64" s="20">
        <f>lc_detailed!AK65</f>
        <v/>
      </c>
      <c r="G64" s="20">
        <f>lc_detailed!AL65</f>
        <v/>
      </c>
      <c r="H64" s="20">
        <f>lc_detailed!AM65</f>
        <v/>
      </c>
      <c r="I64" s="20">
        <f>lc_detailed!AN65</f>
        <v/>
      </c>
      <c r="J64" s="20">
        <f>lc_detailed!AO65</f>
        <v/>
      </c>
      <c r="K64" s="20">
        <f>lc_detailed!AQ65</f>
        <v/>
      </c>
      <c r="L64" s="20">
        <f>lc_detailed!AR65</f>
        <v/>
      </c>
      <c r="M64" s="20">
        <f>lc_detailed!AD65</f>
        <v/>
      </c>
      <c r="O64" t="inlineStr">
        <is>
          <t>NE_ESC</t>
        </is>
      </c>
      <c r="P64" t="e">
        <v>#DIV/0!</v>
      </c>
      <c r="Q64" t="e">
        <v>#DIV/0!</v>
      </c>
      <c r="R64" t="e">
        <v>#DIV/0!</v>
      </c>
      <c r="S64" t="e">
        <v>#DIV/0!</v>
      </c>
      <c r="T64" t="e">
        <v>#DIV/0!</v>
      </c>
      <c r="U64" t="e">
        <v>#DIV/0!</v>
      </c>
      <c r="V64" t="e">
        <v>#DIV/0!</v>
      </c>
      <c r="W64" t="e">
        <v>#DIV/0!</v>
      </c>
      <c r="X64" t="e">
        <v>#DIV/0!</v>
      </c>
      <c r="Y64" t="e">
        <v>#DIV/0!</v>
      </c>
      <c r="Z64" t="e">
        <v>#DIV/0!</v>
      </c>
      <c r="AA64" t="e">
        <v>#DIV/0!</v>
      </c>
    </row>
    <row r="65">
      <c r="A65">
        <f>lc_detailed!AB66</f>
        <v/>
      </c>
      <c r="B65" s="20">
        <f>lc_detailed!AG66</f>
        <v/>
      </c>
      <c r="C65" s="20">
        <f>lc_detailed!AH66</f>
        <v/>
      </c>
      <c r="D65" s="20">
        <f>lc_detailed!AI66</f>
        <v/>
      </c>
      <c r="E65" s="20">
        <f>lc_detailed!AJ66</f>
        <v/>
      </c>
      <c r="F65" s="20">
        <f>lc_detailed!AK66</f>
        <v/>
      </c>
      <c r="G65" s="20">
        <f>lc_detailed!AL66</f>
        <v/>
      </c>
      <c r="H65" s="20">
        <f>lc_detailed!AM66</f>
        <v/>
      </c>
      <c r="I65" s="20">
        <f>lc_detailed!AN66</f>
        <v/>
      </c>
      <c r="J65" s="20">
        <f>lc_detailed!AO66</f>
        <v/>
      </c>
      <c r="K65" s="20">
        <f>lc_detailed!AQ66</f>
        <v/>
      </c>
      <c r="L65" s="20">
        <f>lc_detailed!AR66</f>
        <v/>
      </c>
      <c r="M65" s="20">
        <f>lc_detailed!AD66</f>
        <v/>
      </c>
      <c r="O65" t="inlineStr">
        <is>
          <t>NE_ESC</t>
        </is>
      </c>
      <c r="P65" t="e">
        <v>#DIV/0!</v>
      </c>
      <c r="Q65" t="e">
        <v>#DIV/0!</v>
      </c>
      <c r="R65" t="e">
        <v>#DIV/0!</v>
      </c>
      <c r="S65" t="e">
        <v>#DIV/0!</v>
      </c>
      <c r="T65" t="e">
        <v>#DIV/0!</v>
      </c>
      <c r="U65" t="e">
        <v>#DIV/0!</v>
      </c>
      <c r="V65" t="e">
        <v>#DIV/0!</v>
      </c>
      <c r="W65" t="e">
        <v>#DIV/0!</v>
      </c>
      <c r="X65" t="e">
        <v>#DIV/0!</v>
      </c>
      <c r="Y65" t="e">
        <v>#DIV/0!</v>
      </c>
      <c r="Z65" t="e">
        <v>#DIV/0!</v>
      </c>
      <c r="AA65" t="e">
        <v>#DIV/0!</v>
      </c>
    </row>
    <row r="66">
      <c r="A66">
        <f>lc_detailed!AB67</f>
        <v/>
      </c>
      <c r="B66" s="20">
        <f>lc_detailed!AG67</f>
        <v/>
      </c>
      <c r="C66" s="20">
        <f>lc_detailed!AH67</f>
        <v/>
      </c>
      <c r="D66" s="20">
        <f>lc_detailed!AI67</f>
        <v/>
      </c>
      <c r="E66" s="20">
        <f>lc_detailed!AJ67</f>
        <v/>
      </c>
      <c r="F66" s="20">
        <f>lc_detailed!AK67</f>
        <v/>
      </c>
      <c r="G66" s="20">
        <f>lc_detailed!AL67</f>
        <v/>
      </c>
      <c r="H66" s="20">
        <f>lc_detailed!AM67</f>
        <v/>
      </c>
      <c r="I66" s="20">
        <f>lc_detailed!AN67</f>
        <v/>
      </c>
      <c r="J66" s="20">
        <f>lc_detailed!AO67</f>
        <v/>
      </c>
      <c r="K66" s="20">
        <f>lc_detailed!AQ67</f>
        <v/>
      </c>
      <c r="L66" s="20">
        <f>lc_detailed!AR67</f>
        <v/>
      </c>
      <c r="M66" s="20">
        <f>lc_detailed!AD67</f>
        <v/>
      </c>
    </row>
    <row r="67">
      <c r="A67">
        <f>lc_detailed!AB68</f>
        <v/>
      </c>
      <c r="B67" s="20">
        <f>lc_detailed!AG68</f>
        <v/>
      </c>
      <c r="C67" s="20">
        <f>lc_detailed!AH68</f>
        <v/>
      </c>
      <c r="D67" s="20">
        <f>lc_detailed!AI68</f>
        <v/>
      </c>
      <c r="E67" s="20">
        <f>lc_detailed!AJ68</f>
        <v/>
      </c>
      <c r="F67" s="20">
        <f>lc_detailed!AK68</f>
        <v/>
      </c>
      <c r="G67" s="20">
        <f>lc_detailed!AL68</f>
        <v/>
      </c>
      <c r="H67" s="20">
        <f>lc_detailed!AM68</f>
        <v/>
      </c>
      <c r="I67" s="20">
        <f>lc_detailed!AN68</f>
        <v/>
      </c>
      <c r="J67" s="20">
        <f>lc_detailed!AO68</f>
        <v/>
      </c>
      <c r="K67" s="20">
        <f>lc_detailed!AQ68</f>
        <v/>
      </c>
      <c r="L67" s="20">
        <f>lc_detailed!AR68</f>
        <v/>
      </c>
      <c r="M67" s="20">
        <f>lc_detailed!AD68</f>
        <v/>
      </c>
    </row>
    <row r="68">
      <c r="A68">
        <f>lc_detailed!AB69</f>
        <v/>
      </c>
      <c r="B68" s="20">
        <f>lc_detailed!AG69</f>
        <v/>
      </c>
      <c r="C68" s="20">
        <f>lc_detailed!AH69</f>
        <v/>
      </c>
      <c r="D68" s="20">
        <f>lc_detailed!AI69</f>
        <v/>
      </c>
      <c r="E68" s="20">
        <f>lc_detailed!AJ69</f>
        <v/>
      </c>
      <c r="F68" s="20">
        <f>lc_detailed!AK69</f>
        <v/>
      </c>
      <c r="G68" s="20">
        <f>lc_detailed!AL69</f>
        <v/>
      </c>
      <c r="H68" s="20">
        <f>lc_detailed!AM69</f>
        <v/>
      </c>
      <c r="I68" s="20">
        <f>lc_detailed!AN69</f>
        <v/>
      </c>
      <c r="J68" s="20">
        <f>lc_detailed!AO69</f>
        <v/>
      </c>
      <c r="K68" s="20">
        <f>lc_detailed!AQ69</f>
        <v/>
      </c>
      <c r="L68" s="20">
        <f>lc_detailed!AR69</f>
        <v/>
      </c>
      <c r="M68" s="20">
        <f>lc_detailed!AD69</f>
        <v/>
      </c>
    </row>
    <row r="69">
      <c r="A69">
        <f>lc_detailed!AB70</f>
        <v/>
      </c>
      <c r="B69" s="20">
        <f>lc_detailed!AG70</f>
        <v/>
      </c>
      <c r="C69" s="20">
        <f>lc_detailed!AH70</f>
        <v/>
      </c>
      <c r="D69" s="20">
        <f>lc_detailed!AI70</f>
        <v/>
      </c>
      <c r="E69" s="20">
        <f>lc_detailed!AJ70</f>
        <v/>
      </c>
      <c r="F69" s="20">
        <f>lc_detailed!AK70</f>
        <v/>
      </c>
      <c r="G69" s="20">
        <f>lc_detailed!AL70</f>
        <v/>
      </c>
      <c r="H69" s="20">
        <f>lc_detailed!AM70</f>
        <v/>
      </c>
      <c r="I69" s="20">
        <f>lc_detailed!AN70</f>
        <v/>
      </c>
      <c r="J69" s="20">
        <f>lc_detailed!AO70</f>
        <v/>
      </c>
      <c r="K69" s="20">
        <f>lc_detailed!AQ70</f>
        <v/>
      </c>
      <c r="L69" s="20">
        <f>lc_detailed!AR70</f>
        <v/>
      </c>
      <c r="M69" s="20">
        <f>lc_detailed!AD70</f>
        <v/>
      </c>
    </row>
    <row r="70">
      <c r="A70">
        <f>lc_detailed!AB71</f>
        <v/>
      </c>
      <c r="B70" s="20">
        <f>lc_detailed!AG71</f>
        <v/>
      </c>
      <c r="C70" s="20">
        <f>lc_detailed!AH71</f>
        <v/>
      </c>
      <c r="D70" s="20">
        <f>lc_detailed!AI71</f>
        <v/>
      </c>
      <c r="E70" s="20">
        <f>lc_detailed!AJ71</f>
        <v/>
      </c>
      <c r="F70" s="20">
        <f>lc_detailed!AK71</f>
        <v/>
      </c>
      <c r="G70" s="20">
        <f>lc_detailed!AL71</f>
        <v/>
      </c>
      <c r="H70" s="20">
        <f>lc_detailed!AM71</f>
        <v/>
      </c>
      <c r="I70" s="20">
        <f>lc_detailed!AN71</f>
        <v/>
      </c>
      <c r="J70" s="20">
        <f>lc_detailed!AO71</f>
        <v/>
      </c>
      <c r="K70" s="20">
        <f>lc_detailed!AQ71</f>
        <v/>
      </c>
      <c r="L70" s="20">
        <f>lc_detailed!AR71</f>
        <v/>
      </c>
      <c r="M70" s="20">
        <f>lc_detailed!AD71</f>
        <v/>
      </c>
    </row>
    <row r="71">
      <c r="A71">
        <f>lc_detailed!AB72</f>
        <v/>
      </c>
      <c r="B71" s="20">
        <f>lc_detailed!AG72</f>
        <v/>
      </c>
      <c r="C71" s="20">
        <f>lc_detailed!AH72</f>
        <v/>
      </c>
      <c r="D71" s="20">
        <f>lc_detailed!AI72</f>
        <v/>
      </c>
      <c r="E71" s="20">
        <f>lc_detailed!AJ72</f>
        <v/>
      </c>
      <c r="F71" s="20">
        <f>lc_detailed!AK72</f>
        <v/>
      </c>
      <c r="G71" s="20">
        <f>lc_detailed!AL72</f>
        <v/>
      </c>
      <c r="H71" s="20">
        <f>lc_detailed!AM72</f>
        <v/>
      </c>
      <c r="I71" s="20">
        <f>lc_detailed!AN72</f>
        <v/>
      </c>
      <c r="J71" s="20">
        <f>lc_detailed!AO72</f>
        <v/>
      </c>
      <c r="K71" s="20">
        <f>lc_detailed!AQ72</f>
        <v/>
      </c>
      <c r="L71" s="20">
        <f>lc_detailed!AR72</f>
        <v/>
      </c>
      <c r="M71" s="20">
        <f>lc_detailed!AD72</f>
        <v/>
      </c>
    </row>
    <row r="72">
      <c r="A72">
        <f>lc_detailed!AB73</f>
        <v/>
      </c>
      <c r="B72" s="20">
        <f>lc_detailed!AG73</f>
        <v/>
      </c>
      <c r="C72" s="20">
        <f>lc_detailed!AH73</f>
        <v/>
      </c>
      <c r="D72" s="20">
        <f>lc_detailed!AI73</f>
        <v/>
      </c>
      <c r="E72" s="20">
        <f>lc_detailed!AJ73</f>
        <v/>
      </c>
      <c r="F72" s="20">
        <f>lc_detailed!AK73</f>
        <v/>
      </c>
      <c r="G72" s="20">
        <f>lc_detailed!AL73</f>
        <v/>
      </c>
      <c r="H72" s="20">
        <f>lc_detailed!AM73</f>
        <v/>
      </c>
      <c r="I72" s="20">
        <f>lc_detailed!AN73</f>
        <v/>
      </c>
      <c r="J72" s="20">
        <f>lc_detailed!AO73</f>
        <v/>
      </c>
      <c r="K72" s="20">
        <f>lc_detailed!AQ73</f>
        <v/>
      </c>
      <c r="L72" s="20">
        <f>lc_detailed!AR73</f>
        <v/>
      </c>
      <c r="M72" s="20">
        <f>lc_detailed!AD73</f>
        <v/>
      </c>
    </row>
    <row r="73">
      <c r="A73">
        <f>lc_detailed!AB74</f>
        <v/>
      </c>
      <c r="B73" s="20">
        <f>lc_detailed!AG74</f>
        <v/>
      </c>
      <c r="C73" s="20">
        <f>lc_detailed!AH74</f>
        <v/>
      </c>
      <c r="D73" s="20">
        <f>lc_detailed!AI74</f>
        <v/>
      </c>
      <c r="E73" s="20">
        <f>lc_detailed!AJ74</f>
        <v/>
      </c>
      <c r="F73" s="20">
        <f>lc_detailed!AK74</f>
        <v/>
      </c>
      <c r="G73" s="20">
        <f>lc_detailed!AL74</f>
        <v/>
      </c>
      <c r="H73" s="20">
        <f>lc_detailed!AM74</f>
        <v/>
      </c>
      <c r="I73" s="20">
        <f>lc_detailed!AN74</f>
        <v/>
      </c>
      <c r="J73" s="20">
        <f>lc_detailed!AO74</f>
        <v/>
      </c>
      <c r="K73" s="20">
        <f>lc_detailed!AQ74</f>
        <v/>
      </c>
      <c r="L73" s="20">
        <f>lc_detailed!AR74</f>
        <v/>
      </c>
      <c r="M73" s="20">
        <f>lc_detailed!AD74</f>
        <v/>
      </c>
    </row>
    <row r="74">
      <c r="A74">
        <f>lc_detailed!AB75</f>
        <v/>
      </c>
      <c r="B74" s="20">
        <f>lc_detailed!AG75</f>
        <v/>
      </c>
      <c r="C74" s="20">
        <f>lc_detailed!AH75</f>
        <v/>
      </c>
      <c r="D74" s="20">
        <f>lc_detailed!AI75</f>
        <v/>
      </c>
      <c r="E74" s="20">
        <f>lc_detailed!AJ75</f>
        <v/>
      </c>
      <c r="F74" s="20">
        <f>lc_detailed!AK75</f>
        <v/>
      </c>
      <c r="G74" s="20">
        <f>lc_detailed!AL75</f>
        <v/>
      </c>
      <c r="H74" s="20">
        <f>lc_detailed!AM75</f>
        <v/>
      </c>
      <c r="I74" s="20">
        <f>lc_detailed!AN75</f>
        <v/>
      </c>
      <c r="J74" s="20">
        <f>lc_detailed!AO75</f>
        <v/>
      </c>
      <c r="K74" s="20">
        <f>lc_detailed!AQ75</f>
        <v/>
      </c>
      <c r="L74" s="20">
        <f>lc_detailed!AR75</f>
        <v/>
      </c>
      <c r="M74" s="20">
        <f>lc_detailed!AD75</f>
        <v/>
      </c>
    </row>
    <row r="75">
      <c r="A75">
        <f>lc_detailed!AB76</f>
        <v/>
      </c>
      <c r="B75" s="20">
        <f>lc_detailed!AG76</f>
        <v/>
      </c>
      <c r="C75" s="20">
        <f>lc_detailed!AH76</f>
        <v/>
      </c>
      <c r="D75" s="20">
        <f>lc_detailed!AI76</f>
        <v/>
      </c>
      <c r="E75" s="20">
        <f>lc_detailed!AJ76</f>
        <v/>
      </c>
      <c r="F75" s="20">
        <f>lc_detailed!AK76</f>
        <v/>
      </c>
      <c r="G75" s="20">
        <f>lc_detailed!AL76</f>
        <v/>
      </c>
      <c r="H75" s="20">
        <f>lc_detailed!AM76</f>
        <v/>
      </c>
      <c r="I75" s="20">
        <f>lc_detailed!AN76</f>
        <v/>
      </c>
      <c r="J75" s="20">
        <f>lc_detailed!AO76</f>
        <v/>
      </c>
      <c r="K75" s="20">
        <f>lc_detailed!AQ76</f>
        <v/>
      </c>
      <c r="L75" s="20">
        <f>lc_detailed!AR76</f>
        <v/>
      </c>
      <c r="M75" s="20">
        <f>lc_detailed!AD76</f>
        <v/>
      </c>
    </row>
    <row r="76">
      <c r="A76">
        <f>lc_detailed!AB77</f>
        <v/>
      </c>
      <c r="B76" s="20">
        <f>lc_detailed!AG77</f>
        <v/>
      </c>
      <c r="C76" s="20">
        <f>lc_detailed!AH77</f>
        <v/>
      </c>
      <c r="D76" s="20">
        <f>lc_detailed!AI77</f>
        <v/>
      </c>
      <c r="E76" s="20">
        <f>lc_detailed!AJ77</f>
        <v/>
      </c>
      <c r="F76" s="20">
        <f>lc_detailed!AK77</f>
        <v/>
      </c>
      <c r="G76" s="20">
        <f>lc_detailed!AL77</f>
        <v/>
      </c>
      <c r="H76" s="20">
        <f>lc_detailed!AM77</f>
        <v/>
      </c>
      <c r="I76" s="20">
        <f>lc_detailed!AN77</f>
        <v/>
      </c>
      <c r="J76" s="20">
        <f>lc_detailed!AO77</f>
        <v/>
      </c>
      <c r="K76" s="20">
        <f>lc_detailed!AQ77</f>
        <v/>
      </c>
      <c r="L76" s="20">
        <f>lc_detailed!AR77</f>
        <v/>
      </c>
      <c r="M76" s="20">
        <f>lc_detailed!AD77</f>
        <v/>
      </c>
    </row>
    <row r="77">
      <c r="A77">
        <f>lc_detailed!AB78</f>
        <v/>
      </c>
      <c r="B77" s="20">
        <f>lc_detailed!AG78</f>
        <v/>
      </c>
      <c r="C77" s="20">
        <f>lc_detailed!AH78</f>
        <v/>
      </c>
      <c r="D77" s="20">
        <f>lc_detailed!AI78</f>
        <v/>
      </c>
      <c r="E77" s="20">
        <f>lc_detailed!AJ78</f>
        <v/>
      </c>
      <c r="F77" s="20">
        <f>lc_detailed!AK78</f>
        <v/>
      </c>
      <c r="G77" s="20">
        <f>lc_detailed!AL78</f>
        <v/>
      </c>
      <c r="H77" s="20">
        <f>lc_detailed!AM78</f>
        <v/>
      </c>
      <c r="I77" s="20">
        <f>lc_detailed!AN78</f>
        <v/>
      </c>
      <c r="J77" s="20">
        <f>lc_detailed!AO78</f>
        <v/>
      </c>
      <c r="K77" s="20">
        <f>lc_detailed!AQ78</f>
        <v/>
      </c>
      <c r="L77" s="20">
        <f>lc_detailed!AR78</f>
        <v/>
      </c>
      <c r="M77" s="20">
        <f>lc_detailed!AD78</f>
        <v/>
      </c>
    </row>
    <row r="78">
      <c r="A78">
        <f>lc_detailed!AB79</f>
        <v/>
      </c>
      <c r="B78" s="20">
        <f>lc_detailed!AG79</f>
        <v/>
      </c>
      <c r="C78" s="20">
        <f>lc_detailed!AH79</f>
        <v/>
      </c>
      <c r="D78" s="20">
        <f>lc_detailed!AI79</f>
        <v/>
      </c>
      <c r="E78" s="20">
        <f>lc_detailed!AJ79</f>
        <v/>
      </c>
      <c r="F78" s="20">
        <f>lc_detailed!AK79</f>
        <v/>
      </c>
      <c r="G78" s="20">
        <f>lc_detailed!AL79</f>
        <v/>
      </c>
      <c r="H78" s="20">
        <f>lc_detailed!AM79</f>
        <v/>
      </c>
      <c r="I78" s="20">
        <f>lc_detailed!AN79</f>
        <v/>
      </c>
      <c r="J78" s="20">
        <f>lc_detailed!AO79</f>
        <v/>
      </c>
      <c r="K78" s="20">
        <f>lc_detailed!AQ79</f>
        <v/>
      </c>
      <c r="L78" s="20">
        <f>lc_detailed!AR79</f>
        <v/>
      </c>
      <c r="M78" s="20">
        <f>lc_detailed!AD79</f>
        <v/>
      </c>
    </row>
    <row r="79">
      <c r="A79">
        <f>lc_detailed!AB80</f>
        <v/>
      </c>
      <c r="B79" s="20">
        <f>lc_detailed!AG80</f>
        <v/>
      </c>
      <c r="C79" s="20">
        <f>lc_detailed!AH80</f>
        <v/>
      </c>
      <c r="D79" s="20">
        <f>lc_detailed!AI80</f>
        <v/>
      </c>
      <c r="E79" s="20">
        <f>lc_detailed!AJ80</f>
        <v/>
      </c>
      <c r="F79" s="20">
        <f>lc_detailed!AK80</f>
        <v/>
      </c>
      <c r="G79" s="20">
        <f>lc_detailed!AL80</f>
        <v/>
      </c>
      <c r="H79" s="20">
        <f>lc_detailed!AM80</f>
        <v/>
      </c>
      <c r="I79" s="20">
        <f>lc_detailed!AN80</f>
        <v/>
      </c>
      <c r="J79" s="20">
        <f>lc_detailed!AO80</f>
        <v/>
      </c>
      <c r="K79" s="20">
        <f>lc_detailed!AQ80</f>
        <v/>
      </c>
      <c r="L79" s="20">
        <f>lc_detailed!AR80</f>
        <v/>
      </c>
      <c r="M79" s="20">
        <f>lc_detailed!AD80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Abigail Cheng</dc:creator>
  <dcterms:created xmlns:dcterms="http://purl.org/dc/terms/" xmlns:xsi="http://www.w3.org/2001/XMLSchema-instance" xsi:type="dcterms:W3CDTF">2026-04-05T17:24:30Z</dcterms:created>
  <dcterms:modified xmlns:dcterms="http://purl.org/dc/terms/" xmlns:xsi="http://www.w3.org/2001/XMLSchema-instance" xsi:type="dcterms:W3CDTF">2026-06-29T13:44:13Z</dcterms:modified>
  <cp:lastModifiedBy>Abigail Cheng</cp:lastModifiedBy>
</cp:coreProperties>
</file>