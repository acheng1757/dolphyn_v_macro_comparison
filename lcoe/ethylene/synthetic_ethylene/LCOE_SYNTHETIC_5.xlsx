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Desktop/Dolphyn_to_Macro/Dolphyn vs. Macro/Python Codes/lcoe/ethylene/synthetic_ethylene/"/>
    </mc:Choice>
  </mc:AlternateContent>
  <xr:revisionPtr revIDLastSave="0" documentId="13_ncr:1_{5BB964B4-9351-C945-986D-E72C9831CCC4}" xr6:coauthVersionLast="47" xr6:coauthVersionMax="47" xr10:uidLastSave="{00000000-0000-0000-0000-000000000000}"/>
  <bookViews>
    <workbookView xWindow="29400" yWindow="500" windowWidth="38400" windowHeight="23500" xr2:uid="{00000000-000D-0000-FFFF-FFFF00000000}"/>
  </bookViews>
  <sheets>
    <sheet name="lc_detailed" sheetId="1" r:id="rId1"/>
    <sheet name="lc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4" i="2" l="1"/>
  <c r="K144" i="2"/>
  <c r="J144" i="2"/>
  <c r="I144" i="2"/>
  <c r="H144" i="2"/>
  <c r="G144" i="2"/>
  <c r="F144" i="2"/>
  <c r="E144" i="2"/>
  <c r="D144" i="2"/>
  <c r="C144" i="2"/>
  <c r="B144" i="2"/>
  <c r="A144" i="2"/>
  <c r="L143" i="2"/>
  <c r="K143" i="2"/>
  <c r="J143" i="2"/>
  <c r="I143" i="2"/>
  <c r="H143" i="2"/>
  <c r="G143" i="2"/>
  <c r="F143" i="2"/>
  <c r="E143" i="2"/>
  <c r="D143" i="2"/>
  <c r="C143" i="2"/>
  <c r="B143" i="2"/>
  <c r="A143" i="2"/>
  <c r="L142" i="2"/>
  <c r="K142" i="2"/>
  <c r="J142" i="2"/>
  <c r="I142" i="2"/>
  <c r="H142" i="2"/>
  <c r="G142" i="2"/>
  <c r="F142" i="2"/>
  <c r="E142" i="2"/>
  <c r="D142" i="2"/>
  <c r="C142" i="2"/>
  <c r="B142" i="2"/>
  <c r="A142" i="2"/>
  <c r="L141" i="2"/>
  <c r="K141" i="2"/>
  <c r="J141" i="2"/>
  <c r="I141" i="2"/>
  <c r="H141" i="2"/>
  <c r="G141" i="2"/>
  <c r="F141" i="2"/>
  <c r="E141" i="2"/>
  <c r="D141" i="2"/>
  <c r="C141" i="2"/>
  <c r="B141" i="2"/>
  <c r="A141" i="2"/>
  <c r="L140" i="2"/>
  <c r="K140" i="2"/>
  <c r="J140" i="2"/>
  <c r="I140" i="2"/>
  <c r="H140" i="2"/>
  <c r="G140" i="2"/>
  <c r="F140" i="2"/>
  <c r="E140" i="2"/>
  <c r="D140" i="2"/>
  <c r="C140" i="2"/>
  <c r="B140" i="2"/>
  <c r="A140" i="2"/>
  <c r="L139" i="2"/>
  <c r="K139" i="2"/>
  <c r="J139" i="2"/>
  <c r="I139" i="2"/>
  <c r="H139" i="2"/>
  <c r="G139" i="2"/>
  <c r="F139" i="2"/>
  <c r="E139" i="2"/>
  <c r="D139" i="2"/>
  <c r="C139" i="2"/>
  <c r="B139" i="2"/>
  <c r="A139" i="2"/>
  <c r="L138" i="2"/>
  <c r="K138" i="2"/>
  <c r="J138" i="2"/>
  <c r="I138" i="2"/>
  <c r="H138" i="2"/>
  <c r="G138" i="2"/>
  <c r="F138" i="2"/>
  <c r="E138" i="2"/>
  <c r="D138" i="2"/>
  <c r="C138" i="2"/>
  <c r="B138" i="2"/>
  <c r="A138" i="2"/>
  <c r="L137" i="2"/>
  <c r="K137" i="2"/>
  <c r="J137" i="2"/>
  <c r="I137" i="2"/>
  <c r="H137" i="2"/>
  <c r="G137" i="2"/>
  <c r="F137" i="2"/>
  <c r="E137" i="2"/>
  <c r="D137" i="2"/>
  <c r="C137" i="2"/>
  <c r="B137" i="2"/>
  <c r="A137" i="2"/>
  <c r="L136" i="2"/>
  <c r="K136" i="2"/>
  <c r="J136" i="2"/>
  <c r="I136" i="2"/>
  <c r="H136" i="2"/>
  <c r="G136" i="2"/>
  <c r="F136" i="2"/>
  <c r="E136" i="2"/>
  <c r="D136" i="2"/>
  <c r="C136" i="2"/>
  <c r="B136" i="2"/>
  <c r="A136" i="2"/>
  <c r="L135" i="2"/>
  <c r="K135" i="2"/>
  <c r="J135" i="2"/>
  <c r="I135" i="2"/>
  <c r="H135" i="2"/>
  <c r="G135" i="2"/>
  <c r="F135" i="2"/>
  <c r="E135" i="2"/>
  <c r="D135" i="2"/>
  <c r="C135" i="2"/>
  <c r="B135" i="2"/>
  <c r="A135" i="2"/>
  <c r="L134" i="2"/>
  <c r="K134" i="2"/>
  <c r="J134" i="2"/>
  <c r="I134" i="2"/>
  <c r="H134" i="2"/>
  <c r="G134" i="2"/>
  <c r="F134" i="2"/>
  <c r="E134" i="2"/>
  <c r="D134" i="2"/>
  <c r="C134" i="2"/>
  <c r="B134" i="2"/>
  <c r="A134" i="2"/>
  <c r="L133" i="2"/>
  <c r="K133" i="2"/>
  <c r="J133" i="2"/>
  <c r="I133" i="2"/>
  <c r="H133" i="2"/>
  <c r="G133" i="2"/>
  <c r="F133" i="2"/>
  <c r="E133" i="2"/>
  <c r="D133" i="2"/>
  <c r="C133" i="2"/>
  <c r="B133" i="2"/>
  <c r="A133" i="2"/>
  <c r="L132" i="2"/>
  <c r="K132" i="2"/>
  <c r="J132" i="2"/>
  <c r="I132" i="2"/>
  <c r="H132" i="2"/>
  <c r="G132" i="2"/>
  <c r="F132" i="2"/>
  <c r="E132" i="2"/>
  <c r="D132" i="2"/>
  <c r="C132" i="2"/>
  <c r="B132" i="2"/>
  <c r="A132" i="2"/>
  <c r="L131" i="2"/>
  <c r="K131" i="2"/>
  <c r="J131" i="2"/>
  <c r="I131" i="2"/>
  <c r="H131" i="2"/>
  <c r="G131" i="2"/>
  <c r="F131" i="2"/>
  <c r="E131" i="2"/>
  <c r="D131" i="2"/>
  <c r="C131" i="2"/>
  <c r="B131" i="2"/>
  <c r="A131" i="2"/>
  <c r="L130" i="2"/>
  <c r="K130" i="2"/>
  <c r="J130" i="2"/>
  <c r="I130" i="2"/>
  <c r="H130" i="2"/>
  <c r="G130" i="2"/>
  <c r="F130" i="2"/>
  <c r="E130" i="2"/>
  <c r="D130" i="2"/>
  <c r="C130" i="2"/>
  <c r="B130" i="2"/>
  <c r="A130" i="2"/>
  <c r="L129" i="2"/>
  <c r="K129" i="2"/>
  <c r="J129" i="2"/>
  <c r="I129" i="2"/>
  <c r="H129" i="2"/>
  <c r="G129" i="2"/>
  <c r="F129" i="2"/>
  <c r="E129" i="2"/>
  <c r="D129" i="2"/>
  <c r="C129" i="2"/>
  <c r="B129" i="2"/>
  <c r="A129" i="2"/>
  <c r="L128" i="2"/>
  <c r="K128" i="2"/>
  <c r="J128" i="2"/>
  <c r="I128" i="2"/>
  <c r="H128" i="2"/>
  <c r="G128" i="2"/>
  <c r="F128" i="2"/>
  <c r="E128" i="2"/>
  <c r="D128" i="2"/>
  <c r="C128" i="2"/>
  <c r="B128" i="2"/>
  <c r="A128" i="2"/>
  <c r="L127" i="2"/>
  <c r="K127" i="2"/>
  <c r="J127" i="2"/>
  <c r="I127" i="2"/>
  <c r="H127" i="2"/>
  <c r="G127" i="2"/>
  <c r="F127" i="2"/>
  <c r="E127" i="2"/>
  <c r="D127" i="2"/>
  <c r="C127" i="2"/>
  <c r="B127" i="2"/>
  <c r="A127" i="2"/>
  <c r="L126" i="2"/>
  <c r="K126" i="2"/>
  <c r="J126" i="2"/>
  <c r="I126" i="2"/>
  <c r="H126" i="2"/>
  <c r="G126" i="2"/>
  <c r="F126" i="2"/>
  <c r="E126" i="2"/>
  <c r="D126" i="2"/>
  <c r="C126" i="2"/>
  <c r="B126" i="2"/>
  <c r="A126" i="2"/>
  <c r="L125" i="2"/>
  <c r="K125" i="2"/>
  <c r="J125" i="2"/>
  <c r="I125" i="2"/>
  <c r="H125" i="2"/>
  <c r="G125" i="2"/>
  <c r="F125" i="2"/>
  <c r="E125" i="2"/>
  <c r="D125" i="2"/>
  <c r="C125" i="2"/>
  <c r="B125" i="2"/>
  <c r="A125" i="2"/>
  <c r="L124" i="2"/>
  <c r="K124" i="2"/>
  <c r="J124" i="2"/>
  <c r="I124" i="2"/>
  <c r="H124" i="2"/>
  <c r="G124" i="2"/>
  <c r="F124" i="2"/>
  <c r="E124" i="2"/>
  <c r="D124" i="2"/>
  <c r="C124" i="2"/>
  <c r="B124" i="2"/>
  <c r="A124" i="2"/>
  <c r="L123" i="2"/>
  <c r="K123" i="2"/>
  <c r="J123" i="2"/>
  <c r="I123" i="2"/>
  <c r="H123" i="2"/>
  <c r="G123" i="2"/>
  <c r="F123" i="2"/>
  <c r="E123" i="2"/>
  <c r="D123" i="2"/>
  <c r="C123" i="2"/>
  <c r="B123" i="2"/>
  <c r="A123" i="2"/>
  <c r="L122" i="2"/>
  <c r="K122" i="2"/>
  <c r="J122" i="2"/>
  <c r="I122" i="2"/>
  <c r="H122" i="2"/>
  <c r="G122" i="2"/>
  <c r="F122" i="2"/>
  <c r="E122" i="2"/>
  <c r="D122" i="2"/>
  <c r="C122" i="2"/>
  <c r="B122" i="2"/>
  <c r="A122" i="2"/>
  <c r="L121" i="2"/>
  <c r="K121" i="2"/>
  <c r="J121" i="2"/>
  <c r="I121" i="2"/>
  <c r="H121" i="2"/>
  <c r="G121" i="2"/>
  <c r="F121" i="2"/>
  <c r="E121" i="2"/>
  <c r="D121" i="2"/>
  <c r="C121" i="2"/>
  <c r="B121" i="2"/>
  <c r="A121" i="2"/>
  <c r="L120" i="2"/>
  <c r="K120" i="2"/>
  <c r="J120" i="2"/>
  <c r="I120" i="2"/>
  <c r="H120" i="2"/>
  <c r="G120" i="2"/>
  <c r="F120" i="2"/>
  <c r="E120" i="2"/>
  <c r="D120" i="2"/>
  <c r="C120" i="2"/>
  <c r="B120" i="2"/>
  <c r="A120" i="2"/>
  <c r="L119" i="2"/>
  <c r="K119" i="2"/>
  <c r="J119" i="2"/>
  <c r="I119" i="2"/>
  <c r="H119" i="2"/>
  <c r="G119" i="2"/>
  <c r="F119" i="2"/>
  <c r="E119" i="2"/>
  <c r="D119" i="2"/>
  <c r="C119" i="2"/>
  <c r="B119" i="2"/>
  <c r="A119" i="2"/>
  <c r="L118" i="2"/>
  <c r="K118" i="2"/>
  <c r="J118" i="2"/>
  <c r="I118" i="2"/>
  <c r="H118" i="2"/>
  <c r="G118" i="2"/>
  <c r="F118" i="2"/>
  <c r="E118" i="2"/>
  <c r="D118" i="2"/>
  <c r="C118" i="2"/>
  <c r="B118" i="2"/>
  <c r="A118" i="2"/>
  <c r="L117" i="2"/>
  <c r="K117" i="2"/>
  <c r="J117" i="2"/>
  <c r="I117" i="2"/>
  <c r="H117" i="2"/>
  <c r="G117" i="2"/>
  <c r="F117" i="2"/>
  <c r="E117" i="2"/>
  <c r="D117" i="2"/>
  <c r="C117" i="2"/>
  <c r="B117" i="2"/>
  <c r="A117" i="2"/>
  <c r="L116" i="2"/>
  <c r="K116" i="2"/>
  <c r="J116" i="2"/>
  <c r="I116" i="2"/>
  <c r="H116" i="2"/>
  <c r="G116" i="2"/>
  <c r="F116" i="2"/>
  <c r="E116" i="2"/>
  <c r="D116" i="2"/>
  <c r="C116" i="2"/>
  <c r="B116" i="2"/>
  <c r="A116" i="2"/>
  <c r="L115" i="2"/>
  <c r="K115" i="2"/>
  <c r="J115" i="2"/>
  <c r="I115" i="2"/>
  <c r="H115" i="2"/>
  <c r="G115" i="2"/>
  <c r="F115" i="2"/>
  <c r="E115" i="2"/>
  <c r="D115" i="2"/>
  <c r="C115" i="2"/>
  <c r="B115" i="2"/>
  <c r="A115" i="2"/>
  <c r="L114" i="2"/>
  <c r="K114" i="2"/>
  <c r="J114" i="2"/>
  <c r="I114" i="2"/>
  <c r="H114" i="2"/>
  <c r="G114" i="2"/>
  <c r="F114" i="2"/>
  <c r="E114" i="2"/>
  <c r="D114" i="2"/>
  <c r="C114" i="2"/>
  <c r="B114" i="2"/>
  <c r="A114" i="2"/>
  <c r="L113" i="2"/>
  <c r="K113" i="2"/>
  <c r="J113" i="2"/>
  <c r="I113" i="2"/>
  <c r="H113" i="2"/>
  <c r="G113" i="2"/>
  <c r="F113" i="2"/>
  <c r="E113" i="2"/>
  <c r="D113" i="2"/>
  <c r="C113" i="2"/>
  <c r="B113" i="2"/>
  <c r="A113" i="2"/>
  <c r="L112" i="2"/>
  <c r="K112" i="2"/>
  <c r="J112" i="2"/>
  <c r="I112" i="2"/>
  <c r="H112" i="2"/>
  <c r="G112" i="2"/>
  <c r="F112" i="2"/>
  <c r="E112" i="2"/>
  <c r="D112" i="2"/>
  <c r="C112" i="2"/>
  <c r="B112" i="2"/>
  <c r="A112" i="2"/>
  <c r="L111" i="2"/>
  <c r="K111" i="2"/>
  <c r="J111" i="2"/>
  <c r="I111" i="2"/>
  <c r="H111" i="2"/>
  <c r="G111" i="2"/>
  <c r="F111" i="2"/>
  <c r="E111" i="2"/>
  <c r="D111" i="2"/>
  <c r="C111" i="2"/>
  <c r="B111" i="2"/>
  <c r="A111" i="2"/>
  <c r="L110" i="2"/>
  <c r="K110" i="2"/>
  <c r="J110" i="2"/>
  <c r="I110" i="2"/>
  <c r="H110" i="2"/>
  <c r="G110" i="2"/>
  <c r="F110" i="2"/>
  <c r="E110" i="2"/>
  <c r="D110" i="2"/>
  <c r="C110" i="2"/>
  <c r="B110" i="2"/>
  <c r="A110" i="2"/>
  <c r="L109" i="2"/>
  <c r="K109" i="2"/>
  <c r="J109" i="2"/>
  <c r="I109" i="2"/>
  <c r="H109" i="2"/>
  <c r="G109" i="2"/>
  <c r="F109" i="2"/>
  <c r="E109" i="2"/>
  <c r="D109" i="2"/>
  <c r="C109" i="2"/>
  <c r="B109" i="2"/>
  <c r="A109" i="2"/>
  <c r="L108" i="2"/>
  <c r="K108" i="2"/>
  <c r="J108" i="2"/>
  <c r="I108" i="2"/>
  <c r="H108" i="2"/>
  <c r="G108" i="2"/>
  <c r="F108" i="2"/>
  <c r="E108" i="2"/>
  <c r="D108" i="2"/>
  <c r="C108" i="2"/>
  <c r="B108" i="2"/>
  <c r="A108" i="2"/>
  <c r="L107" i="2"/>
  <c r="K107" i="2"/>
  <c r="J107" i="2"/>
  <c r="I107" i="2"/>
  <c r="H107" i="2"/>
  <c r="G107" i="2"/>
  <c r="F107" i="2"/>
  <c r="E107" i="2"/>
  <c r="D107" i="2"/>
  <c r="C107" i="2"/>
  <c r="B107" i="2"/>
  <c r="A107" i="2"/>
  <c r="L106" i="2"/>
  <c r="K106" i="2"/>
  <c r="J106" i="2"/>
  <c r="I106" i="2"/>
  <c r="H106" i="2"/>
  <c r="G106" i="2"/>
  <c r="F106" i="2"/>
  <c r="E106" i="2"/>
  <c r="D106" i="2"/>
  <c r="C106" i="2"/>
  <c r="B106" i="2"/>
  <c r="A106" i="2"/>
  <c r="L105" i="2"/>
  <c r="K105" i="2"/>
  <c r="J105" i="2"/>
  <c r="I105" i="2"/>
  <c r="H105" i="2"/>
  <c r="G105" i="2"/>
  <c r="F105" i="2"/>
  <c r="E105" i="2"/>
  <c r="D105" i="2"/>
  <c r="C105" i="2"/>
  <c r="B105" i="2"/>
  <c r="A105" i="2"/>
  <c r="L104" i="2"/>
  <c r="K104" i="2"/>
  <c r="J104" i="2"/>
  <c r="I104" i="2"/>
  <c r="H104" i="2"/>
  <c r="G104" i="2"/>
  <c r="F104" i="2"/>
  <c r="E104" i="2"/>
  <c r="D104" i="2"/>
  <c r="C104" i="2"/>
  <c r="B104" i="2"/>
  <c r="A104" i="2"/>
  <c r="L103" i="2"/>
  <c r="K103" i="2"/>
  <c r="J103" i="2"/>
  <c r="I103" i="2"/>
  <c r="H103" i="2"/>
  <c r="G103" i="2"/>
  <c r="F103" i="2"/>
  <c r="E103" i="2"/>
  <c r="D103" i="2"/>
  <c r="C103" i="2"/>
  <c r="B103" i="2"/>
  <c r="A103" i="2"/>
  <c r="L102" i="2"/>
  <c r="K102" i="2"/>
  <c r="J102" i="2"/>
  <c r="I102" i="2"/>
  <c r="H102" i="2"/>
  <c r="G102" i="2"/>
  <c r="F102" i="2"/>
  <c r="E102" i="2"/>
  <c r="D102" i="2"/>
  <c r="C102" i="2"/>
  <c r="B102" i="2"/>
  <c r="A102" i="2"/>
  <c r="L101" i="2"/>
  <c r="K101" i="2"/>
  <c r="J101" i="2"/>
  <c r="I101" i="2"/>
  <c r="H101" i="2"/>
  <c r="G101" i="2"/>
  <c r="F101" i="2"/>
  <c r="E101" i="2"/>
  <c r="D101" i="2"/>
  <c r="C101" i="2"/>
  <c r="B101" i="2"/>
  <c r="A101" i="2"/>
  <c r="L100" i="2"/>
  <c r="K100" i="2"/>
  <c r="J100" i="2"/>
  <c r="I100" i="2"/>
  <c r="H100" i="2"/>
  <c r="G100" i="2"/>
  <c r="F100" i="2"/>
  <c r="E100" i="2"/>
  <c r="D100" i="2"/>
  <c r="C100" i="2"/>
  <c r="B100" i="2"/>
  <c r="A100" i="2"/>
  <c r="L99" i="2"/>
  <c r="K99" i="2"/>
  <c r="J99" i="2"/>
  <c r="I99" i="2"/>
  <c r="H99" i="2"/>
  <c r="G99" i="2"/>
  <c r="F99" i="2"/>
  <c r="E99" i="2"/>
  <c r="D99" i="2"/>
  <c r="C99" i="2"/>
  <c r="B99" i="2"/>
  <c r="A99" i="2"/>
  <c r="L98" i="2"/>
  <c r="K98" i="2"/>
  <c r="J98" i="2"/>
  <c r="I98" i="2"/>
  <c r="H98" i="2"/>
  <c r="G98" i="2"/>
  <c r="F98" i="2"/>
  <c r="E98" i="2"/>
  <c r="D98" i="2"/>
  <c r="C98" i="2"/>
  <c r="B98" i="2"/>
  <c r="A98" i="2"/>
  <c r="L97" i="2"/>
  <c r="K97" i="2"/>
  <c r="J97" i="2"/>
  <c r="I97" i="2"/>
  <c r="H97" i="2"/>
  <c r="G97" i="2"/>
  <c r="F97" i="2"/>
  <c r="E97" i="2"/>
  <c r="D97" i="2"/>
  <c r="C97" i="2"/>
  <c r="B97" i="2"/>
  <c r="A97" i="2"/>
  <c r="L96" i="2"/>
  <c r="K96" i="2"/>
  <c r="J96" i="2"/>
  <c r="I96" i="2"/>
  <c r="H96" i="2"/>
  <c r="G96" i="2"/>
  <c r="F96" i="2"/>
  <c r="E96" i="2"/>
  <c r="D96" i="2"/>
  <c r="C96" i="2"/>
  <c r="B96" i="2"/>
  <c r="A96" i="2"/>
  <c r="L95" i="2"/>
  <c r="K95" i="2"/>
  <c r="J95" i="2"/>
  <c r="I95" i="2"/>
  <c r="H95" i="2"/>
  <c r="G95" i="2"/>
  <c r="F95" i="2"/>
  <c r="E95" i="2"/>
  <c r="D95" i="2"/>
  <c r="C95" i="2"/>
  <c r="B95" i="2"/>
  <c r="A95" i="2"/>
  <c r="L94" i="2"/>
  <c r="K94" i="2"/>
  <c r="J94" i="2"/>
  <c r="I94" i="2"/>
  <c r="H94" i="2"/>
  <c r="G94" i="2"/>
  <c r="F94" i="2"/>
  <c r="E94" i="2"/>
  <c r="D94" i="2"/>
  <c r="C94" i="2"/>
  <c r="B94" i="2"/>
  <c r="A94" i="2"/>
  <c r="L93" i="2"/>
  <c r="K93" i="2"/>
  <c r="J93" i="2"/>
  <c r="I93" i="2"/>
  <c r="H93" i="2"/>
  <c r="G93" i="2"/>
  <c r="F93" i="2"/>
  <c r="E93" i="2"/>
  <c r="D93" i="2"/>
  <c r="C93" i="2"/>
  <c r="B93" i="2"/>
  <c r="A93" i="2"/>
  <c r="L92" i="2"/>
  <c r="K92" i="2"/>
  <c r="J92" i="2"/>
  <c r="I92" i="2"/>
  <c r="H92" i="2"/>
  <c r="G92" i="2"/>
  <c r="F92" i="2"/>
  <c r="E92" i="2"/>
  <c r="D92" i="2"/>
  <c r="C92" i="2"/>
  <c r="B92" i="2"/>
  <c r="A92" i="2"/>
  <c r="L91" i="2"/>
  <c r="K91" i="2"/>
  <c r="J91" i="2"/>
  <c r="I91" i="2"/>
  <c r="H91" i="2"/>
  <c r="G91" i="2"/>
  <c r="F91" i="2"/>
  <c r="E91" i="2"/>
  <c r="D91" i="2"/>
  <c r="C91" i="2"/>
  <c r="B91" i="2"/>
  <c r="A91" i="2"/>
  <c r="L90" i="2"/>
  <c r="K90" i="2"/>
  <c r="J90" i="2"/>
  <c r="I90" i="2"/>
  <c r="H90" i="2"/>
  <c r="G90" i="2"/>
  <c r="F90" i="2"/>
  <c r="E90" i="2"/>
  <c r="D90" i="2"/>
  <c r="C90" i="2"/>
  <c r="B90" i="2"/>
  <c r="A90" i="2"/>
  <c r="L89" i="2"/>
  <c r="K89" i="2"/>
  <c r="J89" i="2"/>
  <c r="I89" i="2"/>
  <c r="H89" i="2"/>
  <c r="G89" i="2"/>
  <c r="F89" i="2"/>
  <c r="E89" i="2"/>
  <c r="D89" i="2"/>
  <c r="C89" i="2"/>
  <c r="B89" i="2"/>
  <c r="A89" i="2"/>
  <c r="L88" i="2"/>
  <c r="K88" i="2"/>
  <c r="J88" i="2"/>
  <c r="I88" i="2"/>
  <c r="H88" i="2"/>
  <c r="G88" i="2"/>
  <c r="F88" i="2"/>
  <c r="E88" i="2"/>
  <c r="D88" i="2"/>
  <c r="C88" i="2"/>
  <c r="B88" i="2"/>
  <c r="A88" i="2"/>
  <c r="L87" i="2"/>
  <c r="K87" i="2"/>
  <c r="J87" i="2"/>
  <c r="I87" i="2"/>
  <c r="H87" i="2"/>
  <c r="G87" i="2"/>
  <c r="F87" i="2"/>
  <c r="E87" i="2"/>
  <c r="D87" i="2"/>
  <c r="C87" i="2"/>
  <c r="B87" i="2"/>
  <c r="A87" i="2"/>
  <c r="L86" i="2"/>
  <c r="K86" i="2"/>
  <c r="J86" i="2"/>
  <c r="I86" i="2"/>
  <c r="H86" i="2"/>
  <c r="G86" i="2"/>
  <c r="F86" i="2"/>
  <c r="E86" i="2"/>
  <c r="D86" i="2"/>
  <c r="C86" i="2"/>
  <c r="B86" i="2"/>
  <c r="A86" i="2"/>
  <c r="L85" i="2"/>
  <c r="K85" i="2"/>
  <c r="J85" i="2"/>
  <c r="I85" i="2"/>
  <c r="H85" i="2"/>
  <c r="G85" i="2"/>
  <c r="F85" i="2"/>
  <c r="E85" i="2"/>
  <c r="D85" i="2"/>
  <c r="C85" i="2"/>
  <c r="B85" i="2"/>
  <c r="A85" i="2"/>
  <c r="L84" i="2"/>
  <c r="K84" i="2"/>
  <c r="J84" i="2"/>
  <c r="I84" i="2"/>
  <c r="H84" i="2"/>
  <c r="G84" i="2"/>
  <c r="F84" i="2"/>
  <c r="E84" i="2"/>
  <c r="D84" i="2"/>
  <c r="C84" i="2"/>
  <c r="B84" i="2"/>
  <c r="A84" i="2"/>
  <c r="L83" i="2"/>
  <c r="K83" i="2"/>
  <c r="J83" i="2"/>
  <c r="I83" i="2"/>
  <c r="H83" i="2"/>
  <c r="G83" i="2"/>
  <c r="F83" i="2"/>
  <c r="E83" i="2"/>
  <c r="D83" i="2"/>
  <c r="C83" i="2"/>
  <c r="B83" i="2"/>
  <c r="A83" i="2"/>
  <c r="L82" i="2"/>
  <c r="K82" i="2"/>
  <c r="J82" i="2"/>
  <c r="I82" i="2"/>
  <c r="H82" i="2"/>
  <c r="G82" i="2"/>
  <c r="F82" i="2"/>
  <c r="E82" i="2"/>
  <c r="D82" i="2"/>
  <c r="C82" i="2"/>
  <c r="B82" i="2"/>
  <c r="A82" i="2"/>
  <c r="L81" i="2"/>
  <c r="K81" i="2"/>
  <c r="J81" i="2"/>
  <c r="I81" i="2"/>
  <c r="H81" i="2"/>
  <c r="G81" i="2"/>
  <c r="F81" i="2"/>
  <c r="E81" i="2"/>
  <c r="D81" i="2"/>
  <c r="C81" i="2"/>
  <c r="B81" i="2"/>
  <c r="A81" i="2"/>
  <c r="L80" i="2"/>
  <c r="K80" i="2"/>
  <c r="J80" i="2"/>
  <c r="I80" i="2"/>
  <c r="H80" i="2"/>
  <c r="G80" i="2"/>
  <c r="F80" i="2"/>
  <c r="E80" i="2"/>
  <c r="D80" i="2"/>
  <c r="C80" i="2"/>
  <c r="B80" i="2"/>
  <c r="A80" i="2"/>
  <c r="L79" i="2"/>
  <c r="K79" i="2"/>
  <c r="J79" i="2"/>
  <c r="I79" i="2"/>
  <c r="H79" i="2"/>
  <c r="G79" i="2"/>
  <c r="F79" i="2"/>
  <c r="E79" i="2"/>
  <c r="D79" i="2"/>
  <c r="C79" i="2"/>
  <c r="B79" i="2"/>
  <c r="A79" i="2"/>
  <c r="L78" i="2"/>
  <c r="K78" i="2"/>
  <c r="J78" i="2"/>
  <c r="I78" i="2"/>
  <c r="H78" i="2"/>
  <c r="G78" i="2"/>
  <c r="F78" i="2"/>
  <c r="E78" i="2"/>
  <c r="D78" i="2"/>
  <c r="C78" i="2"/>
  <c r="B78" i="2"/>
  <c r="A78" i="2"/>
  <c r="L77" i="2"/>
  <c r="K77" i="2"/>
  <c r="J77" i="2"/>
  <c r="I77" i="2"/>
  <c r="H77" i="2"/>
  <c r="G77" i="2"/>
  <c r="F77" i="2"/>
  <c r="E77" i="2"/>
  <c r="D77" i="2"/>
  <c r="C77" i="2"/>
  <c r="B77" i="2"/>
  <c r="A77" i="2"/>
  <c r="L76" i="2"/>
  <c r="K76" i="2"/>
  <c r="J76" i="2"/>
  <c r="I76" i="2"/>
  <c r="H76" i="2"/>
  <c r="G76" i="2"/>
  <c r="F76" i="2"/>
  <c r="E76" i="2"/>
  <c r="D76" i="2"/>
  <c r="C76" i="2"/>
  <c r="B76" i="2"/>
  <c r="A76" i="2"/>
  <c r="L75" i="2"/>
  <c r="K75" i="2"/>
  <c r="J75" i="2"/>
  <c r="I75" i="2"/>
  <c r="H75" i="2"/>
  <c r="G75" i="2"/>
  <c r="F75" i="2"/>
  <c r="E75" i="2"/>
  <c r="D75" i="2"/>
  <c r="C75" i="2"/>
  <c r="B75" i="2"/>
  <c r="A75" i="2"/>
  <c r="L74" i="2"/>
  <c r="K74" i="2"/>
  <c r="J74" i="2"/>
  <c r="I74" i="2"/>
  <c r="H74" i="2"/>
  <c r="G74" i="2"/>
  <c r="F74" i="2"/>
  <c r="E74" i="2"/>
  <c r="D74" i="2"/>
  <c r="C74" i="2"/>
  <c r="B74" i="2"/>
  <c r="A74" i="2"/>
  <c r="L73" i="2"/>
  <c r="K73" i="2"/>
  <c r="J73" i="2"/>
  <c r="I73" i="2"/>
  <c r="H73" i="2"/>
  <c r="G73" i="2"/>
  <c r="F73" i="2"/>
  <c r="E73" i="2"/>
  <c r="D73" i="2"/>
  <c r="C73" i="2"/>
  <c r="B73" i="2"/>
  <c r="A73" i="2"/>
  <c r="L72" i="2"/>
  <c r="K72" i="2"/>
  <c r="J72" i="2"/>
  <c r="I72" i="2"/>
  <c r="H72" i="2"/>
  <c r="G72" i="2"/>
  <c r="F72" i="2"/>
  <c r="E72" i="2"/>
  <c r="D72" i="2"/>
  <c r="C72" i="2"/>
  <c r="B72" i="2"/>
  <c r="A72" i="2"/>
  <c r="L71" i="2"/>
  <c r="K71" i="2"/>
  <c r="J71" i="2"/>
  <c r="I71" i="2"/>
  <c r="H71" i="2"/>
  <c r="G71" i="2"/>
  <c r="F71" i="2"/>
  <c r="E71" i="2"/>
  <c r="D71" i="2"/>
  <c r="C71" i="2"/>
  <c r="B71" i="2"/>
  <c r="A71" i="2"/>
  <c r="L70" i="2"/>
  <c r="K70" i="2"/>
  <c r="J70" i="2"/>
  <c r="I70" i="2"/>
  <c r="H70" i="2"/>
  <c r="G70" i="2"/>
  <c r="F70" i="2"/>
  <c r="E70" i="2"/>
  <c r="D70" i="2"/>
  <c r="C70" i="2"/>
  <c r="B70" i="2"/>
  <c r="A70" i="2"/>
  <c r="L69" i="2"/>
  <c r="K69" i="2"/>
  <c r="J69" i="2"/>
  <c r="I69" i="2"/>
  <c r="H69" i="2"/>
  <c r="G69" i="2"/>
  <c r="F69" i="2"/>
  <c r="E69" i="2"/>
  <c r="D69" i="2"/>
  <c r="C69" i="2"/>
  <c r="B69" i="2"/>
  <c r="A69" i="2"/>
  <c r="L68" i="2"/>
  <c r="K68" i="2"/>
  <c r="J68" i="2"/>
  <c r="I68" i="2"/>
  <c r="H68" i="2"/>
  <c r="G68" i="2"/>
  <c r="F68" i="2"/>
  <c r="E68" i="2"/>
  <c r="D68" i="2"/>
  <c r="C68" i="2"/>
  <c r="B68" i="2"/>
  <c r="A68" i="2"/>
  <c r="L67" i="2"/>
  <c r="K67" i="2"/>
  <c r="J67" i="2"/>
  <c r="I67" i="2"/>
  <c r="H67" i="2"/>
  <c r="G67" i="2"/>
  <c r="F67" i="2"/>
  <c r="E67" i="2"/>
  <c r="D67" i="2"/>
  <c r="C67" i="2"/>
  <c r="B67" i="2"/>
  <c r="A67" i="2"/>
  <c r="L66" i="2"/>
  <c r="K66" i="2"/>
  <c r="J66" i="2"/>
  <c r="I66" i="2"/>
  <c r="H66" i="2"/>
  <c r="G66" i="2"/>
  <c r="F66" i="2"/>
  <c r="E66" i="2"/>
  <c r="D66" i="2"/>
  <c r="C66" i="2"/>
  <c r="B66" i="2"/>
  <c r="A66" i="2"/>
  <c r="J65" i="2"/>
  <c r="J64" i="2"/>
  <c r="J63" i="2"/>
  <c r="C63" i="2"/>
  <c r="J62" i="2"/>
  <c r="J61" i="2"/>
  <c r="B61" i="2"/>
  <c r="J60" i="2"/>
  <c r="H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C47" i="2"/>
  <c r="B47" i="2"/>
  <c r="A47" i="2"/>
  <c r="J46" i="2"/>
  <c r="J45" i="2"/>
  <c r="B45" i="2"/>
  <c r="J44" i="2"/>
  <c r="J43" i="2"/>
  <c r="J42" i="2"/>
  <c r="E42" i="2"/>
  <c r="J41" i="2"/>
  <c r="J40" i="2"/>
  <c r="J39" i="2"/>
  <c r="J38" i="2"/>
  <c r="J37" i="2"/>
  <c r="J36" i="2"/>
  <c r="D36" i="2"/>
  <c r="J35" i="2"/>
  <c r="J34" i="2"/>
  <c r="J33" i="2"/>
  <c r="J32" i="2"/>
  <c r="J31" i="2"/>
  <c r="C31" i="2"/>
  <c r="J30" i="2"/>
  <c r="G30" i="2"/>
  <c r="J29" i="2"/>
  <c r="J28" i="2"/>
  <c r="J27" i="2"/>
  <c r="J26" i="2"/>
  <c r="J25" i="2"/>
  <c r="G25" i="2"/>
  <c r="J24" i="2"/>
  <c r="J23" i="2"/>
  <c r="J22" i="2"/>
  <c r="J21" i="2"/>
  <c r="J20" i="2"/>
  <c r="F20" i="2"/>
  <c r="E20" i="2"/>
  <c r="J19" i="2"/>
  <c r="J18" i="2"/>
  <c r="J17" i="2"/>
  <c r="D17" i="2"/>
  <c r="J16" i="2"/>
  <c r="J15" i="2"/>
  <c r="J14" i="2"/>
  <c r="J13" i="2"/>
  <c r="J12" i="2"/>
  <c r="J11" i="2"/>
  <c r="J10" i="2"/>
  <c r="J9" i="2"/>
  <c r="J8" i="2"/>
  <c r="H8" i="2"/>
  <c r="J7" i="2"/>
  <c r="J6" i="2"/>
  <c r="J5" i="2"/>
  <c r="E5" i="2"/>
  <c r="J4" i="2"/>
  <c r="H4" i="2"/>
  <c r="J3" i="2"/>
  <c r="E3" i="2"/>
  <c r="C3" i="2"/>
  <c r="BA66" i="1"/>
  <c r="AZ66" i="1"/>
  <c r="AY66" i="1"/>
  <c r="AV66" i="1"/>
  <c r="AT66" i="1"/>
  <c r="AR66" i="1"/>
  <c r="BB66" i="1" s="1"/>
  <c r="AM66" i="1"/>
  <c r="AO66" i="1" s="1"/>
  <c r="Z66" i="1" s="1"/>
  <c r="AI66" i="1"/>
  <c r="I65" i="2" s="1"/>
  <c r="AH66" i="1"/>
  <c r="H65" i="2" s="1"/>
  <c r="AG66" i="1"/>
  <c r="G65" i="2" s="1"/>
  <c r="AF66" i="1"/>
  <c r="F65" i="2" s="1"/>
  <c r="AE66" i="1"/>
  <c r="E65" i="2" s="1"/>
  <c r="AD66" i="1"/>
  <c r="D65" i="2" s="1"/>
  <c r="AC66" i="1"/>
  <c r="C65" i="2" s="1"/>
  <c r="AB66" i="1"/>
  <c r="B65" i="2" s="1"/>
  <c r="X66" i="1"/>
  <c r="W66" i="1"/>
  <c r="A65" i="2" s="1"/>
  <c r="BB65" i="1"/>
  <c r="BA65" i="1"/>
  <c r="AZ65" i="1"/>
  <c r="AY65" i="1"/>
  <c r="AV65" i="1"/>
  <c r="AT65" i="1"/>
  <c r="AR65" i="1"/>
  <c r="AQ65" i="1"/>
  <c r="AX65" i="1" s="1"/>
  <c r="BD65" i="1" s="1"/>
  <c r="AJ65" i="1"/>
  <c r="AL65" i="1" s="1"/>
  <c r="AI65" i="1"/>
  <c r="I64" i="2" s="1"/>
  <c r="AH65" i="1"/>
  <c r="H64" i="2" s="1"/>
  <c r="AG65" i="1"/>
  <c r="G64" i="2" s="1"/>
  <c r="AF65" i="1"/>
  <c r="F64" i="2" s="1"/>
  <c r="AE65" i="1"/>
  <c r="E64" i="2" s="1"/>
  <c r="AD65" i="1"/>
  <c r="D64" i="2" s="1"/>
  <c r="AC65" i="1"/>
  <c r="C64" i="2" s="1"/>
  <c r="AB65" i="1"/>
  <c r="B64" i="2" s="1"/>
  <c r="X65" i="1"/>
  <c r="W65" i="1"/>
  <c r="A64" i="2" s="1"/>
  <c r="BA64" i="1"/>
  <c r="AZ64" i="1"/>
  <c r="AX64" i="1"/>
  <c r="BD64" i="1" s="1"/>
  <c r="AV64" i="1"/>
  <c r="AT64" i="1"/>
  <c r="AY64" i="1" s="1"/>
  <c r="AR64" i="1"/>
  <c r="BB64" i="1" s="1"/>
  <c r="AQ64" i="1"/>
  <c r="AI64" i="1"/>
  <c r="I63" i="2" s="1"/>
  <c r="AH64" i="1"/>
  <c r="H63" i="2" s="1"/>
  <c r="AG64" i="1"/>
  <c r="G63" i="2" s="1"/>
  <c r="AF64" i="1"/>
  <c r="F63" i="2" s="1"/>
  <c r="AE64" i="1"/>
  <c r="E63" i="2" s="1"/>
  <c r="AD64" i="1"/>
  <c r="D63" i="2" s="1"/>
  <c r="AC64" i="1"/>
  <c r="AB64" i="1"/>
  <c r="B63" i="2" s="1"/>
  <c r="X64" i="1"/>
  <c r="W64" i="1"/>
  <c r="A63" i="2" s="1"/>
  <c r="BB63" i="1"/>
  <c r="BA63" i="1"/>
  <c r="AZ63" i="1"/>
  <c r="AV63" i="1"/>
  <c r="AT63" i="1"/>
  <c r="AY63" i="1" s="1"/>
  <c r="AR63" i="1"/>
  <c r="AI63" i="1"/>
  <c r="I62" i="2" s="1"/>
  <c r="AH63" i="1"/>
  <c r="H62" i="2" s="1"/>
  <c r="AG63" i="1"/>
  <c r="G62" i="2" s="1"/>
  <c r="AF63" i="1"/>
  <c r="F62" i="2" s="1"/>
  <c r="AE63" i="1"/>
  <c r="E62" i="2" s="1"/>
  <c r="AD63" i="1"/>
  <c r="D62" i="2" s="1"/>
  <c r="AC63" i="1"/>
  <c r="C62" i="2" s="1"/>
  <c r="AB63" i="1"/>
  <c r="B62" i="2" s="1"/>
  <c r="X63" i="1"/>
  <c r="W63" i="1"/>
  <c r="A62" i="2" s="1"/>
  <c r="BA62" i="1"/>
  <c r="AZ62" i="1"/>
  <c r="AV62" i="1"/>
  <c r="AT62" i="1"/>
  <c r="AY62" i="1" s="1"/>
  <c r="AR62" i="1"/>
  <c r="BB62" i="1" s="1"/>
  <c r="AQ62" i="1"/>
  <c r="AX62" i="1" s="1"/>
  <c r="AI62" i="1"/>
  <c r="I61" i="2" s="1"/>
  <c r="AH62" i="1"/>
  <c r="H61" i="2" s="1"/>
  <c r="AG62" i="1"/>
  <c r="G61" i="2" s="1"/>
  <c r="AF62" i="1"/>
  <c r="F61" i="2" s="1"/>
  <c r="AE62" i="1"/>
  <c r="E61" i="2" s="1"/>
  <c r="AD62" i="1"/>
  <c r="D61" i="2" s="1"/>
  <c r="AC62" i="1"/>
  <c r="C61" i="2" s="1"/>
  <c r="AB62" i="1"/>
  <c r="X62" i="1"/>
  <c r="W62" i="1"/>
  <c r="A61" i="2" s="1"/>
  <c r="BA61" i="1"/>
  <c r="AZ61" i="1"/>
  <c r="AV61" i="1"/>
  <c r="AT61" i="1"/>
  <c r="AY61" i="1" s="1"/>
  <c r="AR61" i="1"/>
  <c r="BB61" i="1" s="1"/>
  <c r="AI61" i="1"/>
  <c r="I60" i="2" s="1"/>
  <c r="AH61" i="1"/>
  <c r="AG61" i="1"/>
  <c r="G60" i="2" s="1"/>
  <c r="AF61" i="1"/>
  <c r="F60" i="2" s="1"/>
  <c r="AE61" i="1"/>
  <c r="E60" i="2" s="1"/>
  <c r="AD61" i="1"/>
  <c r="D60" i="2" s="1"/>
  <c r="AC61" i="1"/>
  <c r="C60" i="2" s="1"/>
  <c r="AB61" i="1"/>
  <c r="B60" i="2" s="1"/>
  <c r="X61" i="1"/>
  <c r="W61" i="1"/>
  <c r="A60" i="2" s="1"/>
  <c r="BB60" i="1"/>
  <c r="BA60" i="1"/>
  <c r="AZ60" i="1"/>
  <c r="AV60" i="1"/>
  <c r="AT60" i="1"/>
  <c r="AY60" i="1" s="1"/>
  <c r="AR60" i="1"/>
  <c r="AI60" i="1"/>
  <c r="I59" i="2" s="1"/>
  <c r="AH60" i="1"/>
  <c r="H59" i="2" s="1"/>
  <c r="AG60" i="1"/>
  <c r="G59" i="2" s="1"/>
  <c r="AF60" i="1"/>
  <c r="F59" i="2" s="1"/>
  <c r="AE60" i="1"/>
  <c r="E59" i="2" s="1"/>
  <c r="AD60" i="1"/>
  <c r="D59" i="2" s="1"/>
  <c r="AC60" i="1"/>
  <c r="C59" i="2" s="1"/>
  <c r="AB60" i="1"/>
  <c r="B59" i="2" s="1"/>
  <c r="X60" i="1"/>
  <c r="W60" i="1"/>
  <c r="A59" i="2" s="1"/>
  <c r="BB59" i="1"/>
  <c r="BA59" i="1"/>
  <c r="AZ59" i="1"/>
  <c r="AV59" i="1"/>
  <c r="AT59" i="1"/>
  <c r="AY59" i="1" s="1"/>
  <c r="AR59" i="1"/>
  <c r="AI59" i="1"/>
  <c r="I58" i="2" s="1"/>
  <c r="AH59" i="1"/>
  <c r="H58" i="2" s="1"/>
  <c r="AG59" i="1"/>
  <c r="G58" i="2" s="1"/>
  <c r="AF59" i="1"/>
  <c r="F58" i="2" s="1"/>
  <c r="AE59" i="1"/>
  <c r="E58" i="2" s="1"/>
  <c r="AD59" i="1"/>
  <c r="D58" i="2" s="1"/>
  <c r="AC59" i="1"/>
  <c r="C58" i="2" s="1"/>
  <c r="AB59" i="1"/>
  <c r="B58" i="2" s="1"/>
  <c r="X59" i="1"/>
  <c r="W59" i="1"/>
  <c r="A58" i="2" s="1"/>
  <c r="BB58" i="1"/>
  <c r="BA58" i="1"/>
  <c r="AZ58" i="1"/>
  <c r="AJ58" i="1" s="1"/>
  <c r="AL58" i="1" s="1"/>
  <c r="AY58" i="1"/>
  <c r="AV58" i="1"/>
  <c r="AT58" i="1"/>
  <c r="AR58" i="1"/>
  <c r="AQ58" i="1"/>
  <c r="AX58" i="1" s="1"/>
  <c r="BD58" i="1" s="1"/>
  <c r="AM58" i="1"/>
  <c r="AO58" i="1" s="1"/>
  <c r="Z58" i="1" s="1"/>
  <c r="AI58" i="1"/>
  <c r="I57" i="2" s="1"/>
  <c r="AH58" i="1"/>
  <c r="H57" i="2" s="1"/>
  <c r="AG58" i="1"/>
  <c r="G57" i="2" s="1"/>
  <c r="AF58" i="1"/>
  <c r="F57" i="2" s="1"/>
  <c r="AE58" i="1"/>
  <c r="E57" i="2" s="1"/>
  <c r="AD58" i="1"/>
  <c r="D57" i="2" s="1"/>
  <c r="AC58" i="1"/>
  <c r="C57" i="2" s="1"/>
  <c r="AB58" i="1"/>
  <c r="B57" i="2" s="1"/>
  <c r="X58" i="1"/>
  <c r="W58" i="1"/>
  <c r="A57" i="2" s="1"/>
  <c r="BB57" i="1"/>
  <c r="BA57" i="1"/>
  <c r="AZ57" i="1"/>
  <c r="AY57" i="1"/>
  <c r="AV57" i="1"/>
  <c r="AT57" i="1"/>
  <c r="AR57" i="1"/>
  <c r="AQ57" i="1"/>
  <c r="AX57" i="1" s="1"/>
  <c r="BD57" i="1" s="1"/>
  <c r="AM57" i="1"/>
  <c r="AO57" i="1" s="1"/>
  <c r="Z57" i="1" s="1"/>
  <c r="AI57" i="1"/>
  <c r="I56" i="2" s="1"/>
  <c r="AH57" i="1"/>
  <c r="H56" i="2" s="1"/>
  <c r="AG57" i="1"/>
  <c r="G56" i="2" s="1"/>
  <c r="AF57" i="1"/>
  <c r="F56" i="2" s="1"/>
  <c r="AE57" i="1"/>
  <c r="E56" i="2" s="1"/>
  <c r="AD57" i="1"/>
  <c r="D56" i="2" s="1"/>
  <c r="AC57" i="1"/>
  <c r="C56" i="2" s="1"/>
  <c r="AB57" i="1"/>
  <c r="B56" i="2" s="1"/>
  <c r="X57" i="1"/>
  <c r="W57" i="1"/>
  <c r="A56" i="2" s="1"/>
  <c r="BB56" i="1"/>
  <c r="BA56" i="1"/>
  <c r="AZ56" i="1"/>
  <c r="AV56" i="1"/>
  <c r="BD56" i="1" s="1"/>
  <c r="AT56" i="1"/>
  <c r="AY56" i="1" s="1"/>
  <c r="AR56" i="1"/>
  <c r="AQ56" i="1"/>
  <c r="AX56" i="1" s="1"/>
  <c r="AI56" i="1"/>
  <c r="I55" i="2" s="1"/>
  <c r="AH56" i="1"/>
  <c r="H55" i="2" s="1"/>
  <c r="AG56" i="1"/>
  <c r="G55" i="2" s="1"/>
  <c r="AF56" i="1"/>
  <c r="F55" i="2" s="1"/>
  <c r="AE56" i="1"/>
  <c r="E55" i="2" s="1"/>
  <c r="AD56" i="1"/>
  <c r="D55" i="2" s="1"/>
  <c r="AC56" i="1"/>
  <c r="C55" i="2" s="1"/>
  <c r="AB56" i="1"/>
  <c r="B55" i="2" s="1"/>
  <c r="X56" i="1"/>
  <c r="W56" i="1"/>
  <c r="A55" i="2" s="1"/>
  <c r="BA55" i="1"/>
  <c r="AZ55" i="1"/>
  <c r="AV55" i="1"/>
  <c r="AT55" i="1"/>
  <c r="AY55" i="1" s="1"/>
  <c r="AR55" i="1"/>
  <c r="BB55" i="1" s="1"/>
  <c r="AI55" i="1"/>
  <c r="I54" i="2" s="1"/>
  <c r="AH55" i="1"/>
  <c r="H54" i="2" s="1"/>
  <c r="AG55" i="1"/>
  <c r="G54" i="2" s="1"/>
  <c r="AF55" i="1"/>
  <c r="F54" i="2" s="1"/>
  <c r="AE55" i="1"/>
  <c r="E54" i="2" s="1"/>
  <c r="AD55" i="1"/>
  <c r="D54" i="2" s="1"/>
  <c r="AC55" i="1"/>
  <c r="C54" i="2" s="1"/>
  <c r="AB55" i="1"/>
  <c r="B54" i="2" s="1"/>
  <c r="X55" i="1"/>
  <c r="W55" i="1"/>
  <c r="A54" i="2" s="1"/>
  <c r="BB54" i="1"/>
  <c r="BA54" i="1"/>
  <c r="AZ54" i="1"/>
  <c r="AY54" i="1"/>
  <c r="AM54" i="1" s="1"/>
  <c r="AO54" i="1" s="1"/>
  <c r="Z54" i="1" s="1"/>
  <c r="AV54" i="1"/>
  <c r="AT54" i="1"/>
  <c r="AR54" i="1"/>
  <c r="AI54" i="1"/>
  <c r="I53" i="2" s="1"/>
  <c r="AH54" i="1"/>
  <c r="H53" i="2" s="1"/>
  <c r="AG54" i="1"/>
  <c r="G53" i="2" s="1"/>
  <c r="AF54" i="1"/>
  <c r="F53" i="2" s="1"/>
  <c r="AE54" i="1"/>
  <c r="E53" i="2" s="1"/>
  <c r="AD54" i="1"/>
  <c r="D53" i="2" s="1"/>
  <c r="AC54" i="1"/>
  <c r="C53" i="2" s="1"/>
  <c r="AB54" i="1"/>
  <c r="B53" i="2" s="1"/>
  <c r="X54" i="1"/>
  <c r="W54" i="1"/>
  <c r="A53" i="2" s="1"/>
  <c r="BB53" i="1"/>
  <c r="BA53" i="1"/>
  <c r="AZ53" i="1"/>
  <c r="AY53" i="1"/>
  <c r="AM53" i="1" s="1"/>
  <c r="AO53" i="1" s="1"/>
  <c r="Z53" i="1" s="1"/>
  <c r="AX53" i="1"/>
  <c r="BD53" i="1" s="1"/>
  <c r="AV53" i="1"/>
  <c r="AT53" i="1"/>
  <c r="AR53" i="1"/>
  <c r="AQ53" i="1"/>
  <c r="AJ53" i="1"/>
  <c r="AL53" i="1" s="1"/>
  <c r="AI53" i="1"/>
  <c r="I52" i="2" s="1"/>
  <c r="AH53" i="1"/>
  <c r="H52" i="2" s="1"/>
  <c r="AG53" i="1"/>
  <c r="G52" i="2" s="1"/>
  <c r="AF53" i="1"/>
  <c r="F52" i="2" s="1"/>
  <c r="AE53" i="1"/>
  <c r="E52" i="2" s="1"/>
  <c r="AD53" i="1"/>
  <c r="D52" i="2" s="1"/>
  <c r="AC53" i="1"/>
  <c r="C52" i="2" s="1"/>
  <c r="AB53" i="1"/>
  <c r="B52" i="2" s="1"/>
  <c r="X53" i="1"/>
  <c r="W53" i="1"/>
  <c r="A52" i="2" s="1"/>
  <c r="BB52" i="1"/>
  <c r="BA52" i="1"/>
  <c r="AZ52" i="1"/>
  <c r="AY52" i="1"/>
  <c r="AJ52" i="1" s="1"/>
  <c r="AL52" i="1" s="1"/>
  <c r="AV52" i="1"/>
  <c r="AT52" i="1"/>
  <c r="AR52" i="1"/>
  <c r="AQ52" i="1"/>
  <c r="AX52" i="1" s="1"/>
  <c r="AI52" i="1"/>
  <c r="I51" i="2" s="1"/>
  <c r="AH52" i="1"/>
  <c r="H51" i="2" s="1"/>
  <c r="AG52" i="1"/>
  <c r="G51" i="2" s="1"/>
  <c r="AF52" i="1"/>
  <c r="F51" i="2" s="1"/>
  <c r="AE52" i="1"/>
  <c r="E51" i="2" s="1"/>
  <c r="AD52" i="1"/>
  <c r="D51" i="2" s="1"/>
  <c r="AC52" i="1"/>
  <c r="C51" i="2" s="1"/>
  <c r="AB52" i="1"/>
  <c r="B51" i="2" s="1"/>
  <c r="X52" i="1"/>
  <c r="W52" i="1"/>
  <c r="A51" i="2" s="1"/>
  <c r="BD51" i="1"/>
  <c r="BA51" i="1"/>
  <c r="AZ51" i="1"/>
  <c r="AV51" i="1"/>
  <c r="AT51" i="1"/>
  <c r="AY51" i="1" s="1"/>
  <c r="AR51" i="1"/>
  <c r="BB51" i="1" s="1"/>
  <c r="AQ51" i="1"/>
  <c r="AX51" i="1" s="1"/>
  <c r="AI51" i="1"/>
  <c r="I50" i="2" s="1"/>
  <c r="AH51" i="1"/>
  <c r="H50" i="2" s="1"/>
  <c r="AG51" i="1"/>
  <c r="G50" i="2" s="1"/>
  <c r="AF51" i="1"/>
  <c r="F50" i="2" s="1"/>
  <c r="AE51" i="1"/>
  <c r="E50" i="2" s="1"/>
  <c r="AD51" i="1"/>
  <c r="D50" i="2" s="1"/>
  <c r="AC51" i="1"/>
  <c r="C50" i="2" s="1"/>
  <c r="AB51" i="1"/>
  <c r="B50" i="2" s="1"/>
  <c r="X51" i="1"/>
  <c r="W51" i="1"/>
  <c r="A50" i="2" s="1"/>
  <c r="BB50" i="1"/>
  <c r="BA50" i="1"/>
  <c r="AZ50" i="1"/>
  <c r="AV50" i="1"/>
  <c r="AT50" i="1"/>
  <c r="AY50" i="1" s="1"/>
  <c r="AR50" i="1"/>
  <c r="AQ50" i="1"/>
  <c r="AX50" i="1" s="1"/>
  <c r="BD50" i="1" s="1"/>
  <c r="AI50" i="1"/>
  <c r="I49" i="2" s="1"/>
  <c r="AH50" i="1"/>
  <c r="H49" i="2" s="1"/>
  <c r="AG50" i="1"/>
  <c r="G49" i="2" s="1"/>
  <c r="AF50" i="1"/>
  <c r="F49" i="2" s="1"/>
  <c r="AE50" i="1"/>
  <c r="E49" i="2" s="1"/>
  <c r="AD50" i="1"/>
  <c r="D49" i="2" s="1"/>
  <c r="AC50" i="1"/>
  <c r="C49" i="2" s="1"/>
  <c r="AB50" i="1"/>
  <c r="B49" i="2" s="1"/>
  <c r="X50" i="1"/>
  <c r="W50" i="1"/>
  <c r="A49" i="2" s="1"/>
  <c r="BB49" i="1"/>
  <c r="BA49" i="1"/>
  <c r="AZ49" i="1"/>
  <c r="AY49" i="1"/>
  <c r="AM49" i="1" s="1"/>
  <c r="AO49" i="1" s="1"/>
  <c r="Z49" i="1" s="1"/>
  <c r="AV49" i="1"/>
  <c r="AT49" i="1"/>
  <c r="AR49" i="1"/>
  <c r="AI49" i="1"/>
  <c r="I48" i="2" s="1"/>
  <c r="AH49" i="1"/>
  <c r="H48" i="2" s="1"/>
  <c r="AG49" i="1"/>
  <c r="G48" i="2" s="1"/>
  <c r="AF49" i="1"/>
  <c r="F48" i="2" s="1"/>
  <c r="AE49" i="1"/>
  <c r="E48" i="2" s="1"/>
  <c r="AD49" i="1"/>
  <c r="D48" i="2" s="1"/>
  <c r="AC49" i="1"/>
  <c r="C48" i="2" s="1"/>
  <c r="AB49" i="1"/>
  <c r="B48" i="2" s="1"/>
  <c r="X49" i="1"/>
  <c r="W49" i="1"/>
  <c r="A48" i="2" s="1"/>
  <c r="BB48" i="1"/>
  <c r="BA48" i="1"/>
  <c r="AZ48" i="1"/>
  <c r="AM48" i="1" s="1"/>
  <c r="AO48" i="1" s="1"/>
  <c r="Z48" i="1" s="1"/>
  <c r="AX48" i="1"/>
  <c r="AV48" i="1"/>
  <c r="BD48" i="1" s="1"/>
  <c r="AT48" i="1"/>
  <c r="AY48" i="1" s="1"/>
  <c r="AR48" i="1"/>
  <c r="AQ48" i="1"/>
  <c r="AJ48" i="1"/>
  <c r="AL48" i="1" s="1"/>
  <c r="AI48" i="1"/>
  <c r="I47" i="2" s="1"/>
  <c r="AH48" i="1"/>
  <c r="H47" i="2" s="1"/>
  <c r="AG48" i="1"/>
  <c r="G47" i="2" s="1"/>
  <c r="AF48" i="1"/>
  <c r="F47" i="2" s="1"/>
  <c r="AE48" i="1"/>
  <c r="E47" i="2" s="1"/>
  <c r="AD48" i="1"/>
  <c r="D47" i="2" s="1"/>
  <c r="AC48" i="1"/>
  <c r="AB48" i="1"/>
  <c r="X48" i="1"/>
  <c r="W48" i="1"/>
  <c r="BA47" i="1"/>
  <c r="AZ47" i="1"/>
  <c r="AY47" i="1"/>
  <c r="AM47" i="1" s="1"/>
  <c r="AO47" i="1" s="1"/>
  <c r="Z47" i="1" s="1"/>
  <c r="AV47" i="1"/>
  <c r="AT47" i="1"/>
  <c r="AR47" i="1"/>
  <c r="BB47" i="1" s="1"/>
  <c r="AJ47" i="1"/>
  <c r="AL47" i="1" s="1"/>
  <c r="AI47" i="1"/>
  <c r="I46" i="2" s="1"/>
  <c r="AH47" i="1"/>
  <c r="H46" i="2" s="1"/>
  <c r="AG47" i="1"/>
  <c r="G46" i="2" s="1"/>
  <c r="AF47" i="1"/>
  <c r="F46" i="2" s="1"/>
  <c r="AE47" i="1"/>
  <c r="E46" i="2" s="1"/>
  <c r="AD47" i="1"/>
  <c r="D46" i="2" s="1"/>
  <c r="AC47" i="1"/>
  <c r="C46" i="2" s="1"/>
  <c r="AB47" i="1"/>
  <c r="B46" i="2" s="1"/>
  <c r="X47" i="1"/>
  <c r="W47" i="1"/>
  <c r="A46" i="2" s="1"/>
  <c r="BD46" i="1"/>
  <c r="BA46" i="1"/>
  <c r="AZ46" i="1"/>
  <c r="AV46" i="1"/>
  <c r="AT46" i="1"/>
  <c r="AY46" i="1" s="1"/>
  <c r="AR46" i="1"/>
  <c r="BB46" i="1" s="1"/>
  <c r="AQ46" i="1"/>
  <c r="AX46" i="1" s="1"/>
  <c r="AI46" i="1"/>
  <c r="I45" i="2" s="1"/>
  <c r="AH46" i="1"/>
  <c r="H45" i="2" s="1"/>
  <c r="AG46" i="1"/>
  <c r="G45" i="2" s="1"/>
  <c r="AF46" i="1"/>
  <c r="F45" i="2" s="1"/>
  <c r="AE46" i="1"/>
  <c r="E45" i="2" s="1"/>
  <c r="AD46" i="1"/>
  <c r="D45" i="2" s="1"/>
  <c r="AC46" i="1"/>
  <c r="C45" i="2" s="1"/>
  <c r="AB46" i="1"/>
  <c r="X46" i="1"/>
  <c r="W46" i="1"/>
  <c r="A45" i="2" s="1"/>
  <c r="BB45" i="1"/>
  <c r="BA45" i="1"/>
  <c r="AZ45" i="1"/>
  <c r="AV45" i="1"/>
  <c r="AT45" i="1"/>
  <c r="AY45" i="1" s="1"/>
  <c r="AR45" i="1"/>
  <c r="AQ45" i="1"/>
  <c r="AX45" i="1" s="1"/>
  <c r="BD45" i="1" s="1"/>
  <c r="AI45" i="1"/>
  <c r="I44" i="2" s="1"/>
  <c r="AH45" i="1"/>
  <c r="H44" i="2" s="1"/>
  <c r="AG45" i="1"/>
  <c r="G44" i="2" s="1"/>
  <c r="AF45" i="1"/>
  <c r="F44" i="2" s="1"/>
  <c r="AE45" i="1"/>
  <c r="E44" i="2" s="1"/>
  <c r="AD45" i="1"/>
  <c r="D44" i="2" s="1"/>
  <c r="AC45" i="1"/>
  <c r="C44" i="2" s="1"/>
  <c r="AB45" i="1"/>
  <c r="B44" i="2" s="1"/>
  <c r="X45" i="1"/>
  <c r="W45" i="1"/>
  <c r="A44" i="2" s="1"/>
  <c r="BB44" i="1"/>
  <c r="BA44" i="1"/>
  <c r="AZ44" i="1"/>
  <c r="AY44" i="1"/>
  <c r="AM44" i="1" s="1"/>
  <c r="AO44" i="1" s="1"/>
  <c r="AV44" i="1"/>
  <c r="AT44" i="1"/>
  <c r="AR44" i="1"/>
  <c r="AI44" i="1"/>
  <c r="I43" i="2" s="1"/>
  <c r="AH44" i="1"/>
  <c r="H43" i="2" s="1"/>
  <c r="AG44" i="1"/>
  <c r="G43" i="2" s="1"/>
  <c r="AF44" i="1"/>
  <c r="F43" i="2" s="1"/>
  <c r="AE44" i="1"/>
  <c r="E43" i="2" s="1"/>
  <c r="AD44" i="1"/>
  <c r="D43" i="2" s="1"/>
  <c r="AC44" i="1"/>
  <c r="C43" i="2" s="1"/>
  <c r="AB44" i="1"/>
  <c r="B43" i="2" s="1"/>
  <c r="Z44" i="1"/>
  <c r="X44" i="1"/>
  <c r="W44" i="1"/>
  <c r="A43" i="2" s="1"/>
  <c r="BB43" i="1"/>
  <c r="BA43" i="1"/>
  <c r="AZ43" i="1"/>
  <c r="AV43" i="1"/>
  <c r="AT43" i="1"/>
  <c r="AY43" i="1" s="1"/>
  <c r="AR43" i="1"/>
  <c r="AI43" i="1"/>
  <c r="I42" i="2" s="1"/>
  <c r="AH43" i="1"/>
  <c r="H42" i="2" s="1"/>
  <c r="AG43" i="1"/>
  <c r="G42" i="2" s="1"/>
  <c r="AF43" i="1"/>
  <c r="F42" i="2" s="1"/>
  <c r="AE43" i="1"/>
  <c r="AD43" i="1"/>
  <c r="D42" i="2" s="1"/>
  <c r="AC43" i="1"/>
  <c r="C42" i="2" s="1"/>
  <c r="AB43" i="1"/>
  <c r="B42" i="2" s="1"/>
  <c r="X43" i="1"/>
  <c r="W43" i="1"/>
  <c r="A42" i="2" s="1"/>
  <c r="BB42" i="1"/>
  <c r="AJ42" i="1" s="1"/>
  <c r="AL42" i="1" s="1"/>
  <c r="BA42" i="1"/>
  <c r="AZ42" i="1"/>
  <c r="AY42" i="1"/>
  <c r="AV42" i="1"/>
  <c r="AT42" i="1"/>
  <c r="AR42" i="1"/>
  <c r="AQ42" i="1"/>
  <c r="AX42" i="1" s="1"/>
  <c r="BD42" i="1" s="1"/>
  <c r="AM42" i="1"/>
  <c r="AO42" i="1" s="1"/>
  <c r="Z42" i="1" s="1"/>
  <c r="AI42" i="1"/>
  <c r="I41" i="2" s="1"/>
  <c r="AH42" i="1"/>
  <c r="H41" i="2" s="1"/>
  <c r="AG42" i="1"/>
  <c r="G41" i="2" s="1"/>
  <c r="AF42" i="1"/>
  <c r="F41" i="2" s="1"/>
  <c r="AE42" i="1"/>
  <c r="E41" i="2" s="1"/>
  <c r="AD42" i="1"/>
  <c r="D41" i="2" s="1"/>
  <c r="AC42" i="1"/>
  <c r="C41" i="2" s="1"/>
  <c r="AB42" i="1"/>
  <c r="B41" i="2" s="1"/>
  <c r="X42" i="1"/>
  <c r="W42" i="1"/>
  <c r="A41" i="2" s="1"/>
  <c r="BB41" i="1"/>
  <c r="BA41" i="1"/>
  <c r="AZ41" i="1"/>
  <c r="AY41" i="1"/>
  <c r="AV41" i="1"/>
  <c r="AT41" i="1"/>
  <c r="AR41" i="1"/>
  <c r="AQ41" i="1"/>
  <c r="AX41" i="1" s="1"/>
  <c r="BD41" i="1" s="1"/>
  <c r="AM41" i="1"/>
  <c r="AO41" i="1" s="1"/>
  <c r="Z41" i="1" s="1"/>
  <c r="AI41" i="1"/>
  <c r="I40" i="2" s="1"/>
  <c r="AH41" i="1"/>
  <c r="H40" i="2" s="1"/>
  <c r="AG41" i="1"/>
  <c r="G40" i="2" s="1"/>
  <c r="AF41" i="1"/>
  <c r="F40" i="2" s="1"/>
  <c r="AE41" i="1"/>
  <c r="E40" i="2" s="1"/>
  <c r="AD41" i="1"/>
  <c r="D40" i="2" s="1"/>
  <c r="AC41" i="1"/>
  <c r="C40" i="2" s="1"/>
  <c r="AB41" i="1"/>
  <c r="B40" i="2" s="1"/>
  <c r="X41" i="1"/>
  <c r="W41" i="1"/>
  <c r="A40" i="2" s="1"/>
  <c r="BB40" i="1"/>
  <c r="BA40" i="1"/>
  <c r="AZ40" i="1"/>
  <c r="AV40" i="1"/>
  <c r="BD40" i="1" s="1"/>
  <c r="AT40" i="1"/>
  <c r="AY40" i="1" s="1"/>
  <c r="AR40" i="1"/>
  <c r="AQ40" i="1"/>
  <c r="AX40" i="1" s="1"/>
  <c r="AI40" i="1"/>
  <c r="I39" i="2" s="1"/>
  <c r="AH40" i="1"/>
  <c r="H39" i="2" s="1"/>
  <c r="AG40" i="1"/>
  <c r="G39" i="2" s="1"/>
  <c r="AF40" i="1"/>
  <c r="F39" i="2" s="1"/>
  <c r="AE40" i="1"/>
  <c r="E39" i="2" s="1"/>
  <c r="AD40" i="1"/>
  <c r="D39" i="2" s="1"/>
  <c r="AC40" i="1"/>
  <c r="C39" i="2" s="1"/>
  <c r="AB40" i="1"/>
  <c r="B39" i="2" s="1"/>
  <c r="X40" i="1"/>
  <c r="W40" i="1"/>
  <c r="A39" i="2" s="1"/>
  <c r="BA39" i="1"/>
  <c r="AZ39" i="1"/>
  <c r="AV39" i="1"/>
  <c r="AT39" i="1"/>
  <c r="AY39" i="1" s="1"/>
  <c r="AR39" i="1"/>
  <c r="BB39" i="1" s="1"/>
  <c r="AI39" i="1"/>
  <c r="I38" i="2" s="1"/>
  <c r="AH39" i="1"/>
  <c r="H38" i="2" s="1"/>
  <c r="AG39" i="1"/>
  <c r="G38" i="2" s="1"/>
  <c r="AF39" i="1"/>
  <c r="F38" i="2" s="1"/>
  <c r="AE39" i="1"/>
  <c r="E38" i="2" s="1"/>
  <c r="AD39" i="1"/>
  <c r="D38" i="2" s="1"/>
  <c r="AC39" i="1"/>
  <c r="C38" i="2" s="1"/>
  <c r="AB39" i="1"/>
  <c r="B38" i="2" s="1"/>
  <c r="X39" i="1"/>
  <c r="W39" i="1"/>
  <c r="A38" i="2" s="1"/>
  <c r="BA38" i="1"/>
  <c r="AZ38" i="1"/>
  <c r="AY38" i="1"/>
  <c r="AM38" i="1" s="1"/>
  <c r="AO38" i="1" s="1"/>
  <c r="Z38" i="1" s="1"/>
  <c r="AV38" i="1"/>
  <c r="AT38" i="1"/>
  <c r="AR38" i="1"/>
  <c r="BB38" i="1" s="1"/>
  <c r="AI38" i="1"/>
  <c r="I37" i="2" s="1"/>
  <c r="AH38" i="1"/>
  <c r="H37" i="2" s="1"/>
  <c r="AG38" i="1"/>
  <c r="G37" i="2" s="1"/>
  <c r="AF38" i="1"/>
  <c r="F37" i="2" s="1"/>
  <c r="AE38" i="1"/>
  <c r="E37" i="2" s="1"/>
  <c r="AD38" i="1"/>
  <c r="D37" i="2" s="1"/>
  <c r="AC38" i="1"/>
  <c r="C37" i="2" s="1"/>
  <c r="AB38" i="1"/>
  <c r="B37" i="2" s="1"/>
  <c r="X38" i="1"/>
  <c r="W38" i="1"/>
  <c r="A37" i="2" s="1"/>
  <c r="BB37" i="1"/>
  <c r="BA37" i="1"/>
  <c r="AZ37" i="1"/>
  <c r="AY37" i="1"/>
  <c r="AM37" i="1" s="1"/>
  <c r="AO37" i="1" s="1"/>
  <c r="Z37" i="1" s="1"/>
  <c r="AX37" i="1"/>
  <c r="BD37" i="1" s="1"/>
  <c r="AV37" i="1"/>
  <c r="AT37" i="1"/>
  <c r="AR37" i="1"/>
  <c r="AQ37" i="1"/>
  <c r="AJ37" i="1"/>
  <c r="AL37" i="1" s="1"/>
  <c r="AI37" i="1"/>
  <c r="I36" i="2" s="1"/>
  <c r="AH37" i="1"/>
  <c r="H36" i="2" s="1"/>
  <c r="AG37" i="1"/>
  <c r="G36" i="2" s="1"/>
  <c r="AF37" i="1"/>
  <c r="F36" i="2" s="1"/>
  <c r="AE37" i="1"/>
  <c r="E36" i="2" s="1"/>
  <c r="AD37" i="1"/>
  <c r="AC37" i="1"/>
  <c r="C36" i="2" s="1"/>
  <c r="AB37" i="1"/>
  <c r="B36" i="2" s="1"/>
  <c r="X37" i="1"/>
  <c r="W37" i="1"/>
  <c r="A36" i="2" s="1"/>
  <c r="BB36" i="1"/>
  <c r="BA36" i="1"/>
  <c r="AZ36" i="1"/>
  <c r="AY36" i="1"/>
  <c r="AJ36" i="1" s="1"/>
  <c r="AL36" i="1" s="1"/>
  <c r="AV36" i="1"/>
  <c r="AT36" i="1"/>
  <c r="AR36" i="1"/>
  <c r="AQ36" i="1"/>
  <c r="AX36" i="1" s="1"/>
  <c r="AI36" i="1"/>
  <c r="I35" i="2" s="1"/>
  <c r="AH36" i="1"/>
  <c r="H35" i="2" s="1"/>
  <c r="AG36" i="1"/>
  <c r="G35" i="2" s="1"/>
  <c r="AF36" i="1"/>
  <c r="F35" i="2" s="1"/>
  <c r="AE36" i="1"/>
  <c r="E35" i="2" s="1"/>
  <c r="AD36" i="1"/>
  <c r="D35" i="2" s="1"/>
  <c r="AC36" i="1"/>
  <c r="C35" i="2" s="1"/>
  <c r="AB36" i="1"/>
  <c r="B35" i="2" s="1"/>
  <c r="X36" i="1"/>
  <c r="W36" i="1"/>
  <c r="A35" i="2" s="1"/>
  <c r="BD35" i="1"/>
  <c r="BA35" i="1"/>
  <c r="AZ35" i="1"/>
  <c r="AV35" i="1"/>
  <c r="AT35" i="1"/>
  <c r="AY35" i="1" s="1"/>
  <c r="AR35" i="1"/>
  <c r="BB35" i="1" s="1"/>
  <c r="AQ35" i="1"/>
  <c r="AX35" i="1" s="1"/>
  <c r="AI35" i="1"/>
  <c r="I34" i="2" s="1"/>
  <c r="AH35" i="1"/>
  <c r="H34" i="2" s="1"/>
  <c r="AG35" i="1"/>
  <c r="G34" i="2" s="1"/>
  <c r="AF35" i="1"/>
  <c r="F34" i="2" s="1"/>
  <c r="AE35" i="1"/>
  <c r="E34" i="2" s="1"/>
  <c r="AD35" i="1"/>
  <c r="D34" i="2" s="1"/>
  <c r="AC35" i="1"/>
  <c r="C34" i="2" s="1"/>
  <c r="AB35" i="1"/>
  <c r="B34" i="2" s="1"/>
  <c r="X35" i="1"/>
  <c r="W35" i="1"/>
  <c r="A34" i="2" s="1"/>
  <c r="BB34" i="1"/>
  <c r="BA34" i="1"/>
  <c r="AZ34" i="1"/>
  <c r="AV34" i="1"/>
  <c r="AT34" i="1"/>
  <c r="AY34" i="1" s="1"/>
  <c r="AR34" i="1"/>
  <c r="AQ34" i="1"/>
  <c r="AX34" i="1" s="1"/>
  <c r="BD34" i="1" s="1"/>
  <c r="AI34" i="1"/>
  <c r="I33" i="2" s="1"/>
  <c r="AH34" i="1"/>
  <c r="H33" i="2" s="1"/>
  <c r="AG34" i="1"/>
  <c r="G33" i="2" s="1"/>
  <c r="AF34" i="1"/>
  <c r="F33" i="2" s="1"/>
  <c r="AE34" i="1"/>
  <c r="E33" i="2" s="1"/>
  <c r="AD34" i="1"/>
  <c r="D33" i="2" s="1"/>
  <c r="AC34" i="1"/>
  <c r="C33" i="2" s="1"/>
  <c r="AB34" i="1"/>
  <c r="B33" i="2" s="1"/>
  <c r="X34" i="1"/>
  <c r="W34" i="1"/>
  <c r="A33" i="2" s="1"/>
  <c r="BA33" i="1"/>
  <c r="AZ33" i="1"/>
  <c r="AY33" i="1"/>
  <c r="AM33" i="1" s="1"/>
  <c r="AO33" i="1" s="1"/>
  <c r="Z33" i="1" s="1"/>
  <c r="AV33" i="1"/>
  <c r="AT33" i="1"/>
  <c r="AR33" i="1"/>
  <c r="BB33" i="1" s="1"/>
  <c r="AI33" i="1"/>
  <c r="I32" i="2" s="1"/>
  <c r="AH33" i="1"/>
  <c r="H32" i="2" s="1"/>
  <c r="AG33" i="1"/>
  <c r="G32" i="2" s="1"/>
  <c r="AF33" i="1"/>
  <c r="F32" i="2" s="1"/>
  <c r="AE33" i="1"/>
  <c r="E32" i="2" s="1"/>
  <c r="AD33" i="1"/>
  <c r="D32" i="2" s="1"/>
  <c r="AC33" i="1"/>
  <c r="C32" i="2" s="1"/>
  <c r="AB33" i="1"/>
  <c r="B32" i="2" s="1"/>
  <c r="X33" i="1"/>
  <c r="W33" i="1"/>
  <c r="A32" i="2" s="1"/>
  <c r="BB32" i="1"/>
  <c r="BA32" i="1"/>
  <c r="AZ32" i="1"/>
  <c r="AM32" i="1" s="1"/>
  <c r="AO32" i="1" s="1"/>
  <c r="Z32" i="1" s="1"/>
  <c r="AX32" i="1"/>
  <c r="AV32" i="1"/>
  <c r="BD32" i="1" s="1"/>
  <c r="AT32" i="1"/>
  <c r="AY32" i="1" s="1"/>
  <c r="AR32" i="1"/>
  <c r="AQ32" i="1"/>
  <c r="AJ32" i="1"/>
  <c r="AL32" i="1" s="1"/>
  <c r="AI32" i="1"/>
  <c r="I31" i="2" s="1"/>
  <c r="AH32" i="1"/>
  <c r="H31" i="2" s="1"/>
  <c r="AG32" i="1"/>
  <c r="G31" i="2" s="1"/>
  <c r="AF32" i="1"/>
  <c r="F31" i="2" s="1"/>
  <c r="AE32" i="1"/>
  <c r="E31" i="2" s="1"/>
  <c r="AD32" i="1"/>
  <c r="D31" i="2" s="1"/>
  <c r="AC32" i="1"/>
  <c r="AB32" i="1"/>
  <c r="B31" i="2" s="1"/>
  <c r="X32" i="1"/>
  <c r="W32" i="1"/>
  <c r="A31" i="2" s="1"/>
  <c r="BA31" i="1"/>
  <c r="AZ31" i="1"/>
  <c r="AY31" i="1"/>
  <c r="AM31" i="1" s="1"/>
  <c r="AO31" i="1" s="1"/>
  <c r="Z31" i="1" s="1"/>
  <c r="AV31" i="1"/>
  <c r="AT31" i="1"/>
  <c r="AR31" i="1"/>
  <c r="BB31" i="1" s="1"/>
  <c r="AJ31" i="1"/>
  <c r="AL31" i="1" s="1"/>
  <c r="AI31" i="1"/>
  <c r="I30" i="2" s="1"/>
  <c r="AH31" i="1"/>
  <c r="H30" i="2" s="1"/>
  <c r="AG31" i="1"/>
  <c r="AF31" i="1"/>
  <c r="F30" i="2" s="1"/>
  <c r="AE31" i="1"/>
  <c r="E30" i="2" s="1"/>
  <c r="AD31" i="1"/>
  <c r="D30" i="2" s="1"/>
  <c r="AC31" i="1"/>
  <c r="C30" i="2" s="1"/>
  <c r="AB31" i="1"/>
  <c r="B30" i="2" s="1"/>
  <c r="X31" i="1"/>
  <c r="W31" i="1"/>
  <c r="A30" i="2" s="1"/>
  <c r="BD30" i="1"/>
  <c r="BB30" i="1"/>
  <c r="BA30" i="1"/>
  <c r="AZ30" i="1"/>
  <c r="AV30" i="1"/>
  <c r="AT30" i="1"/>
  <c r="AY30" i="1" s="1"/>
  <c r="AR30" i="1"/>
  <c r="AQ30" i="1"/>
  <c r="AX30" i="1" s="1"/>
  <c r="AM30" i="1"/>
  <c r="AO30" i="1" s="1"/>
  <c r="Z30" i="1" s="1"/>
  <c r="AI30" i="1"/>
  <c r="I29" i="2" s="1"/>
  <c r="AH30" i="1"/>
  <c r="H29" i="2" s="1"/>
  <c r="AG30" i="1"/>
  <c r="G29" i="2" s="1"/>
  <c r="AF30" i="1"/>
  <c r="F29" i="2" s="1"/>
  <c r="AE30" i="1"/>
  <c r="E29" i="2" s="1"/>
  <c r="AD30" i="1"/>
  <c r="D29" i="2" s="1"/>
  <c r="AC30" i="1"/>
  <c r="C29" i="2" s="1"/>
  <c r="AB30" i="1"/>
  <c r="B29" i="2" s="1"/>
  <c r="X30" i="1"/>
  <c r="W30" i="1"/>
  <c r="A29" i="2" s="1"/>
  <c r="BB29" i="1"/>
  <c r="BA29" i="1"/>
  <c r="AZ29" i="1"/>
  <c r="AX29" i="1"/>
  <c r="BD29" i="1" s="1"/>
  <c r="AV29" i="1"/>
  <c r="AT29" i="1"/>
  <c r="AY29" i="1" s="1"/>
  <c r="AR29" i="1"/>
  <c r="AQ29" i="1"/>
  <c r="AI29" i="1"/>
  <c r="I28" i="2" s="1"/>
  <c r="AH29" i="1"/>
  <c r="H28" i="2" s="1"/>
  <c r="AG29" i="1"/>
  <c r="G28" i="2" s="1"/>
  <c r="AF29" i="1"/>
  <c r="F28" i="2" s="1"/>
  <c r="AE29" i="1"/>
  <c r="E28" i="2" s="1"/>
  <c r="AD29" i="1"/>
  <c r="D28" i="2" s="1"/>
  <c r="AC29" i="1"/>
  <c r="C28" i="2" s="1"/>
  <c r="AB29" i="1"/>
  <c r="B28" i="2" s="1"/>
  <c r="X29" i="1"/>
  <c r="W29" i="1"/>
  <c r="A28" i="2" s="1"/>
  <c r="BB28" i="1"/>
  <c r="BA28" i="1"/>
  <c r="AZ28" i="1"/>
  <c r="AV28" i="1"/>
  <c r="AT28" i="1"/>
  <c r="AY28" i="1" s="1"/>
  <c r="AR28" i="1"/>
  <c r="AI28" i="1"/>
  <c r="I27" i="2" s="1"/>
  <c r="AH28" i="1"/>
  <c r="H27" i="2" s="1"/>
  <c r="AG28" i="1"/>
  <c r="G27" i="2" s="1"/>
  <c r="AF28" i="1"/>
  <c r="F27" i="2" s="1"/>
  <c r="AE28" i="1"/>
  <c r="E27" i="2" s="1"/>
  <c r="AD28" i="1"/>
  <c r="D27" i="2" s="1"/>
  <c r="AC28" i="1"/>
  <c r="C27" i="2" s="1"/>
  <c r="AB28" i="1"/>
  <c r="B27" i="2" s="1"/>
  <c r="X28" i="1"/>
  <c r="W28" i="1"/>
  <c r="A27" i="2" s="1"/>
  <c r="BB27" i="1"/>
  <c r="BA27" i="1"/>
  <c r="AZ27" i="1"/>
  <c r="AV27" i="1"/>
  <c r="AT27" i="1"/>
  <c r="AY27" i="1" s="1"/>
  <c r="AR27" i="1"/>
  <c r="AI27" i="1"/>
  <c r="I26" i="2" s="1"/>
  <c r="AH27" i="1"/>
  <c r="H26" i="2" s="1"/>
  <c r="AG27" i="1"/>
  <c r="G26" i="2" s="1"/>
  <c r="AF27" i="1"/>
  <c r="F26" i="2" s="1"/>
  <c r="AE27" i="1"/>
  <c r="E26" i="2" s="1"/>
  <c r="AD27" i="1"/>
  <c r="D26" i="2" s="1"/>
  <c r="AC27" i="1"/>
  <c r="C26" i="2" s="1"/>
  <c r="AB27" i="1"/>
  <c r="B26" i="2" s="1"/>
  <c r="X27" i="1"/>
  <c r="W27" i="1"/>
  <c r="A26" i="2" s="1"/>
  <c r="BB26" i="1"/>
  <c r="BA26" i="1"/>
  <c r="AZ26" i="1"/>
  <c r="AJ26" i="1" s="1"/>
  <c r="AL26" i="1" s="1"/>
  <c r="AY26" i="1"/>
  <c r="AV26" i="1"/>
  <c r="AT26" i="1"/>
  <c r="AR26" i="1"/>
  <c r="AQ26" i="1"/>
  <c r="AX26" i="1" s="1"/>
  <c r="BD26" i="1" s="1"/>
  <c r="AI26" i="1"/>
  <c r="I25" i="2" s="1"/>
  <c r="AH26" i="1"/>
  <c r="H25" i="2" s="1"/>
  <c r="AG26" i="1"/>
  <c r="AF26" i="1"/>
  <c r="F25" i="2" s="1"/>
  <c r="AE26" i="1"/>
  <c r="E25" i="2" s="1"/>
  <c r="AD26" i="1"/>
  <c r="D25" i="2" s="1"/>
  <c r="AC26" i="1"/>
  <c r="C25" i="2" s="1"/>
  <c r="AB26" i="1"/>
  <c r="B25" i="2" s="1"/>
  <c r="X26" i="1"/>
  <c r="W26" i="1"/>
  <c r="A25" i="2" s="1"/>
  <c r="BB25" i="1"/>
  <c r="BA25" i="1"/>
  <c r="AZ25" i="1"/>
  <c r="AJ25" i="1" s="1"/>
  <c r="AL25" i="1" s="1"/>
  <c r="K24" i="2" s="1"/>
  <c r="AY25" i="1"/>
  <c r="AV25" i="1"/>
  <c r="AT25" i="1"/>
  <c r="AR25" i="1"/>
  <c r="AQ25" i="1"/>
  <c r="AX25" i="1" s="1"/>
  <c r="BD25" i="1" s="1"/>
  <c r="AI25" i="1"/>
  <c r="I24" i="2" s="1"/>
  <c r="AH25" i="1"/>
  <c r="H24" i="2" s="1"/>
  <c r="AG25" i="1"/>
  <c r="G24" i="2" s="1"/>
  <c r="AF25" i="1"/>
  <c r="F24" i="2" s="1"/>
  <c r="AE25" i="1"/>
  <c r="E24" i="2" s="1"/>
  <c r="AD25" i="1"/>
  <c r="D24" i="2" s="1"/>
  <c r="AC25" i="1"/>
  <c r="C24" i="2" s="1"/>
  <c r="AB25" i="1"/>
  <c r="B24" i="2" s="1"/>
  <c r="Y25" i="1"/>
  <c r="X25" i="1"/>
  <c r="W25" i="1"/>
  <c r="A24" i="2" s="1"/>
  <c r="BB24" i="1"/>
  <c r="BA24" i="1"/>
  <c r="AZ24" i="1"/>
  <c r="AV24" i="1"/>
  <c r="BD24" i="1" s="1"/>
  <c r="AT24" i="1"/>
  <c r="AY24" i="1" s="1"/>
  <c r="AR24" i="1"/>
  <c r="AQ24" i="1"/>
  <c r="AX24" i="1" s="1"/>
  <c r="AI24" i="1"/>
  <c r="I23" i="2" s="1"/>
  <c r="AH24" i="1"/>
  <c r="H23" i="2" s="1"/>
  <c r="AG24" i="1"/>
  <c r="G23" i="2" s="1"/>
  <c r="AF24" i="1"/>
  <c r="F23" i="2" s="1"/>
  <c r="AE24" i="1"/>
  <c r="E23" i="2" s="1"/>
  <c r="AD24" i="1"/>
  <c r="D23" i="2" s="1"/>
  <c r="AC24" i="1"/>
  <c r="C23" i="2" s="1"/>
  <c r="AB24" i="1"/>
  <c r="B23" i="2" s="1"/>
  <c r="X24" i="1"/>
  <c r="W24" i="1"/>
  <c r="A23" i="2" s="1"/>
  <c r="BA23" i="1"/>
  <c r="AZ23" i="1"/>
  <c r="AV23" i="1"/>
  <c r="AT23" i="1"/>
  <c r="AY23" i="1" s="1"/>
  <c r="AR23" i="1"/>
  <c r="BB23" i="1" s="1"/>
  <c r="AI23" i="1"/>
  <c r="I22" i="2" s="1"/>
  <c r="AH23" i="1"/>
  <c r="H22" i="2" s="1"/>
  <c r="AG23" i="1"/>
  <c r="G22" i="2" s="1"/>
  <c r="AF23" i="1"/>
  <c r="F22" i="2" s="1"/>
  <c r="AE23" i="1"/>
  <c r="E22" i="2" s="1"/>
  <c r="AD23" i="1"/>
  <c r="D22" i="2" s="1"/>
  <c r="AC23" i="1"/>
  <c r="C22" i="2" s="1"/>
  <c r="AB23" i="1"/>
  <c r="B22" i="2" s="1"/>
  <c r="X23" i="1"/>
  <c r="W23" i="1"/>
  <c r="A22" i="2" s="1"/>
  <c r="BB22" i="1"/>
  <c r="BA22" i="1"/>
  <c r="AZ22" i="1"/>
  <c r="AY22" i="1"/>
  <c r="AM22" i="1" s="1"/>
  <c r="AO22" i="1" s="1"/>
  <c r="Z22" i="1" s="1"/>
  <c r="AX22" i="1"/>
  <c r="AV22" i="1"/>
  <c r="AT22" i="1"/>
  <c r="AR22" i="1"/>
  <c r="AQ22" i="1"/>
  <c r="AJ22" i="1"/>
  <c r="AL22" i="1" s="1"/>
  <c r="AI22" i="1"/>
  <c r="I21" i="2" s="1"/>
  <c r="AH22" i="1"/>
  <c r="H21" i="2" s="1"/>
  <c r="AG22" i="1"/>
  <c r="G21" i="2" s="1"/>
  <c r="AF22" i="1"/>
  <c r="F21" i="2" s="1"/>
  <c r="AE22" i="1"/>
  <c r="E21" i="2" s="1"/>
  <c r="AD22" i="1"/>
  <c r="D21" i="2" s="1"/>
  <c r="AC22" i="1"/>
  <c r="C21" i="2" s="1"/>
  <c r="AB22" i="1"/>
  <c r="B21" i="2" s="1"/>
  <c r="X22" i="1"/>
  <c r="W22" i="1"/>
  <c r="A21" i="2" s="1"/>
  <c r="BB21" i="1"/>
  <c r="BA21" i="1"/>
  <c r="AZ21" i="1"/>
  <c r="AY21" i="1"/>
  <c r="AM21" i="1" s="1"/>
  <c r="AO21" i="1" s="1"/>
  <c r="Z21" i="1" s="1"/>
  <c r="AV21" i="1"/>
  <c r="AT21" i="1"/>
  <c r="AR21" i="1"/>
  <c r="AQ21" i="1"/>
  <c r="AX21" i="1" s="1"/>
  <c r="BD21" i="1" s="1"/>
  <c r="AJ21" i="1"/>
  <c r="AL21" i="1" s="1"/>
  <c r="AI21" i="1"/>
  <c r="I20" i="2" s="1"/>
  <c r="AH21" i="1"/>
  <c r="H20" i="2" s="1"/>
  <c r="AG21" i="1"/>
  <c r="G20" i="2" s="1"/>
  <c r="AF21" i="1"/>
  <c r="AE21" i="1"/>
  <c r="AD21" i="1"/>
  <c r="D20" i="2" s="1"/>
  <c r="AC21" i="1"/>
  <c r="C20" i="2" s="1"/>
  <c r="AB21" i="1"/>
  <c r="B20" i="2" s="1"/>
  <c r="X21" i="1"/>
  <c r="W21" i="1"/>
  <c r="A20" i="2" s="1"/>
  <c r="BB20" i="1"/>
  <c r="BA20" i="1"/>
  <c r="AZ20" i="1"/>
  <c r="AY20" i="1"/>
  <c r="AJ20" i="1" s="1"/>
  <c r="AL20" i="1" s="1"/>
  <c r="AV20" i="1"/>
  <c r="AT20" i="1"/>
  <c r="AR20" i="1"/>
  <c r="AQ20" i="1"/>
  <c r="AX20" i="1" s="1"/>
  <c r="AI20" i="1"/>
  <c r="I19" i="2" s="1"/>
  <c r="AH20" i="1"/>
  <c r="H19" i="2" s="1"/>
  <c r="AG20" i="1"/>
  <c r="G19" i="2" s="1"/>
  <c r="AF20" i="1"/>
  <c r="F19" i="2" s="1"/>
  <c r="AE20" i="1"/>
  <c r="E19" i="2" s="1"/>
  <c r="AD20" i="1"/>
  <c r="D19" i="2" s="1"/>
  <c r="AC20" i="1"/>
  <c r="C19" i="2" s="1"/>
  <c r="AB20" i="1"/>
  <c r="B19" i="2" s="1"/>
  <c r="X20" i="1"/>
  <c r="W20" i="1"/>
  <c r="A19" i="2" s="1"/>
  <c r="BA19" i="1"/>
  <c r="AZ19" i="1"/>
  <c r="AV19" i="1"/>
  <c r="AT19" i="1"/>
  <c r="AY19" i="1" s="1"/>
  <c r="AR19" i="1"/>
  <c r="BB19" i="1" s="1"/>
  <c r="AQ19" i="1"/>
  <c r="AX19" i="1" s="1"/>
  <c r="BD19" i="1" s="1"/>
  <c r="AI19" i="1"/>
  <c r="I18" i="2" s="1"/>
  <c r="AH19" i="1"/>
  <c r="H18" i="2" s="1"/>
  <c r="AG19" i="1"/>
  <c r="G18" i="2" s="1"/>
  <c r="AF19" i="1"/>
  <c r="F18" i="2" s="1"/>
  <c r="AE19" i="1"/>
  <c r="E18" i="2" s="1"/>
  <c r="AD19" i="1"/>
  <c r="D18" i="2" s="1"/>
  <c r="AC19" i="1"/>
  <c r="C18" i="2" s="1"/>
  <c r="AB19" i="1"/>
  <c r="B18" i="2" s="1"/>
  <c r="X19" i="1"/>
  <c r="W19" i="1"/>
  <c r="A18" i="2" s="1"/>
  <c r="BB18" i="1"/>
  <c r="BA18" i="1"/>
  <c r="AZ18" i="1"/>
  <c r="AV18" i="1"/>
  <c r="AT18" i="1"/>
  <c r="AY18" i="1" s="1"/>
  <c r="AR18" i="1"/>
  <c r="AQ18" i="1"/>
  <c r="AX18" i="1" s="1"/>
  <c r="BD18" i="1" s="1"/>
  <c r="AI18" i="1"/>
  <c r="I17" i="2" s="1"/>
  <c r="AH18" i="1"/>
  <c r="H17" i="2" s="1"/>
  <c r="AG18" i="1"/>
  <c r="G17" i="2" s="1"/>
  <c r="AF18" i="1"/>
  <c r="F17" i="2" s="1"/>
  <c r="AE18" i="1"/>
  <c r="E17" i="2" s="1"/>
  <c r="AD18" i="1"/>
  <c r="AC18" i="1"/>
  <c r="C17" i="2" s="1"/>
  <c r="AB18" i="1"/>
  <c r="B17" i="2" s="1"/>
  <c r="X18" i="1"/>
  <c r="W18" i="1"/>
  <c r="A17" i="2" s="1"/>
  <c r="BB17" i="1"/>
  <c r="BA17" i="1"/>
  <c r="AZ17" i="1"/>
  <c r="AY17" i="1"/>
  <c r="AM17" i="1" s="1"/>
  <c r="AO17" i="1" s="1"/>
  <c r="Z17" i="1" s="1"/>
  <c r="AX17" i="1"/>
  <c r="AV17" i="1"/>
  <c r="BD17" i="1" s="1"/>
  <c r="AT17" i="1"/>
  <c r="AR17" i="1"/>
  <c r="AQ17" i="1"/>
  <c r="AJ17" i="1"/>
  <c r="AL17" i="1" s="1"/>
  <c r="AI17" i="1"/>
  <c r="I16" i="2" s="1"/>
  <c r="AH17" i="1"/>
  <c r="H16" i="2" s="1"/>
  <c r="AG17" i="1"/>
  <c r="G16" i="2" s="1"/>
  <c r="AF17" i="1"/>
  <c r="F16" i="2" s="1"/>
  <c r="AE17" i="1"/>
  <c r="E16" i="2" s="1"/>
  <c r="AD17" i="1"/>
  <c r="D16" i="2" s="1"/>
  <c r="AC17" i="1"/>
  <c r="C16" i="2" s="1"/>
  <c r="AB17" i="1"/>
  <c r="B16" i="2" s="1"/>
  <c r="X17" i="1"/>
  <c r="W17" i="1"/>
  <c r="A16" i="2" s="1"/>
  <c r="BB16" i="1"/>
  <c r="BA16" i="1"/>
  <c r="AZ16" i="1"/>
  <c r="AM16" i="1" s="1"/>
  <c r="AO16" i="1" s="1"/>
  <c r="Z16" i="1" s="1"/>
  <c r="AX16" i="1"/>
  <c r="AV16" i="1"/>
  <c r="BD16" i="1" s="1"/>
  <c r="AT16" i="1"/>
  <c r="AY16" i="1" s="1"/>
  <c r="AR16" i="1"/>
  <c r="AQ16" i="1"/>
  <c r="AJ16" i="1"/>
  <c r="AL16" i="1" s="1"/>
  <c r="AI16" i="1"/>
  <c r="I15" i="2" s="1"/>
  <c r="AH16" i="1"/>
  <c r="H15" i="2" s="1"/>
  <c r="AG16" i="1"/>
  <c r="G15" i="2" s="1"/>
  <c r="AF16" i="1"/>
  <c r="F15" i="2" s="1"/>
  <c r="AE16" i="1"/>
  <c r="E15" i="2" s="1"/>
  <c r="AD16" i="1"/>
  <c r="D15" i="2" s="1"/>
  <c r="AC16" i="1"/>
  <c r="C15" i="2" s="1"/>
  <c r="AB16" i="1"/>
  <c r="B15" i="2" s="1"/>
  <c r="X16" i="1"/>
  <c r="W16" i="1"/>
  <c r="A15" i="2" s="1"/>
  <c r="BA15" i="1"/>
  <c r="AZ15" i="1"/>
  <c r="AY15" i="1"/>
  <c r="AM15" i="1" s="1"/>
  <c r="AO15" i="1" s="1"/>
  <c r="Z15" i="1" s="1"/>
  <c r="AV15" i="1"/>
  <c r="AT15" i="1"/>
  <c r="AR15" i="1"/>
  <c r="BB15" i="1" s="1"/>
  <c r="AJ15" i="1"/>
  <c r="AL15" i="1" s="1"/>
  <c r="AI15" i="1"/>
  <c r="I14" i="2" s="1"/>
  <c r="AH15" i="1"/>
  <c r="H14" i="2" s="1"/>
  <c r="AG15" i="1"/>
  <c r="G14" i="2" s="1"/>
  <c r="AF15" i="1"/>
  <c r="F14" i="2" s="1"/>
  <c r="AE15" i="1"/>
  <c r="E14" i="2" s="1"/>
  <c r="AD15" i="1"/>
  <c r="D14" i="2" s="1"/>
  <c r="AC15" i="1"/>
  <c r="C14" i="2" s="1"/>
  <c r="AB15" i="1"/>
  <c r="B14" i="2" s="1"/>
  <c r="X15" i="1"/>
  <c r="W15" i="1"/>
  <c r="A14" i="2" s="1"/>
  <c r="BA14" i="1"/>
  <c r="AZ14" i="1"/>
  <c r="AV14" i="1"/>
  <c r="AT14" i="1"/>
  <c r="AY14" i="1" s="1"/>
  <c r="AR14" i="1"/>
  <c r="BB14" i="1" s="1"/>
  <c r="AQ14" i="1"/>
  <c r="AX14" i="1" s="1"/>
  <c r="BD14" i="1" s="1"/>
  <c r="AI14" i="1"/>
  <c r="I13" i="2" s="1"/>
  <c r="AH14" i="1"/>
  <c r="H13" i="2" s="1"/>
  <c r="AG14" i="1"/>
  <c r="G13" i="2" s="1"/>
  <c r="AF14" i="1"/>
  <c r="F13" i="2" s="1"/>
  <c r="AE14" i="1"/>
  <c r="E13" i="2" s="1"/>
  <c r="AD14" i="1"/>
  <c r="D13" i="2" s="1"/>
  <c r="AC14" i="1"/>
  <c r="C13" i="2" s="1"/>
  <c r="AB14" i="1"/>
  <c r="B13" i="2" s="1"/>
  <c r="X14" i="1"/>
  <c r="W14" i="1"/>
  <c r="A13" i="2" s="1"/>
  <c r="BB13" i="1"/>
  <c r="BA13" i="1"/>
  <c r="AZ13" i="1"/>
  <c r="AV13" i="1"/>
  <c r="AT13" i="1"/>
  <c r="AY13" i="1" s="1"/>
  <c r="AR13" i="1"/>
  <c r="AQ13" i="1"/>
  <c r="AX13" i="1" s="1"/>
  <c r="BD13" i="1" s="1"/>
  <c r="AI13" i="1"/>
  <c r="I12" i="2" s="1"/>
  <c r="AH13" i="1"/>
  <c r="H12" i="2" s="1"/>
  <c r="AG13" i="1"/>
  <c r="G12" i="2" s="1"/>
  <c r="AF13" i="1"/>
  <c r="F12" i="2" s="1"/>
  <c r="AE13" i="1"/>
  <c r="E12" i="2" s="1"/>
  <c r="AD13" i="1"/>
  <c r="D12" i="2" s="1"/>
  <c r="AC13" i="1"/>
  <c r="C12" i="2" s="1"/>
  <c r="AB13" i="1"/>
  <c r="B12" i="2" s="1"/>
  <c r="X13" i="1"/>
  <c r="W13" i="1"/>
  <c r="A12" i="2" s="1"/>
  <c r="BB12" i="1"/>
  <c r="BA12" i="1"/>
  <c r="AZ12" i="1"/>
  <c r="AY12" i="1"/>
  <c r="AM12" i="1" s="1"/>
  <c r="AO12" i="1" s="1"/>
  <c r="Z12" i="1" s="1"/>
  <c r="AV12" i="1"/>
  <c r="AT12" i="1"/>
  <c r="AR12" i="1"/>
  <c r="AI12" i="1"/>
  <c r="I11" i="2" s="1"/>
  <c r="AH12" i="1"/>
  <c r="H11" i="2" s="1"/>
  <c r="AG12" i="1"/>
  <c r="G11" i="2" s="1"/>
  <c r="AF12" i="1"/>
  <c r="F11" i="2" s="1"/>
  <c r="AE12" i="1"/>
  <c r="E11" i="2" s="1"/>
  <c r="AD12" i="1"/>
  <c r="D11" i="2" s="1"/>
  <c r="AC12" i="1"/>
  <c r="C11" i="2" s="1"/>
  <c r="AB12" i="1"/>
  <c r="B11" i="2" s="1"/>
  <c r="X12" i="1"/>
  <c r="W12" i="1"/>
  <c r="A11" i="2" s="1"/>
  <c r="BB11" i="1"/>
  <c r="BA11" i="1"/>
  <c r="AZ11" i="1"/>
  <c r="AV11" i="1"/>
  <c r="AT11" i="1"/>
  <c r="AY11" i="1" s="1"/>
  <c r="AR11" i="1"/>
  <c r="AQ11" i="1"/>
  <c r="AX11" i="1" s="1"/>
  <c r="AI11" i="1"/>
  <c r="I10" i="2" s="1"/>
  <c r="AH11" i="1"/>
  <c r="H10" i="2" s="1"/>
  <c r="AG11" i="1"/>
  <c r="G10" i="2" s="1"/>
  <c r="AF11" i="1"/>
  <c r="F10" i="2" s="1"/>
  <c r="AE11" i="1"/>
  <c r="E10" i="2" s="1"/>
  <c r="AD11" i="1"/>
  <c r="D10" i="2" s="1"/>
  <c r="AC11" i="1"/>
  <c r="C10" i="2" s="1"/>
  <c r="AB11" i="1"/>
  <c r="B10" i="2" s="1"/>
  <c r="X11" i="1"/>
  <c r="W11" i="1"/>
  <c r="A10" i="2" s="1"/>
  <c r="BB10" i="1"/>
  <c r="BA10" i="1"/>
  <c r="AZ10" i="1"/>
  <c r="AY10" i="1"/>
  <c r="AM10" i="1" s="1"/>
  <c r="AO10" i="1" s="1"/>
  <c r="Z10" i="1" s="1"/>
  <c r="AX10" i="1"/>
  <c r="BD10" i="1" s="1"/>
  <c r="AV10" i="1"/>
  <c r="AT10" i="1"/>
  <c r="AR10" i="1"/>
  <c r="AQ10" i="1"/>
  <c r="AJ10" i="1"/>
  <c r="AL10" i="1" s="1"/>
  <c r="AI10" i="1"/>
  <c r="I9" i="2" s="1"/>
  <c r="AH10" i="1"/>
  <c r="H9" i="2" s="1"/>
  <c r="AG10" i="1"/>
  <c r="G9" i="2" s="1"/>
  <c r="AF10" i="1"/>
  <c r="F9" i="2" s="1"/>
  <c r="AE10" i="1"/>
  <c r="E9" i="2" s="1"/>
  <c r="AD10" i="1"/>
  <c r="D9" i="2" s="1"/>
  <c r="AC10" i="1"/>
  <c r="C9" i="2" s="1"/>
  <c r="AB10" i="1"/>
  <c r="B9" i="2" s="1"/>
  <c r="X10" i="1"/>
  <c r="W10" i="1"/>
  <c r="A9" i="2" s="1"/>
  <c r="BB9" i="1"/>
  <c r="BA9" i="1"/>
  <c r="AZ9" i="1"/>
  <c r="AJ9" i="1" s="1"/>
  <c r="AL9" i="1" s="1"/>
  <c r="K8" i="2" s="1"/>
  <c r="AY9" i="1"/>
  <c r="AV9" i="1"/>
  <c r="BD9" i="1" s="1"/>
  <c r="AT9" i="1"/>
  <c r="AR9" i="1"/>
  <c r="AQ9" i="1"/>
  <c r="AX9" i="1" s="1"/>
  <c r="AI9" i="1"/>
  <c r="I8" i="2" s="1"/>
  <c r="AH9" i="1"/>
  <c r="AG9" i="1"/>
  <c r="G8" i="2" s="1"/>
  <c r="AF9" i="1"/>
  <c r="F8" i="2" s="1"/>
  <c r="AE9" i="1"/>
  <c r="E8" i="2" s="1"/>
  <c r="AD9" i="1"/>
  <c r="D8" i="2" s="1"/>
  <c r="AC9" i="1"/>
  <c r="C8" i="2" s="1"/>
  <c r="AB9" i="1"/>
  <c r="B8" i="2" s="1"/>
  <c r="X9" i="1"/>
  <c r="W9" i="1"/>
  <c r="A8" i="2" s="1"/>
  <c r="BB8" i="1"/>
  <c r="BA8" i="1"/>
  <c r="AZ8" i="1"/>
  <c r="AX8" i="1"/>
  <c r="AV8" i="1"/>
  <c r="BD8" i="1" s="1"/>
  <c r="AT8" i="1"/>
  <c r="AY8" i="1" s="1"/>
  <c r="AR8" i="1"/>
  <c r="AQ8" i="1"/>
  <c r="AI8" i="1"/>
  <c r="I7" i="2" s="1"/>
  <c r="AH8" i="1"/>
  <c r="H7" i="2" s="1"/>
  <c r="AG8" i="1"/>
  <c r="G7" i="2" s="1"/>
  <c r="AF8" i="1"/>
  <c r="F7" i="2" s="1"/>
  <c r="AE8" i="1"/>
  <c r="E7" i="2" s="1"/>
  <c r="AD8" i="1"/>
  <c r="D7" i="2" s="1"/>
  <c r="AC8" i="1"/>
  <c r="C7" i="2" s="1"/>
  <c r="AB8" i="1"/>
  <c r="B7" i="2" s="1"/>
  <c r="X8" i="1"/>
  <c r="W8" i="1"/>
  <c r="A7" i="2" s="1"/>
  <c r="BA7" i="1"/>
  <c r="AZ7" i="1"/>
  <c r="AV7" i="1"/>
  <c r="AT7" i="1"/>
  <c r="AY7" i="1" s="1"/>
  <c r="AR7" i="1"/>
  <c r="BB7" i="1" s="1"/>
  <c r="AI7" i="1"/>
  <c r="I6" i="2" s="1"/>
  <c r="AH7" i="1"/>
  <c r="H6" i="2" s="1"/>
  <c r="AG7" i="1"/>
  <c r="G6" i="2" s="1"/>
  <c r="AF7" i="1"/>
  <c r="F6" i="2" s="1"/>
  <c r="AE7" i="1"/>
  <c r="E6" i="2" s="1"/>
  <c r="AD7" i="1"/>
  <c r="D6" i="2" s="1"/>
  <c r="AC7" i="1"/>
  <c r="C6" i="2" s="1"/>
  <c r="AB7" i="1"/>
  <c r="B6" i="2" s="1"/>
  <c r="X7" i="1"/>
  <c r="W7" i="1"/>
  <c r="A6" i="2" s="1"/>
  <c r="BG6" i="1"/>
  <c r="BB6" i="1"/>
  <c r="BA6" i="1"/>
  <c r="AZ6" i="1"/>
  <c r="AV6" i="1"/>
  <c r="AT6" i="1"/>
  <c r="AY6" i="1" s="1"/>
  <c r="AR6" i="1"/>
  <c r="AQ6" i="1"/>
  <c r="AX6" i="1" s="1"/>
  <c r="AI6" i="1"/>
  <c r="I5" i="2" s="1"/>
  <c r="AH6" i="1"/>
  <c r="H5" i="2" s="1"/>
  <c r="AG6" i="1"/>
  <c r="G5" i="2" s="1"/>
  <c r="AF6" i="1"/>
  <c r="F5" i="2" s="1"/>
  <c r="AE6" i="1"/>
  <c r="AD6" i="1"/>
  <c r="D5" i="2" s="1"/>
  <c r="AC6" i="1"/>
  <c r="C5" i="2" s="1"/>
  <c r="AB6" i="1"/>
  <c r="B5" i="2" s="1"/>
  <c r="X6" i="1"/>
  <c r="W6" i="1"/>
  <c r="A5" i="2" s="1"/>
  <c r="BB5" i="1"/>
  <c r="BA5" i="1"/>
  <c r="AZ5" i="1"/>
  <c r="AY5" i="1"/>
  <c r="AM5" i="1" s="1"/>
  <c r="AO5" i="1" s="1"/>
  <c r="Z5" i="1" s="1"/>
  <c r="AX5" i="1"/>
  <c r="BD5" i="1" s="1"/>
  <c r="AV5" i="1"/>
  <c r="AT5" i="1"/>
  <c r="AR5" i="1"/>
  <c r="AQ5" i="1"/>
  <c r="AJ5" i="1"/>
  <c r="AL5" i="1" s="1"/>
  <c r="AI5" i="1"/>
  <c r="I4" i="2" s="1"/>
  <c r="AH5" i="1"/>
  <c r="AG5" i="1"/>
  <c r="G4" i="2" s="1"/>
  <c r="AF5" i="1"/>
  <c r="F4" i="2" s="1"/>
  <c r="AE5" i="1"/>
  <c r="E4" i="2" s="1"/>
  <c r="AD5" i="1"/>
  <c r="D4" i="2" s="1"/>
  <c r="AC5" i="1"/>
  <c r="C4" i="2" s="1"/>
  <c r="AB5" i="1"/>
  <c r="B4" i="2" s="1"/>
  <c r="X5" i="1"/>
  <c r="W5" i="1"/>
  <c r="A4" i="2" s="1"/>
  <c r="BB4" i="1"/>
  <c r="BA4" i="1"/>
  <c r="AZ4" i="1"/>
  <c r="AX4" i="1"/>
  <c r="AV4" i="1"/>
  <c r="BD4" i="1" s="1"/>
  <c r="AT4" i="1"/>
  <c r="AY4" i="1" s="1"/>
  <c r="AM4" i="1" s="1"/>
  <c r="AO4" i="1" s="1"/>
  <c r="Z4" i="1" s="1"/>
  <c r="AR4" i="1"/>
  <c r="AQ4" i="1"/>
  <c r="AI4" i="1"/>
  <c r="I3" i="2" s="1"/>
  <c r="AH4" i="1"/>
  <c r="H3" i="2" s="1"/>
  <c r="AG4" i="1"/>
  <c r="G3" i="2" s="1"/>
  <c r="AF4" i="1"/>
  <c r="F3" i="2" s="1"/>
  <c r="AE4" i="1"/>
  <c r="AD4" i="1"/>
  <c r="D3" i="2" s="1"/>
  <c r="AC4" i="1"/>
  <c r="AB4" i="1"/>
  <c r="B3" i="2" s="1"/>
  <c r="X4" i="1"/>
  <c r="W4" i="1"/>
  <c r="A3" i="2" s="1"/>
  <c r="BG3" i="1"/>
  <c r="AQ59" i="1" s="1"/>
  <c r="AX59" i="1" s="1"/>
  <c r="K9" i="2" l="1"/>
  <c r="Y10" i="1"/>
  <c r="K57" i="2"/>
  <c r="Y58" i="1"/>
  <c r="K16" i="2"/>
  <c r="Y17" i="1"/>
  <c r="K30" i="2"/>
  <c r="Y31" i="1"/>
  <c r="K36" i="2"/>
  <c r="Y37" i="1"/>
  <c r="K19" i="2"/>
  <c r="Y20" i="1"/>
  <c r="K51" i="2"/>
  <c r="Y52" i="1"/>
  <c r="AM7" i="1"/>
  <c r="AO7" i="1" s="1"/>
  <c r="Z7" i="1" s="1"/>
  <c r="AJ7" i="1"/>
  <c r="AL7" i="1" s="1"/>
  <c r="AJ11" i="1"/>
  <c r="AL11" i="1" s="1"/>
  <c r="AM11" i="1"/>
  <c r="AO11" i="1" s="1"/>
  <c r="Z11" i="1" s="1"/>
  <c r="AJ43" i="1"/>
  <c r="AL43" i="1" s="1"/>
  <c r="AM43" i="1"/>
  <c r="AO43" i="1" s="1"/>
  <c r="Z43" i="1" s="1"/>
  <c r="AJ59" i="1"/>
  <c r="AL59" i="1" s="1"/>
  <c r="AM59" i="1"/>
  <c r="AO59" i="1" s="1"/>
  <c r="Z59" i="1" s="1"/>
  <c r="AM60" i="1"/>
  <c r="AO60" i="1" s="1"/>
  <c r="Z60" i="1" s="1"/>
  <c r="AJ60" i="1"/>
  <c r="AL60" i="1" s="1"/>
  <c r="AM61" i="1"/>
  <c r="AO61" i="1" s="1"/>
  <c r="Z61" i="1" s="1"/>
  <c r="AJ61" i="1"/>
  <c r="AL61" i="1" s="1"/>
  <c r="AJ62" i="1"/>
  <c r="AL62" i="1" s="1"/>
  <c r="AM62" i="1"/>
  <c r="AO62" i="1" s="1"/>
  <c r="Z62" i="1" s="1"/>
  <c r="BD62" i="1"/>
  <c r="K4" i="2"/>
  <c r="Y5" i="1"/>
  <c r="Y15" i="1"/>
  <c r="K14" i="2"/>
  <c r="AJ27" i="1"/>
  <c r="AL27" i="1" s="1"/>
  <c r="AM27" i="1"/>
  <c r="AO27" i="1" s="1"/>
  <c r="Z27" i="1" s="1"/>
  <c r="AM28" i="1"/>
  <c r="AO28" i="1" s="1"/>
  <c r="Z28" i="1" s="1"/>
  <c r="AJ28" i="1"/>
  <c r="AL28" i="1" s="1"/>
  <c r="BD61" i="1"/>
  <c r="K25" i="2"/>
  <c r="Y26" i="1"/>
  <c r="BD39" i="1"/>
  <c r="K46" i="2"/>
  <c r="Y47" i="1"/>
  <c r="K20" i="2"/>
  <c r="Y21" i="1"/>
  <c r="K41" i="2"/>
  <c r="Y42" i="1"/>
  <c r="K52" i="2"/>
  <c r="Y53" i="1"/>
  <c r="AJ6" i="1"/>
  <c r="AL6" i="1" s="1"/>
  <c r="AM6" i="1"/>
  <c r="AO6" i="1" s="1"/>
  <c r="Z6" i="1" s="1"/>
  <c r="K21" i="2"/>
  <c r="Y22" i="1"/>
  <c r="K35" i="2"/>
  <c r="Y36" i="1"/>
  <c r="AM8" i="1"/>
  <c r="AO8" i="1" s="1"/>
  <c r="Z8" i="1" s="1"/>
  <c r="AJ8" i="1"/>
  <c r="AL8" i="1" s="1"/>
  <c r="Y9" i="1"/>
  <c r="BD11" i="1"/>
  <c r="AM24" i="1"/>
  <c r="AO24" i="1" s="1"/>
  <c r="Z24" i="1" s="1"/>
  <c r="AJ24" i="1"/>
  <c r="AL24" i="1" s="1"/>
  <c r="BD49" i="1"/>
  <c r="AJ54" i="1"/>
  <c r="AL54" i="1" s="1"/>
  <c r="AM26" i="1"/>
  <c r="AO26" i="1" s="1"/>
  <c r="Z26" i="1" s="1"/>
  <c r="AJ38" i="1"/>
  <c r="AL38" i="1" s="1"/>
  <c r="BD6" i="1"/>
  <c r="AM9" i="1"/>
  <c r="AO9" i="1" s="1"/>
  <c r="Z9" i="1" s="1"/>
  <c r="AM39" i="1"/>
  <c r="AO39" i="1" s="1"/>
  <c r="Z39" i="1" s="1"/>
  <c r="AJ39" i="1"/>
  <c r="AL39" i="1" s="1"/>
  <c r="K64" i="2"/>
  <c r="Y65" i="1"/>
  <c r="AM13" i="1"/>
  <c r="AO13" i="1" s="1"/>
  <c r="Z13" i="1" s="1"/>
  <c r="AJ13" i="1"/>
  <c r="AL13" i="1" s="1"/>
  <c r="L24" i="2"/>
  <c r="AA25" i="1"/>
  <c r="AJ12" i="1"/>
  <c r="AL12" i="1" s="1"/>
  <c r="AJ14" i="1"/>
  <c r="AL14" i="1" s="1"/>
  <c r="AM25" i="1"/>
  <c r="AO25" i="1" s="1"/>
  <c r="Z25" i="1" s="1"/>
  <c r="K15" i="2"/>
  <c r="Y16" i="1"/>
  <c r="AJ19" i="1"/>
  <c r="AL19" i="1" s="1"/>
  <c r="AM64" i="1"/>
  <c r="AO64" i="1" s="1"/>
  <c r="Z64" i="1" s="1"/>
  <c r="AJ64" i="1"/>
  <c r="AL64" i="1" s="1"/>
  <c r="AJ4" i="1"/>
  <c r="AL4" i="1" s="1"/>
  <c r="AM23" i="1"/>
  <c r="AO23" i="1" s="1"/>
  <c r="Z23" i="1" s="1"/>
  <c r="AJ23" i="1"/>
  <c r="AL23" i="1" s="1"/>
  <c r="AJ49" i="1"/>
  <c r="AL49" i="1" s="1"/>
  <c r="AJ51" i="1"/>
  <c r="AL51" i="1" s="1"/>
  <c r="AM55" i="1"/>
  <c r="AO55" i="1" s="1"/>
  <c r="Z55" i="1" s="1"/>
  <c r="AJ55" i="1"/>
  <c r="AL55" i="1" s="1"/>
  <c r="BD59" i="1"/>
  <c r="AM18" i="1"/>
  <c r="AO18" i="1" s="1"/>
  <c r="Z18" i="1" s="1"/>
  <c r="AJ18" i="1"/>
  <c r="AL18" i="1" s="1"/>
  <c r="AM52" i="1"/>
  <c r="AO52" i="1" s="1"/>
  <c r="Z52" i="1" s="1"/>
  <c r="AM20" i="1"/>
  <c r="AO20" i="1" s="1"/>
  <c r="Z20" i="1" s="1"/>
  <c r="AJ35" i="1"/>
  <c r="AL35" i="1" s="1"/>
  <c r="AJ46" i="1"/>
  <c r="AL46" i="1" s="1"/>
  <c r="AJ30" i="1"/>
  <c r="AL30" i="1" s="1"/>
  <c r="AJ33" i="1"/>
  <c r="AL33" i="1" s="1"/>
  <c r="AM36" i="1"/>
  <c r="AO36" i="1" s="1"/>
  <c r="Z36" i="1" s="1"/>
  <c r="AJ44" i="1"/>
  <c r="AL44" i="1" s="1"/>
  <c r="K47" i="2"/>
  <c r="Y48" i="1"/>
  <c r="AM14" i="1"/>
  <c r="AO14" i="1" s="1"/>
  <c r="Z14" i="1" s="1"/>
  <c r="K31" i="2"/>
  <c r="Y32" i="1"/>
  <c r="AM34" i="1"/>
  <c r="AO34" i="1" s="1"/>
  <c r="Z34" i="1" s="1"/>
  <c r="AJ34" i="1"/>
  <c r="AL34" i="1" s="1"/>
  <c r="AM45" i="1"/>
  <c r="AO45" i="1" s="1"/>
  <c r="Z45" i="1" s="1"/>
  <c r="AJ45" i="1"/>
  <c r="AL45" i="1" s="1"/>
  <c r="AM50" i="1"/>
  <c r="AO50" i="1" s="1"/>
  <c r="Z50" i="1" s="1"/>
  <c r="AJ50" i="1"/>
  <c r="AL50" i="1" s="1"/>
  <c r="AJ66" i="1"/>
  <c r="AL66" i="1" s="1"/>
  <c r="AM19" i="1"/>
  <c r="AO19" i="1" s="1"/>
  <c r="Z19" i="1" s="1"/>
  <c r="AM29" i="1"/>
  <c r="AO29" i="1" s="1"/>
  <c r="Z29" i="1" s="1"/>
  <c r="AJ29" i="1"/>
  <c r="AL29" i="1" s="1"/>
  <c r="AJ41" i="1"/>
  <c r="AL41" i="1" s="1"/>
  <c r="BD22" i="1"/>
  <c r="AM35" i="1"/>
  <c r="AO35" i="1" s="1"/>
  <c r="Z35" i="1" s="1"/>
  <c r="AM40" i="1"/>
  <c r="AO40" i="1" s="1"/>
  <c r="Z40" i="1" s="1"/>
  <c r="AJ40" i="1"/>
  <c r="AL40" i="1" s="1"/>
  <c r="AM46" i="1"/>
  <c r="AO46" i="1" s="1"/>
  <c r="Z46" i="1" s="1"/>
  <c r="AM51" i="1"/>
  <c r="AO51" i="1" s="1"/>
  <c r="Z51" i="1" s="1"/>
  <c r="BD60" i="1"/>
  <c r="AM63" i="1"/>
  <c r="AO63" i="1" s="1"/>
  <c r="Z63" i="1" s="1"/>
  <c r="AJ63" i="1"/>
  <c r="AL63" i="1" s="1"/>
  <c r="AM56" i="1"/>
  <c r="AO56" i="1" s="1"/>
  <c r="Z56" i="1" s="1"/>
  <c r="AJ56" i="1"/>
  <c r="AL56" i="1" s="1"/>
  <c r="AJ57" i="1"/>
  <c r="AL57" i="1" s="1"/>
  <c r="AM65" i="1"/>
  <c r="AO65" i="1" s="1"/>
  <c r="Z65" i="1" s="1"/>
  <c r="AQ27" i="1"/>
  <c r="AX27" i="1" s="1"/>
  <c r="BD27" i="1" s="1"/>
  <c r="AQ33" i="1"/>
  <c r="AX33" i="1" s="1"/>
  <c r="BD33" i="1" s="1"/>
  <c r="BD36" i="1"/>
  <c r="AQ38" i="1"/>
  <c r="AX38" i="1" s="1"/>
  <c r="BD38" i="1" s="1"/>
  <c r="AQ43" i="1"/>
  <c r="AX43" i="1" s="1"/>
  <c r="BD43" i="1" s="1"/>
  <c r="AQ49" i="1"/>
  <c r="AX49" i="1" s="1"/>
  <c r="BD52" i="1"/>
  <c r="AQ54" i="1"/>
  <c r="AX54" i="1" s="1"/>
  <c r="BD54" i="1" s="1"/>
  <c r="BD20" i="1"/>
  <c r="AQ66" i="1"/>
  <c r="AX66" i="1" s="1"/>
  <c r="BD66" i="1" s="1"/>
  <c r="AQ63" i="1"/>
  <c r="AX63" i="1" s="1"/>
  <c r="BD63" i="1" s="1"/>
  <c r="AQ55" i="1"/>
  <c r="AX55" i="1" s="1"/>
  <c r="BD55" i="1" s="1"/>
  <c r="AQ47" i="1"/>
  <c r="AX47" i="1" s="1"/>
  <c r="BD47" i="1" s="1"/>
  <c r="AQ39" i="1"/>
  <c r="AX39" i="1" s="1"/>
  <c r="AQ31" i="1"/>
  <c r="AX31" i="1" s="1"/>
  <c r="BD31" i="1" s="1"/>
  <c r="AQ23" i="1"/>
  <c r="AX23" i="1" s="1"/>
  <c r="BD23" i="1" s="1"/>
  <c r="AQ15" i="1"/>
  <c r="AX15" i="1" s="1"/>
  <c r="BD15" i="1" s="1"/>
  <c r="AQ7" i="1"/>
  <c r="AX7" i="1" s="1"/>
  <c r="BD7" i="1" s="1"/>
  <c r="AQ12" i="1"/>
  <c r="AX12" i="1" s="1"/>
  <c r="BD12" i="1" s="1"/>
  <c r="AQ28" i="1"/>
  <c r="AX28" i="1" s="1"/>
  <c r="BD28" i="1" s="1"/>
  <c r="AQ44" i="1"/>
  <c r="AX44" i="1" s="1"/>
  <c r="BD44" i="1" s="1"/>
  <c r="AQ60" i="1"/>
  <c r="AX60" i="1" s="1"/>
  <c r="AQ61" i="1"/>
  <c r="AX61" i="1" s="1"/>
  <c r="K65" i="2" l="1"/>
  <c r="Y66" i="1"/>
  <c r="K45" i="2"/>
  <c r="Y46" i="1"/>
  <c r="K3" i="2"/>
  <c r="Y4" i="1"/>
  <c r="K11" i="2"/>
  <c r="Y12" i="1"/>
  <c r="K38" i="2"/>
  <c r="Y39" i="1"/>
  <c r="K53" i="2"/>
  <c r="Y54" i="1"/>
  <c r="L35" i="2"/>
  <c r="AA36" i="1"/>
  <c r="L41" i="2"/>
  <c r="AA42" i="1"/>
  <c r="K59" i="2"/>
  <c r="Y60" i="1"/>
  <c r="K6" i="2"/>
  <c r="Y7" i="1"/>
  <c r="L30" i="2"/>
  <c r="AA31" i="1"/>
  <c r="K55" i="2"/>
  <c r="Y56" i="1"/>
  <c r="K49" i="2"/>
  <c r="Y50" i="1"/>
  <c r="L4" i="2"/>
  <c r="AA5" i="1"/>
  <c r="L21" i="2"/>
  <c r="AA22" i="1"/>
  <c r="L20" i="2"/>
  <c r="AA21" i="1"/>
  <c r="Y28" i="1"/>
  <c r="K27" i="2"/>
  <c r="AA52" i="1"/>
  <c r="L51" i="2"/>
  <c r="L16" i="2"/>
  <c r="AA17" i="1"/>
  <c r="K40" i="2"/>
  <c r="Y41" i="1"/>
  <c r="K44" i="2"/>
  <c r="Y45" i="1"/>
  <c r="K18" i="2"/>
  <c r="Y19" i="1"/>
  <c r="K58" i="2"/>
  <c r="Y59" i="1"/>
  <c r="K63" i="2"/>
  <c r="Y64" i="1"/>
  <c r="K62" i="2"/>
  <c r="Y63" i="1"/>
  <c r="L47" i="2"/>
  <c r="AA48" i="1"/>
  <c r="K34" i="2"/>
  <c r="Y35" i="1"/>
  <c r="K54" i="2"/>
  <c r="Y55" i="1"/>
  <c r="K23" i="2"/>
  <c r="Y24" i="1"/>
  <c r="L19" i="2"/>
  <c r="AA20" i="1"/>
  <c r="L57" i="2"/>
  <c r="AA58" i="1"/>
  <c r="L15" i="2"/>
  <c r="AA16" i="1"/>
  <c r="K12" i="2"/>
  <c r="Y13" i="1"/>
  <c r="K37" i="2"/>
  <c r="Y38" i="1"/>
  <c r="L46" i="2"/>
  <c r="AA47" i="1"/>
  <c r="L8" i="2"/>
  <c r="AA9" i="1"/>
  <c r="K5" i="2"/>
  <c r="Y6" i="1"/>
  <c r="K26" i="2"/>
  <c r="Y27" i="1"/>
  <c r="K61" i="2"/>
  <c r="Y62" i="1"/>
  <c r="K42" i="2"/>
  <c r="Y43" i="1"/>
  <c r="K33" i="2"/>
  <c r="Y34" i="1"/>
  <c r="K48" i="2"/>
  <c r="Y49" i="1"/>
  <c r="K28" i="2"/>
  <c r="Y29" i="1"/>
  <c r="K43" i="2"/>
  <c r="Y44" i="1"/>
  <c r="K50" i="2"/>
  <c r="Y51" i="1"/>
  <c r="K32" i="2"/>
  <c r="Y33" i="1"/>
  <c r="K22" i="2"/>
  <c r="Y23" i="1"/>
  <c r="L64" i="2"/>
  <c r="AA65" i="1"/>
  <c r="K7" i="2"/>
  <c r="Y8" i="1"/>
  <c r="L52" i="2"/>
  <c r="AA53" i="1"/>
  <c r="K60" i="2"/>
  <c r="Y61" i="1"/>
  <c r="L36" i="2"/>
  <c r="AA37" i="1"/>
  <c r="L9" i="2"/>
  <c r="AA10" i="1"/>
  <c r="K56" i="2"/>
  <c r="Y57" i="1"/>
  <c r="K39" i="2"/>
  <c r="Y40" i="1"/>
  <c r="L31" i="2"/>
  <c r="AA32" i="1"/>
  <c r="K29" i="2"/>
  <c r="Y30" i="1"/>
  <c r="K17" i="2"/>
  <c r="Y18" i="1"/>
  <c r="K13" i="2"/>
  <c r="Y14" i="1"/>
  <c r="L25" i="2"/>
  <c r="AA26" i="1"/>
  <c r="L14" i="2"/>
  <c r="AA15" i="1"/>
  <c r="K10" i="2"/>
  <c r="Y11" i="1"/>
  <c r="L13" i="2" l="1"/>
  <c r="AA14" i="1"/>
  <c r="L39" i="2"/>
  <c r="AA40" i="1"/>
  <c r="L60" i="2"/>
  <c r="AA61" i="1"/>
  <c r="L22" i="2"/>
  <c r="AA23" i="1"/>
  <c r="L28" i="2"/>
  <c r="AA29" i="1"/>
  <c r="L61" i="2"/>
  <c r="AA62" i="1"/>
  <c r="L34" i="2"/>
  <c r="AA35" i="1"/>
  <c r="L58" i="2"/>
  <c r="AA59" i="1"/>
  <c r="L3" i="2"/>
  <c r="AA4" i="1"/>
  <c r="L10" i="2"/>
  <c r="AA11" i="1"/>
  <c r="L17" i="2"/>
  <c r="AA18" i="1"/>
  <c r="L56" i="2"/>
  <c r="AA57" i="1"/>
  <c r="L32" i="2"/>
  <c r="AA33" i="1"/>
  <c r="L48" i="2"/>
  <c r="AA49" i="1"/>
  <c r="L26" i="2"/>
  <c r="AA27" i="1"/>
  <c r="L37" i="2"/>
  <c r="AA38" i="1"/>
  <c r="L18" i="2"/>
  <c r="AA19" i="1"/>
  <c r="L6" i="2"/>
  <c r="AA7" i="1"/>
  <c r="L53" i="2"/>
  <c r="AA54" i="1"/>
  <c r="L45" i="2"/>
  <c r="AA46" i="1"/>
  <c r="L29" i="2"/>
  <c r="AA30" i="1"/>
  <c r="L7" i="2"/>
  <c r="AA8" i="1"/>
  <c r="L50" i="2"/>
  <c r="AA51" i="1"/>
  <c r="L33" i="2"/>
  <c r="AA34" i="1"/>
  <c r="L5" i="2"/>
  <c r="AA6" i="1"/>
  <c r="L12" i="2"/>
  <c r="AA13" i="1"/>
  <c r="L23" i="2"/>
  <c r="AA24" i="1"/>
  <c r="L62" i="2"/>
  <c r="AA63" i="1"/>
  <c r="L44" i="2"/>
  <c r="AA45" i="1"/>
  <c r="L49" i="2"/>
  <c r="AA50" i="1"/>
  <c r="L59" i="2"/>
  <c r="AA60" i="1"/>
  <c r="L38" i="2"/>
  <c r="AA39" i="1"/>
  <c r="L65" i="2"/>
  <c r="AA66" i="1"/>
  <c r="L27" i="2"/>
  <c r="AA28" i="1"/>
  <c r="L43" i="2"/>
  <c r="AA44" i="1"/>
  <c r="L42" i="2"/>
  <c r="AA43" i="1"/>
  <c r="L54" i="2"/>
  <c r="AA55" i="1"/>
  <c r="L63" i="2"/>
  <c r="AA64" i="1"/>
  <c r="L40" i="2"/>
  <c r="AA41" i="1"/>
  <c r="L55" i="2"/>
  <c r="AA56" i="1"/>
  <c r="L11" i="2"/>
  <c r="AA12" i="1"/>
  <c r="N3" i="2" l="1" a="1"/>
  <c r="T70" i="2" l="1"/>
  <c r="X69" i="2"/>
  <c r="P69" i="2"/>
  <c r="T68" i="2"/>
  <c r="X67" i="2"/>
  <c r="P67" i="2"/>
  <c r="T66" i="2"/>
  <c r="X65" i="2"/>
  <c r="P65" i="2"/>
  <c r="T64" i="2"/>
  <c r="X63" i="2"/>
  <c r="P63" i="2"/>
  <c r="T62" i="2"/>
  <c r="X61" i="2"/>
  <c r="P61" i="2"/>
  <c r="T60" i="2"/>
  <c r="X59" i="2"/>
  <c r="S70" i="2"/>
  <c r="W69" i="2"/>
  <c r="O69" i="2"/>
  <c r="S68" i="2"/>
  <c r="W67" i="2"/>
  <c r="O67" i="2"/>
  <c r="S66" i="2"/>
  <c r="W65" i="2"/>
  <c r="O65" i="2"/>
  <c r="S64" i="2"/>
  <c r="W63" i="2"/>
  <c r="O63" i="2"/>
  <c r="S62" i="2"/>
  <c r="W61" i="2"/>
  <c r="O61" i="2"/>
  <c r="S60" i="2"/>
  <c r="W59" i="2"/>
  <c r="O59" i="2"/>
  <c r="S58" i="2"/>
  <c r="W57" i="2"/>
  <c r="O57" i="2"/>
  <c r="S56" i="2"/>
  <c r="Y70" i="2"/>
  <c r="O70" i="2"/>
  <c r="Q69" i="2"/>
  <c r="Q68" i="2"/>
  <c r="S67" i="2"/>
  <c r="U66" i="2"/>
  <c r="U65" i="2"/>
  <c r="W64" i="2"/>
  <c r="Y63" i="2"/>
  <c r="Y62" i="2"/>
  <c r="O62" i="2"/>
  <c r="Q61" i="2"/>
  <c r="Q60" i="2"/>
  <c r="S59" i="2"/>
  <c r="V58" i="2"/>
  <c r="Y57" i="2"/>
  <c r="P57" i="2"/>
  <c r="R56" i="2"/>
  <c r="V55" i="2"/>
  <c r="N55" i="2"/>
  <c r="R54" i="2"/>
  <c r="V53" i="2"/>
  <c r="N53" i="2"/>
  <c r="R52" i="2"/>
  <c r="V51" i="2"/>
  <c r="N51" i="2"/>
  <c r="R50" i="2"/>
  <c r="V49" i="2"/>
  <c r="N49" i="2"/>
  <c r="R48" i="2"/>
  <c r="V47" i="2"/>
  <c r="N47" i="2"/>
  <c r="R46" i="2"/>
  <c r="V45" i="2"/>
  <c r="U70" i="2"/>
  <c r="T69" i="2"/>
  <c r="U68" i="2"/>
  <c r="T67" i="2"/>
  <c r="R66" i="2"/>
  <c r="S65" i="2"/>
  <c r="R64" i="2"/>
  <c r="S63" i="2"/>
  <c r="R62" i="2"/>
  <c r="S61" i="2"/>
  <c r="R60" i="2"/>
  <c r="R59" i="2"/>
  <c r="T58" i="2"/>
  <c r="U57" i="2"/>
  <c r="W56" i="2"/>
  <c r="Y55" i="2"/>
  <c r="P55" i="2"/>
  <c r="S54" i="2"/>
  <c r="U53" i="2"/>
  <c r="X52" i="2"/>
  <c r="O52" i="2"/>
  <c r="R51" i="2"/>
  <c r="U50" i="2"/>
  <c r="X49" i="2"/>
  <c r="O49" i="2"/>
  <c r="Q48" i="2"/>
  <c r="T47" i="2"/>
  <c r="W46" i="2"/>
  <c r="N46" i="2"/>
  <c r="Q45" i="2"/>
  <c r="U44" i="2"/>
  <c r="Y43" i="2"/>
  <c r="Q43" i="2"/>
  <c r="U42" i="2"/>
  <c r="Y41" i="2"/>
  <c r="R70" i="2"/>
  <c r="S69" i="2"/>
  <c r="R68" i="2"/>
  <c r="R67" i="2"/>
  <c r="Q66" i="2"/>
  <c r="R65" i="2"/>
  <c r="Q64" i="2"/>
  <c r="R63" i="2"/>
  <c r="Q62" i="2"/>
  <c r="R61" i="2"/>
  <c r="P60" i="2"/>
  <c r="Q59" i="2"/>
  <c r="R58" i="2"/>
  <c r="T57" i="2"/>
  <c r="V56" i="2"/>
  <c r="X55" i="2"/>
  <c r="O55" i="2"/>
  <c r="Q54" i="2"/>
  <c r="T53" i="2"/>
  <c r="W52" i="2"/>
  <c r="N52" i="2"/>
  <c r="Q51" i="2"/>
  <c r="T50" i="2"/>
  <c r="W49" i="2"/>
  <c r="Y48" i="2"/>
  <c r="P48" i="2"/>
  <c r="S47" i="2"/>
  <c r="V46" i="2"/>
  <c r="Y45" i="2"/>
  <c r="P45" i="2"/>
  <c r="T44" i="2"/>
  <c r="X43" i="2"/>
  <c r="P43" i="2"/>
  <c r="T42" i="2"/>
  <c r="X41" i="2"/>
  <c r="P41" i="2"/>
  <c r="T40" i="2"/>
  <c r="X39" i="2"/>
  <c r="P39" i="2"/>
  <c r="Q70" i="2"/>
  <c r="R69" i="2"/>
  <c r="P68" i="2"/>
  <c r="Q67" i="2"/>
  <c r="P66" i="2"/>
  <c r="Q65" i="2"/>
  <c r="P64" i="2"/>
  <c r="Q63" i="2"/>
  <c r="P62" i="2"/>
  <c r="N61" i="2"/>
  <c r="O60" i="2"/>
  <c r="P59" i="2"/>
  <c r="Q58" i="2"/>
  <c r="S57" i="2"/>
  <c r="U56" i="2"/>
  <c r="W55" i="2"/>
  <c r="Y54" i="2"/>
  <c r="P54" i="2"/>
  <c r="S53" i="2"/>
  <c r="V52" i="2"/>
  <c r="Y51" i="2"/>
  <c r="P51" i="2"/>
  <c r="S50" i="2"/>
  <c r="U49" i="2"/>
  <c r="X48" i="2"/>
  <c r="O48" i="2"/>
  <c r="R47" i="2"/>
  <c r="U46" i="2"/>
  <c r="X45" i="2"/>
  <c r="O45" i="2"/>
  <c r="S44" i="2"/>
  <c r="W43" i="2"/>
  <c r="O43" i="2"/>
  <c r="S42" i="2"/>
  <c r="W41" i="2"/>
  <c r="O41" i="2"/>
  <c r="S40" i="2"/>
  <c r="W39" i="2"/>
  <c r="O39" i="2"/>
  <c r="S38" i="2"/>
  <c r="W37" i="2"/>
  <c r="P70" i="2"/>
  <c r="N69" i="2"/>
  <c r="O68" i="2"/>
  <c r="N67" i="2"/>
  <c r="O66" i="2"/>
  <c r="N65" i="2"/>
  <c r="O64" i="2"/>
  <c r="N63" i="2"/>
  <c r="N62" i="2"/>
  <c r="Y60" i="2"/>
  <c r="N60" i="2"/>
  <c r="N59" i="2"/>
  <c r="P58" i="2"/>
  <c r="R57" i="2"/>
  <c r="T56" i="2"/>
  <c r="U55" i="2"/>
  <c r="X54" i="2"/>
  <c r="O54" i="2"/>
  <c r="R53" i="2"/>
  <c r="U52" i="2"/>
  <c r="X51" i="2"/>
  <c r="O51" i="2"/>
  <c r="Q50" i="2"/>
  <c r="T49" i="2"/>
  <c r="X70" i="2"/>
  <c r="X68" i="2"/>
  <c r="X66" i="2"/>
  <c r="X64" i="2"/>
  <c r="W62" i="2"/>
  <c r="W60" i="2"/>
  <c r="X58" i="2"/>
  <c r="N57" i="2"/>
  <c r="S55" i="2"/>
  <c r="Y53" i="2"/>
  <c r="S52" i="2"/>
  <c r="X50" i="2"/>
  <c r="R49" i="2"/>
  <c r="N48" i="2"/>
  <c r="Y46" i="2"/>
  <c r="U45" i="2"/>
  <c r="V44" i="2"/>
  <c r="T43" i="2"/>
  <c r="R42" i="2"/>
  <c r="S41" i="2"/>
  <c r="U40" i="2"/>
  <c r="U39" i="2"/>
  <c r="W38" i="2"/>
  <c r="N38" i="2"/>
  <c r="Q37" i="2"/>
  <c r="U36" i="2"/>
  <c r="Y35" i="2"/>
  <c r="Q35" i="2"/>
  <c r="U34" i="2"/>
  <c r="Y33" i="2"/>
  <c r="Q33" i="2"/>
  <c r="U32" i="2"/>
  <c r="Y31" i="2"/>
  <c r="Q31" i="2"/>
  <c r="U30" i="2"/>
  <c r="Y29" i="2"/>
  <c r="Q29" i="2"/>
  <c r="U28" i="2"/>
  <c r="Y27" i="2"/>
  <c r="Q27" i="2"/>
  <c r="U26" i="2"/>
  <c r="Y25" i="2"/>
  <c r="Q25" i="2"/>
  <c r="U24" i="2"/>
  <c r="Y23" i="2"/>
  <c r="Q23" i="2"/>
  <c r="U22" i="2"/>
  <c r="Y21" i="2"/>
  <c r="Q21" i="2"/>
  <c r="U20" i="2"/>
  <c r="Y19" i="2"/>
  <c r="Q19" i="2"/>
  <c r="U18" i="2"/>
  <c r="Y17" i="2"/>
  <c r="Q17" i="2"/>
  <c r="U16" i="2"/>
  <c r="Y15" i="2"/>
  <c r="Q15" i="2"/>
  <c r="U14" i="2"/>
  <c r="Y13" i="2"/>
  <c r="Q13" i="2"/>
  <c r="U12" i="2"/>
  <c r="Y11" i="2"/>
  <c r="Q11" i="2"/>
  <c r="U10" i="2"/>
  <c r="Y9" i="2"/>
  <c r="Q9" i="2"/>
  <c r="U8" i="2"/>
  <c r="Y7" i="2"/>
  <c r="Q7" i="2"/>
  <c r="U6" i="2"/>
  <c r="Y5" i="2"/>
  <c r="Q5" i="2"/>
  <c r="U4" i="2"/>
  <c r="Y3" i="2"/>
  <c r="Q3" i="2"/>
  <c r="Y68" i="2"/>
  <c r="Y66" i="2"/>
  <c r="Y64" i="2"/>
  <c r="X62" i="2"/>
  <c r="X60" i="2"/>
  <c r="Y58" i="2"/>
  <c r="Q57" i="2"/>
  <c r="T55" i="2"/>
  <c r="N54" i="2"/>
  <c r="T52" i="2"/>
  <c r="Y50" i="2"/>
  <c r="S49" i="2"/>
  <c r="S48" i="2"/>
  <c r="O47" i="2"/>
  <c r="W45" i="2"/>
  <c r="W44" i="2"/>
  <c r="U43" i="2"/>
  <c r="V42" i="2"/>
  <c r="T41" i="2"/>
  <c r="V40" i="2"/>
  <c r="V39" i="2"/>
  <c r="X38" i="2"/>
  <c r="O38" i="2"/>
  <c r="R37" i="2"/>
  <c r="V36" i="2"/>
  <c r="N36" i="2"/>
  <c r="R35" i="2"/>
  <c r="V34" i="2"/>
  <c r="N34" i="2"/>
  <c r="R33" i="2"/>
  <c r="V32" i="2"/>
  <c r="N32" i="2"/>
  <c r="R31" i="2"/>
  <c r="V30" i="2"/>
  <c r="N30" i="2"/>
  <c r="R29" i="2"/>
  <c r="V28" i="2"/>
  <c r="N28" i="2"/>
  <c r="R27" i="2"/>
  <c r="V26" i="2"/>
  <c r="N26" i="2"/>
  <c r="R25" i="2"/>
  <c r="V24" i="2"/>
  <c r="N24" i="2"/>
  <c r="R23" i="2"/>
  <c r="V22" i="2"/>
  <c r="N22" i="2"/>
  <c r="R21" i="2"/>
  <c r="V20" i="2"/>
  <c r="N20" i="2"/>
  <c r="R19" i="2"/>
  <c r="V18" i="2"/>
  <c r="N18" i="2"/>
  <c r="R17" i="2"/>
  <c r="V16" i="2"/>
  <c r="N16" i="2"/>
  <c r="R15" i="2"/>
  <c r="V14" i="2"/>
  <c r="N14" i="2"/>
  <c r="R13" i="2"/>
  <c r="V12" i="2"/>
  <c r="N12" i="2"/>
  <c r="R11" i="2"/>
  <c r="V69" i="2"/>
  <c r="W66" i="2"/>
  <c r="N64" i="2"/>
  <c r="U61" i="2"/>
  <c r="W58" i="2"/>
  <c r="Q56" i="2"/>
  <c r="U54" i="2"/>
  <c r="Q52" i="2"/>
  <c r="P50" i="2"/>
  <c r="U48" i="2"/>
  <c r="X46" i="2"/>
  <c r="R45" i="2"/>
  <c r="N44" i="2"/>
  <c r="Q42" i="2"/>
  <c r="N41" i="2"/>
  <c r="N40" i="2"/>
  <c r="V38" i="2"/>
  <c r="V37" i="2"/>
  <c r="X36" i="2"/>
  <c r="X35" i="2"/>
  <c r="N35" i="2"/>
  <c r="P34" i="2"/>
  <c r="P33" i="2"/>
  <c r="R32" i="2"/>
  <c r="T31" i="2"/>
  <c r="T30" i="2"/>
  <c r="V29" i="2"/>
  <c r="X28" i="2"/>
  <c r="X27" i="2"/>
  <c r="N27" i="2"/>
  <c r="P26" i="2"/>
  <c r="P25" i="2"/>
  <c r="R24" i="2"/>
  <c r="T23" i="2"/>
  <c r="T22" i="2"/>
  <c r="V21" i="2"/>
  <c r="X20" i="2"/>
  <c r="X19" i="2"/>
  <c r="N19" i="2"/>
  <c r="P18" i="2"/>
  <c r="P17" i="2"/>
  <c r="R16" i="2"/>
  <c r="T15" i="2"/>
  <c r="T14" i="2"/>
  <c r="V13" i="2"/>
  <c r="X12" i="2"/>
  <c r="X11" i="2"/>
  <c r="N11" i="2"/>
  <c r="Q10" i="2"/>
  <c r="T9" i="2"/>
  <c r="W8" i="2"/>
  <c r="N8" i="2"/>
  <c r="P7" i="2"/>
  <c r="S6" i="2"/>
  <c r="V5" i="2"/>
  <c r="Y4" i="2"/>
  <c r="P4" i="2"/>
  <c r="S3" i="2"/>
  <c r="U69" i="2"/>
  <c r="V66" i="2"/>
  <c r="V63" i="2"/>
  <c r="T61" i="2"/>
  <c r="U58" i="2"/>
  <c r="P56" i="2"/>
  <c r="T54" i="2"/>
  <c r="P52" i="2"/>
  <c r="O50" i="2"/>
  <c r="T48" i="2"/>
  <c r="T46" i="2"/>
  <c r="N45" i="2"/>
  <c r="V43" i="2"/>
  <c r="P42" i="2"/>
  <c r="Y40" i="2"/>
  <c r="Y39" i="2"/>
  <c r="U38" i="2"/>
  <c r="U37" i="2"/>
  <c r="W36" i="2"/>
  <c r="W35" i="2"/>
  <c r="Y34" i="2"/>
  <c r="O34" i="2"/>
  <c r="O33" i="2"/>
  <c r="Q32" i="2"/>
  <c r="S31" i="2"/>
  <c r="S30" i="2"/>
  <c r="U29" i="2"/>
  <c r="W28" i="2"/>
  <c r="W27" i="2"/>
  <c r="Y26" i="2"/>
  <c r="O26" i="2"/>
  <c r="O25" i="2"/>
  <c r="Q24" i="2"/>
  <c r="S23" i="2"/>
  <c r="S22" i="2"/>
  <c r="U21" i="2"/>
  <c r="W20" i="2"/>
  <c r="W19" i="2"/>
  <c r="Y18" i="2"/>
  <c r="O18" i="2"/>
  <c r="O17" i="2"/>
  <c r="Q16" i="2"/>
  <c r="S15" i="2"/>
  <c r="S14" i="2"/>
  <c r="U13" i="2"/>
  <c r="W12" i="2"/>
  <c r="W11" i="2"/>
  <c r="Y10" i="2"/>
  <c r="P10" i="2"/>
  <c r="S9" i="2"/>
  <c r="V8" i="2"/>
  <c r="X7" i="2"/>
  <c r="O7" i="2"/>
  <c r="R6" i="2"/>
  <c r="U5" i="2"/>
  <c r="X4" i="2"/>
  <c r="O4" i="2"/>
  <c r="R3" i="2"/>
  <c r="W68" i="2"/>
  <c r="N66" i="2"/>
  <c r="U63" i="2"/>
  <c r="V60" i="2"/>
  <c r="O58" i="2"/>
  <c r="O56" i="2"/>
  <c r="X53" i="2"/>
  <c r="W51" i="2"/>
  <c r="N50" i="2"/>
  <c r="Y47" i="2"/>
  <c r="S46" i="2"/>
  <c r="Y44" i="2"/>
  <c r="S43" i="2"/>
  <c r="O42" i="2"/>
  <c r="X40" i="2"/>
  <c r="T39" i="2"/>
  <c r="T38" i="2"/>
  <c r="T37" i="2"/>
  <c r="T36" i="2"/>
  <c r="V35" i="2"/>
  <c r="X34" i="2"/>
  <c r="X33" i="2"/>
  <c r="N33" i="2"/>
  <c r="P32" i="2"/>
  <c r="P31" i="2"/>
  <c r="R30" i="2"/>
  <c r="T29" i="2"/>
  <c r="T28" i="2"/>
  <c r="V27" i="2"/>
  <c r="X26" i="2"/>
  <c r="X25" i="2"/>
  <c r="N25" i="2"/>
  <c r="P24" i="2"/>
  <c r="P23" i="2"/>
  <c r="R22" i="2"/>
  <c r="T21" i="2"/>
  <c r="T20" i="2"/>
  <c r="V19" i="2"/>
  <c r="X18" i="2"/>
  <c r="X17" i="2"/>
  <c r="N17" i="2"/>
  <c r="P16" i="2"/>
  <c r="P15" i="2"/>
  <c r="R14" i="2"/>
  <c r="T13" i="2"/>
  <c r="T12" i="2"/>
  <c r="V11" i="2"/>
  <c r="X10" i="2"/>
  <c r="O10" i="2"/>
  <c r="R9" i="2"/>
  <c r="T8" i="2"/>
  <c r="W7" i="2"/>
  <c r="N7" i="2"/>
  <c r="Q6" i="2"/>
  <c r="T5" i="2"/>
  <c r="W4" i="2"/>
  <c r="N4" i="2"/>
  <c r="P3" i="2"/>
  <c r="W70" i="2"/>
  <c r="N68" i="2"/>
  <c r="V65" i="2"/>
  <c r="V62" i="2"/>
  <c r="Y59" i="2"/>
  <c r="X57" i="2"/>
  <c r="R55" i="2"/>
  <c r="Q53" i="2"/>
  <c r="T51" i="2"/>
  <c r="Q49" i="2"/>
  <c r="W47" i="2"/>
  <c r="P46" i="2"/>
  <c r="R44" i="2"/>
  <c r="N43" i="2"/>
  <c r="V41" i="2"/>
  <c r="R40" i="2"/>
  <c r="R39" i="2"/>
  <c r="Q38" i="2"/>
  <c r="P37" i="2"/>
  <c r="R36" i="2"/>
  <c r="T35" i="2"/>
  <c r="T34" i="2"/>
  <c r="V33" i="2"/>
  <c r="X32" i="2"/>
  <c r="X31" i="2"/>
  <c r="N31" i="2"/>
  <c r="P30" i="2"/>
  <c r="P29" i="2"/>
  <c r="R28" i="2"/>
  <c r="T27" i="2"/>
  <c r="T26" i="2"/>
  <c r="V25" i="2"/>
  <c r="X24" i="2"/>
  <c r="X23" i="2"/>
  <c r="N23" i="2"/>
  <c r="P22" i="2"/>
  <c r="P21" i="2"/>
  <c r="R20" i="2"/>
  <c r="T19" i="2"/>
  <c r="T18" i="2"/>
  <c r="V17" i="2"/>
  <c r="X16" i="2"/>
  <c r="X15" i="2"/>
  <c r="N15" i="2"/>
  <c r="P14" i="2"/>
  <c r="P13" i="2"/>
  <c r="R12" i="2"/>
  <c r="T11" i="2"/>
  <c r="V10" i="2"/>
  <c r="X9" i="2"/>
  <c r="O9" i="2"/>
  <c r="R8" i="2"/>
  <c r="U7" i="2"/>
  <c r="X6" i="2"/>
  <c r="O6" i="2"/>
  <c r="R5" i="2"/>
  <c r="T4" i="2"/>
  <c r="W3" i="2"/>
  <c r="Y69" i="2"/>
  <c r="U64" i="2"/>
  <c r="T59" i="2"/>
  <c r="V54" i="2"/>
  <c r="V50" i="2"/>
  <c r="P47" i="2"/>
  <c r="O44" i="2"/>
  <c r="Q41" i="2"/>
  <c r="Y38" i="2"/>
  <c r="Y36" i="2"/>
  <c r="O35" i="2"/>
  <c r="S33" i="2"/>
  <c r="U31" i="2"/>
  <c r="W29" i="2"/>
  <c r="O28" i="2"/>
  <c r="Q26" i="2"/>
  <c r="S24" i="2"/>
  <c r="W22" i="2"/>
  <c r="Y20" i="2"/>
  <c r="O19" i="2"/>
  <c r="S17" i="2"/>
  <c r="U15" i="2"/>
  <c r="W13" i="2"/>
  <c r="O12" i="2"/>
  <c r="R10" i="2"/>
  <c r="X8" i="2"/>
  <c r="R7" i="2"/>
  <c r="W5" i="2"/>
  <c r="Q4" i="2"/>
  <c r="V68" i="2"/>
  <c r="T63" i="2"/>
  <c r="N58" i="2"/>
  <c r="W53" i="2"/>
  <c r="Y49" i="2"/>
  <c r="Q46" i="2"/>
  <c r="R43" i="2"/>
  <c r="W40" i="2"/>
  <c r="R38" i="2"/>
  <c r="S36" i="2"/>
  <c r="W34" i="2"/>
  <c r="Y32" i="2"/>
  <c r="O31" i="2"/>
  <c r="S29" i="2"/>
  <c r="U27" i="2"/>
  <c r="W25" i="2"/>
  <c r="O24" i="2"/>
  <c r="Q22" i="2"/>
  <c r="S20" i="2"/>
  <c r="W18" i="2"/>
  <c r="Y16" i="2"/>
  <c r="O15" i="2"/>
  <c r="S13" i="2"/>
  <c r="U11" i="2"/>
  <c r="N10" i="2"/>
  <c r="S8" i="2"/>
  <c r="Y6" i="2"/>
  <c r="S5" i="2"/>
  <c r="X3" i="2"/>
  <c r="Y67" i="2"/>
  <c r="U62" i="2"/>
  <c r="V57" i="2"/>
  <c r="P53" i="2"/>
  <c r="P49" i="2"/>
  <c r="O46" i="2"/>
  <c r="Y42" i="2"/>
  <c r="Q40" i="2"/>
  <c r="P38" i="2"/>
  <c r="Q36" i="2"/>
  <c r="S34" i="2"/>
  <c r="W32" i="2"/>
  <c r="Y30" i="2"/>
  <c r="O29" i="2"/>
  <c r="S27" i="2"/>
  <c r="U25" i="2"/>
  <c r="W23" i="2"/>
  <c r="O22" i="2"/>
  <c r="Q20" i="2"/>
  <c r="S18" i="2"/>
  <c r="W16" i="2"/>
  <c r="Y14" i="2"/>
  <c r="O13" i="2"/>
  <c r="S11" i="2"/>
  <c r="W9" i="2"/>
  <c r="Q8" i="2"/>
  <c r="W6" i="2"/>
  <c r="P5" i="2"/>
  <c r="V3" i="2"/>
  <c r="U67" i="2"/>
  <c r="V61" i="2"/>
  <c r="X56" i="2"/>
  <c r="Y52" i="2"/>
  <c r="V48" i="2"/>
  <c r="S45" i="2"/>
  <c r="W42" i="2"/>
  <c r="O40" i="2"/>
  <c r="X37" i="2"/>
  <c r="O36" i="2"/>
  <c r="Q34" i="2"/>
  <c r="S32" i="2"/>
  <c r="W30" i="2"/>
  <c r="Y28" i="2"/>
  <c r="O27" i="2"/>
  <c r="S25" i="2"/>
  <c r="U23" i="2"/>
  <c r="W21" i="2"/>
  <c r="O20" i="2"/>
  <c r="Q18" i="2"/>
  <c r="S16" i="2"/>
  <c r="W14" i="2"/>
  <c r="Y12" i="2"/>
  <c r="O11" i="2"/>
  <c r="U9" i="2"/>
  <c r="O8" i="2"/>
  <c r="T6" i="2"/>
  <c r="N5" i="2"/>
  <c r="T3" i="2"/>
  <c r="N70" i="2"/>
  <c r="U59" i="2"/>
  <c r="W50" i="2"/>
  <c r="P44" i="2"/>
  <c r="N39" i="2"/>
  <c r="P35" i="2"/>
  <c r="V31" i="2"/>
  <c r="P28" i="2"/>
  <c r="T24" i="2"/>
  <c r="N21" i="2"/>
  <c r="T17" i="2"/>
  <c r="X13" i="2"/>
  <c r="S10" i="2"/>
  <c r="S7" i="2"/>
  <c r="R4" i="2"/>
  <c r="V67" i="2"/>
  <c r="Y56" i="2"/>
  <c r="W48" i="2"/>
  <c r="X42" i="2"/>
  <c r="Y37" i="2"/>
  <c r="R34" i="2"/>
  <c r="X30" i="2"/>
  <c r="P27" i="2"/>
  <c r="V23" i="2"/>
  <c r="P20" i="2"/>
  <c r="T16" i="2"/>
  <c r="N13" i="2"/>
  <c r="V9" i="2"/>
  <c r="V6" i="2"/>
  <c r="U3" i="2"/>
  <c r="Y65" i="2"/>
  <c r="N56" i="2"/>
  <c r="X47" i="2"/>
  <c r="N42" i="2"/>
  <c r="S37" i="2"/>
  <c r="W33" i="2"/>
  <c r="Q30" i="2"/>
  <c r="W26" i="2"/>
  <c r="O23" i="2"/>
  <c r="U19" i="2"/>
  <c r="O16" i="2"/>
  <c r="S12" i="2"/>
  <c r="P9" i="2"/>
  <c r="P6" i="2"/>
  <c r="O3" i="2"/>
  <c r="T65" i="2"/>
  <c r="Q55" i="2"/>
  <c r="U47" i="2"/>
  <c r="U41" i="2"/>
  <c r="O37" i="2"/>
  <c r="U33" i="2"/>
  <c r="O30" i="2"/>
  <c r="S26" i="2"/>
  <c r="Y22" i="2"/>
  <c r="S19" i="2"/>
  <c r="W15" i="2"/>
  <c r="Q12" i="2"/>
  <c r="N9" i="2"/>
  <c r="N6" i="2"/>
  <c r="N3" i="2"/>
  <c r="V64" i="2"/>
  <c r="Y8" i="2"/>
  <c r="P36" i="2"/>
  <c r="P8" i="2"/>
  <c r="W54" i="2"/>
  <c r="Q47" i="2"/>
  <c r="R41" i="2"/>
  <c r="N37" i="2"/>
  <c r="T33" i="2"/>
  <c r="X29" i="2"/>
  <c r="R26" i="2"/>
  <c r="X22" i="2"/>
  <c r="P19" i="2"/>
  <c r="V15" i="2"/>
  <c r="P12" i="2"/>
  <c r="X5" i="2"/>
  <c r="Y61" i="2"/>
  <c r="O53" i="2"/>
  <c r="T45" i="2"/>
  <c r="P40" i="2"/>
  <c r="T32" i="2"/>
  <c r="N29" i="2"/>
  <c r="T25" i="2"/>
  <c r="X21" i="2"/>
  <c r="R18" i="2"/>
  <c r="X14" i="2"/>
  <c r="P11" i="2"/>
  <c r="O5" i="2"/>
  <c r="U60" i="2"/>
  <c r="U35" i="2"/>
  <c r="V4" i="2"/>
  <c r="U51" i="2"/>
  <c r="X44" i="2"/>
  <c r="S39" i="2"/>
  <c r="O32" i="2"/>
  <c r="S28" i="2"/>
  <c r="Y24" i="2"/>
  <c r="S21" i="2"/>
  <c r="W17" i="2"/>
  <c r="Q14" i="2"/>
  <c r="W10" i="2"/>
  <c r="V7" i="2"/>
  <c r="V70" i="2"/>
  <c r="V59" i="2"/>
  <c r="S51" i="2"/>
  <c r="Q44" i="2"/>
  <c r="Q39" i="2"/>
  <c r="S35" i="2"/>
  <c r="W31" i="2"/>
  <c r="Q28" i="2"/>
  <c r="W24" i="2"/>
  <c r="O21" i="2"/>
  <c r="U17" i="2"/>
  <c r="O14" i="2"/>
  <c r="T10" i="2"/>
  <c r="T7" i="2"/>
  <c r="S4" i="2"/>
</calcChain>
</file>

<file path=xl/sharedStrings.xml><?xml version="1.0" encoding="utf-8"?>
<sst xmlns="http://schemas.openxmlformats.org/spreadsheetml/2006/main" count="176" uniqueCount="83">
  <si>
    <t>Asset Parameters (normalized by commodity feedstock)</t>
  </si>
  <si>
    <t>Duals</t>
  </si>
  <si>
    <t>LCOE for assets with ethane capacity ($/t-ethylene)</t>
  </si>
  <si>
    <t>CI</t>
  </si>
  <si>
    <t>CREDIT</t>
  </si>
  <si>
    <t>CARBON INTENSITY</t>
  </si>
  <si>
    <t>Carbon Content</t>
  </si>
  <si>
    <t>Carbon Inputs</t>
  </si>
  <si>
    <t>Carbon Outputs</t>
  </si>
  <si>
    <t>Assumptions</t>
  </si>
  <si>
    <t>id</t>
  </si>
  <si>
    <t>commodity</t>
  </si>
  <si>
    <t>CCS</t>
  </si>
  <si>
    <t>h2_consumption (MWh/t-CO2Captured)</t>
  </si>
  <si>
    <t>elec_consumption (MWh/t-CO2Captured)</t>
  </si>
  <si>
    <t>ethylene_production (t-ethylene/t-CO2Captured)</t>
  </si>
  <si>
    <t>natgas_production (MWh/t-CO2Captured)</t>
  </si>
  <si>
    <t>gasoline_production (MWh/t-CO2Captured)</t>
  </si>
  <si>
    <t>emission_rate (t-CO2/t-CO2Captured)</t>
  </si>
  <si>
    <t>investment_cost ($/yr per t-CO2Captured/hr)</t>
  </si>
  <si>
    <t>fixed_om_cost ($/yr per t-CO2Captured/hr)</t>
  </si>
  <si>
    <t>variable_om_cost ($/t-CO2Captured)</t>
  </si>
  <si>
    <t>LPG production (t-LPG p t-ethylene)</t>
  </si>
  <si>
    <t>co2_sink ($/t)</t>
  </si>
  <si>
    <t>co2_captured ($/t)</t>
  </si>
  <si>
    <t>elec_demand ($/MWh)</t>
  </si>
  <si>
    <t>h2_balance ($/MWh)</t>
  </si>
  <si>
    <t>gasoline_balance ($/MWh)</t>
  </si>
  <si>
    <t>ng_balance ($/MWh)</t>
  </si>
  <si>
    <t>id_LC</t>
  </si>
  <si>
    <t>commodity_LC</t>
  </si>
  <si>
    <t>LCOE ($/t-ethylene)</t>
  </si>
  <si>
    <t>Diff. Between Methods</t>
  </si>
  <si>
    <t>h2_consumption</t>
  </si>
  <si>
    <t>elec_consumption</t>
  </si>
  <si>
    <t>co2captured_consumption</t>
  </si>
  <si>
    <t>natgas_production</t>
  </si>
  <si>
    <t>gasoline_production</t>
  </si>
  <si>
    <t>investment_cost</t>
  </si>
  <si>
    <t>fixed_om_cost</t>
  </si>
  <si>
    <t>variable_om_cost</t>
  </si>
  <si>
    <t>modified capture cost</t>
  </si>
  <si>
    <t>modified emissions cost</t>
  </si>
  <si>
    <t>Ethylene (t-CO2/t-ethylene)</t>
  </si>
  <si>
    <t>Gasoline (t-CO2/MWh-gasoline)</t>
  </si>
  <si>
    <t>LPG (t-CO2/t-LPG)</t>
  </si>
  <si>
    <t>NG (t-CO2/MWh-NG)</t>
  </si>
  <si>
    <t>CO2Captured (t-CO2/t-ethylene)</t>
  </si>
  <si>
    <t>NG (t-CO2/t-ethylene)</t>
  </si>
  <si>
    <t>Emissions (t-CO2/t-ethylene)</t>
  </si>
  <si>
    <t>LPG (t-CO2/t-ethylene)</t>
  </si>
  <si>
    <t>Gasoline (t-CO2/t-ethylene)</t>
  </si>
  <si>
    <t>INPUT - OUTPUT (diff LPG)</t>
  </si>
  <si>
    <t>Ethylene Carbon Content</t>
  </si>
  <si>
    <t>t-CO2/t-ethylene</t>
  </si>
  <si>
    <t>CA_S-H2in</t>
  </si>
  <si>
    <t>CO2Captured</t>
  </si>
  <si>
    <t>Gasoline Carbon Content</t>
  </si>
  <si>
    <t>t-CO2/MWh-gasoline</t>
  </si>
  <si>
    <t>NW_S-H2in</t>
  </si>
  <si>
    <t>Natural Gas Carbon Content</t>
  </si>
  <si>
    <t>t-CO2/MWh-natgas</t>
  </si>
  <si>
    <t>SW_S-H2in</t>
  </si>
  <si>
    <t>LPG Carbon Content</t>
  </si>
  <si>
    <t>t-CO2/t-LPG</t>
  </si>
  <si>
    <t>TX_S-H2in</t>
  </si>
  <si>
    <t>Capacity Factor</t>
  </si>
  <si>
    <t>%</t>
  </si>
  <si>
    <t>NCEN_S-H2in</t>
  </si>
  <si>
    <t>CEN_S-H2in</t>
  </si>
  <si>
    <t>SE_S-H2in</t>
  </si>
  <si>
    <t>MIDAT_S-H2in</t>
  </si>
  <si>
    <t>NE_S-H2in</t>
  </si>
  <si>
    <t>CA_S-CC90-H2in</t>
  </si>
  <si>
    <t>NW_S-CC90-H2in</t>
  </si>
  <si>
    <t>SW_S-CC90-H2in</t>
  </si>
  <si>
    <t>TX_S-CC90-H2in</t>
  </si>
  <si>
    <t>NCEN_S-CC90-H2in</t>
  </si>
  <si>
    <t>CEN_S-CC90-H2in</t>
  </si>
  <si>
    <t>SE_S-CC90-H2in</t>
  </si>
  <si>
    <t>MIDAT_S-CC90-H2in</t>
  </si>
  <si>
    <t>NE_S-CC90-H2in</t>
  </si>
  <si>
    <t>Levelized cost for Synthetic Ethylene Production - $/t-ethylene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</si>
</sst>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3DEFA"/>
        <b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  <xf numFmtId="0" fontId="3" fillId="7" borderId="0" xfId="0" applyFont="1" applyFill="1"/>
    <xf numFmtId="0" fontId="1" fillId="7" borderId="0" xfId="0" applyFont="1" applyFill="1"/>
    <xf numFmtId="164" fontId="1" fillId="8" borderId="0" xfId="0" applyNumberFormat="1" applyFont="1" applyFill="1"/>
    <xf numFmtId="0" fontId="0" fillId="9" borderId="0" xfId="0" applyFill="1"/>
    <xf numFmtId="0" fontId="4" fillId="10" borderId="0" xfId="0" applyFont="1" applyFill="1"/>
    <xf numFmtId="0" fontId="2" fillId="11" borderId="0" xfId="0" applyFont="1" applyFill="1"/>
    <xf numFmtId="0" fontId="0" fillId="12" borderId="0" xfId="0" applyFill="1"/>
    <xf numFmtId="0" fontId="1" fillId="13" borderId="0" xfId="0" applyFont="1" applyFill="1"/>
    <xf numFmtId="0" fontId="5" fillId="0" borderId="0" xfId="0" applyFont="1"/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2" fillId="3" borderId="0" xfId="0" applyFont="1" applyFill="1" applyAlignment="1">
      <alignment horizontal="left" wrapText="1"/>
    </xf>
    <xf numFmtId="0" fontId="2" fillId="5" borderId="0" xfId="0" applyFont="1" applyFill="1" applyAlignment="1">
      <alignment horizontal="left" wrapText="1"/>
    </xf>
    <xf numFmtId="2" fontId="0" fillId="0" borderId="0" xfId="0" applyNumberFormat="1"/>
    <xf numFmtId="0" fontId="0" fillId="1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H108"/>
  <sheetViews>
    <sheetView tabSelected="1" topLeftCell="AD22" zoomScale="125" zoomScaleNormal="157" workbookViewId="0">
      <selection activeCell="AI48" sqref="AI48"/>
    </sheetView>
  </sheetViews>
  <sheetFormatPr baseColWidth="10" defaultRowHeight="16" x14ac:dyDescent="0.2"/>
  <cols>
    <col min="1" max="1" width="2.6640625" style="1" customWidth="1"/>
    <col min="2" max="2" width="43.5" style="1" bestFit="1" customWidth="1"/>
    <col min="3" max="3" width="12.6640625" style="1" bestFit="1" customWidth="1"/>
    <col min="4" max="4" width="12.6640625" style="1" customWidth="1"/>
    <col min="5" max="5" width="32.33203125" style="1" customWidth="1"/>
    <col min="6" max="6" width="33.33203125" style="1" bestFit="1" customWidth="1"/>
    <col min="7" max="7" width="39" style="1" bestFit="1" customWidth="1"/>
    <col min="8" max="8" width="33.6640625" style="1" bestFit="1" customWidth="1"/>
    <col min="9" max="9" width="35" style="1" bestFit="1" customWidth="1"/>
    <col min="10" max="10" width="29.83203125" style="1" bestFit="1" customWidth="1"/>
    <col min="11" max="11" width="35.6640625" style="1" bestFit="1" customWidth="1"/>
    <col min="12" max="12" width="34.1640625" style="1" bestFit="1" customWidth="1"/>
    <col min="13" max="13" width="40.6640625" style="1" bestFit="1" customWidth="1"/>
    <col min="14" max="14" width="28.5" style="1" bestFit="1" customWidth="1"/>
    <col min="15" max="15" width="3" style="1" customWidth="1"/>
    <col min="16" max="16" width="12.83203125" style="1" bestFit="1" customWidth="1"/>
    <col min="17" max="18" width="11" style="1" customWidth="1"/>
    <col min="19" max="19" width="9.33203125" style="1" customWidth="1"/>
    <col min="20" max="20" width="15" style="1" customWidth="1"/>
    <col min="21" max="21" width="9.6640625" style="1" customWidth="1"/>
    <col min="22" max="22" width="3.33203125" customWidth="1"/>
    <col min="23" max="23" width="18.83203125" style="1" customWidth="1"/>
    <col min="24" max="24" width="19.83203125" style="1" customWidth="1"/>
    <col min="25" max="25" width="15.6640625" style="1" bestFit="1" customWidth="1"/>
    <col min="26" max="26" width="15.6640625" style="1" customWidth="1"/>
    <col min="27" max="27" width="18.33203125" style="1" bestFit="1" customWidth="1"/>
    <col min="28" max="28" width="14.1640625" style="1" bestFit="1" customWidth="1"/>
    <col min="29" max="29" width="15.1640625" style="1" bestFit="1" customWidth="1"/>
    <col min="30" max="30" width="17.33203125" style="1" bestFit="1" customWidth="1"/>
    <col min="31" max="31" width="15.5" style="1" customWidth="1"/>
    <col min="32" max="32" width="17" style="1" bestFit="1" customWidth="1"/>
    <col min="33" max="33" width="13.6640625" style="1" bestFit="1" customWidth="1"/>
    <col min="34" max="34" width="12.1640625" style="1" bestFit="1" customWidth="1"/>
    <col min="35" max="35" width="14.5" style="1" bestFit="1" customWidth="1"/>
    <col min="36" max="36" width="10.5" style="1" customWidth="1"/>
    <col min="37" max="37" width="17.83203125" style="1" bestFit="1" customWidth="1"/>
    <col min="38" max="38" width="19.6640625" style="1" bestFit="1" customWidth="1"/>
    <col min="39" max="39" width="12.1640625" style="1" customWidth="1"/>
    <col min="40" max="40" width="17.83203125" style="1" bestFit="1" customWidth="1"/>
    <col min="41" max="41" width="19.33203125" style="1" bestFit="1" customWidth="1"/>
    <col min="42" max="42" width="3.33203125" style="1" customWidth="1"/>
    <col min="43" max="43" width="22" style="1" bestFit="1" customWidth="1"/>
    <col min="44" max="44" width="25.1640625" style="1" bestFit="1" customWidth="1"/>
    <col min="45" max="45" width="14.6640625" style="1" bestFit="1" customWidth="1"/>
    <col min="46" max="46" width="17" style="1" bestFit="1" customWidth="1"/>
    <col min="47" max="47" width="3.6640625" style="1" customWidth="1"/>
    <col min="48" max="48" width="25.6640625" style="1" bestFit="1" customWidth="1"/>
    <col min="49" max="49" width="3.33203125" style="1" customWidth="1"/>
    <col min="50" max="50" width="22" style="1" bestFit="1" customWidth="1"/>
    <col min="51" max="51" width="17.6640625" style="1" bestFit="1" customWidth="1"/>
    <col min="52" max="52" width="22.83203125" style="1" bestFit="1" customWidth="1"/>
    <col min="53" max="53" width="18.33203125" style="1" bestFit="1" customWidth="1"/>
    <col min="54" max="54" width="22" style="1" bestFit="1" customWidth="1"/>
    <col min="55" max="55" width="2.6640625" style="1" customWidth="1"/>
    <col min="56" max="56" width="20.83203125" style="1" bestFit="1" customWidth="1"/>
    <col min="57" max="57" width="2.6640625" style="1" customWidth="1"/>
    <col min="58" max="58" width="22.5" style="1" bestFit="1" customWidth="1"/>
    <col min="59" max="59" width="10.83203125" style="1" customWidth="1"/>
    <col min="60" max="60" width="17.1640625" style="1" bestFit="1" customWidth="1"/>
    <col min="61" max="78" width="10.83203125" style="1" customWidth="1"/>
    <col min="79" max="16384" width="10.83203125" style="1"/>
  </cols>
  <sheetData>
    <row r="2" spans="2:60" x14ac:dyDescent="0.2">
      <c r="B2" s="1" t="s">
        <v>0</v>
      </c>
      <c r="P2" s="1" t="s">
        <v>1</v>
      </c>
      <c r="W2" s="1" t="s">
        <v>2</v>
      </c>
      <c r="Y2" s="1" t="s">
        <v>3</v>
      </c>
      <c r="Z2" s="1" t="s">
        <v>4</v>
      </c>
      <c r="AJ2" s="1" t="s">
        <v>5</v>
      </c>
      <c r="AM2" s="1" t="s">
        <v>4</v>
      </c>
      <c r="AQ2" s="1" t="s">
        <v>6</v>
      </c>
      <c r="AV2" s="1" t="s">
        <v>7</v>
      </c>
      <c r="AX2" s="1" t="s">
        <v>8</v>
      </c>
      <c r="BF2" s="17" t="s">
        <v>9</v>
      </c>
    </row>
    <row r="3" spans="2:60" x14ac:dyDescent="0.2"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18</v>
      </c>
      <c r="K3" s="2" t="s">
        <v>19</v>
      </c>
      <c r="L3" s="2" t="s">
        <v>20</v>
      </c>
      <c r="M3" s="2" t="s">
        <v>21</v>
      </c>
      <c r="N3" s="7" t="s">
        <v>22</v>
      </c>
      <c r="P3" s="14" t="s">
        <v>23</v>
      </c>
      <c r="Q3" s="14" t="s">
        <v>24</v>
      </c>
      <c r="R3" s="14" t="s">
        <v>25</v>
      </c>
      <c r="S3" s="14" t="s">
        <v>26</v>
      </c>
      <c r="T3" s="14" t="s">
        <v>27</v>
      </c>
      <c r="U3" s="14" t="s">
        <v>28</v>
      </c>
      <c r="W3" s="4" t="s">
        <v>29</v>
      </c>
      <c r="X3" s="4" t="s">
        <v>30</v>
      </c>
      <c r="Y3" s="3" t="s">
        <v>31</v>
      </c>
      <c r="Z3" s="6" t="s">
        <v>31</v>
      </c>
      <c r="AA3" s="7" t="s">
        <v>32</v>
      </c>
      <c r="AB3" s="4" t="s">
        <v>33</v>
      </c>
      <c r="AC3" s="4" t="s">
        <v>34</v>
      </c>
      <c r="AD3" s="4" t="s">
        <v>35</v>
      </c>
      <c r="AE3" s="4" t="s">
        <v>36</v>
      </c>
      <c r="AF3" s="4" t="s">
        <v>37</v>
      </c>
      <c r="AG3" s="4" t="s">
        <v>38</v>
      </c>
      <c r="AH3" s="4" t="s">
        <v>39</v>
      </c>
      <c r="AI3" s="4" t="s">
        <v>40</v>
      </c>
      <c r="AJ3" s="3" t="s">
        <v>3</v>
      </c>
      <c r="AK3" s="3" t="s">
        <v>41</v>
      </c>
      <c r="AL3" s="3" t="s">
        <v>42</v>
      </c>
      <c r="AM3" s="6" t="s">
        <v>3</v>
      </c>
      <c r="AN3" s="6" t="s">
        <v>41</v>
      </c>
      <c r="AO3" s="6" t="s">
        <v>42</v>
      </c>
      <c r="AQ3" s="7" t="s">
        <v>43</v>
      </c>
      <c r="AR3" s="7" t="s">
        <v>44</v>
      </c>
      <c r="AS3" s="7" t="s">
        <v>45</v>
      </c>
      <c r="AT3" s="7" t="s">
        <v>46</v>
      </c>
      <c r="AV3" s="7" t="s">
        <v>47</v>
      </c>
      <c r="AX3" s="7" t="s">
        <v>43</v>
      </c>
      <c r="AY3" s="7" t="s">
        <v>48</v>
      </c>
      <c r="AZ3" s="7" t="s">
        <v>49</v>
      </c>
      <c r="BA3" s="7" t="s">
        <v>50</v>
      </c>
      <c r="BB3" s="7" t="s">
        <v>51</v>
      </c>
      <c r="BD3" s="7" t="s">
        <v>52</v>
      </c>
      <c r="BF3" s="19" t="s">
        <v>53</v>
      </c>
      <c r="BG3" s="18">
        <f>22/7</f>
        <v>3.1428571428571428</v>
      </c>
      <c r="BH3" s="18" t="s">
        <v>54</v>
      </c>
    </row>
    <row r="4" spans="2:60" x14ac:dyDescent="0.2">
      <c r="B4" s="13" t="s">
        <v>55</v>
      </c>
      <c r="C4" s="12" t="s">
        <v>56</v>
      </c>
      <c r="D4" s="12">
        <v>0</v>
      </c>
      <c r="E4" s="12">
        <v>5.5446013778156997</v>
      </c>
      <c r="F4" s="12">
        <v>0.17630000000000001</v>
      </c>
      <c r="G4" s="12">
        <v>0.1137656427758816</v>
      </c>
      <c r="H4" s="12">
        <v>0.15702624153583619</v>
      </c>
      <c r="I4" s="12">
        <v>0.77706825419795234</v>
      </c>
      <c r="J4" s="12">
        <v>6.3018886625220594E-2</v>
      </c>
      <c r="K4" s="12">
        <v>174237.66</v>
      </c>
      <c r="L4" s="12">
        <v>95841.65</v>
      </c>
      <c r="M4" s="12">
        <v>-43.02</v>
      </c>
      <c r="N4" s="24">
        <v>1.01</v>
      </c>
      <c r="P4" s="15">
        <v>105.21100300000001</v>
      </c>
      <c r="Q4" s="15">
        <v>-6.4122130000000004</v>
      </c>
      <c r="R4" s="15">
        <v>36.488697999999999</v>
      </c>
      <c r="S4" s="15"/>
      <c r="T4" s="16">
        <v>73.640341000000006</v>
      </c>
      <c r="U4" s="15">
        <v>13.71857</v>
      </c>
      <c r="W4" s="1" t="str">
        <f t="shared" ref="W4:W35" si="0">B4</f>
        <v>CA_S-H2in</v>
      </c>
      <c r="X4" s="1" t="str">
        <f t="shared" ref="X4:X35" si="1">C4</f>
        <v>CO2Captured</v>
      </c>
      <c r="Y4" s="11">
        <f t="shared" ref="Y4:Y35" si="2">SUM(AB4:AI4)+AK4+AL4</f>
        <v>1927.3066011515514</v>
      </c>
      <c r="Z4" s="11">
        <f t="shared" ref="Z4:Z35" si="3">SUM(AB4:AI4)+AN4+AO4</f>
        <v>1927.3066011515514</v>
      </c>
      <c r="AA4" s="5">
        <f t="shared" ref="AA4:AA35" si="4">Y4-Z4</f>
        <v>0</v>
      </c>
      <c r="AB4" s="5">
        <f t="shared" ref="AB4:AB35" si="5">E4/G4*S4</f>
        <v>0</v>
      </c>
      <c r="AC4" s="1">
        <f t="shared" ref="AC4:AC35" si="6">F4/G4*R4</f>
        <v>56.545696050546049</v>
      </c>
      <c r="AD4" s="1">
        <f t="shared" ref="AD4:AD35" si="7">1/G4*(P4+Q4)</f>
        <v>868.44136410000067</v>
      </c>
      <c r="AE4" s="1">
        <f t="shared" ref="AE4:AE35" si="8">H4/G4*U4*-1</f>
        <v>-18.935202524983783</v>
      </c>
      <c r="AF4" s="1">
        <f t="shared" ref="AF4:AF35" si="9">I4/G4*T4</f>
        <v>502.99519101863098</v>
      </c>
      <c r="AG4" s="1">
        <f t="shared" ref="AG4:AG35" si="10">K4/G4/(0.9*8760)</f>
        <v>194.2604047945207</v>
      </c>
      <c r="AH4" s="1">
        <f t="shared" ref="AH4:AH35" si="11">L4/G4/(0.9*8760)</f>
        <v>106.85541647640798</v>
      </c>
      <c r="AI4" s="1">
        <f t="shared" ref="AI4:AI35" si="12">M4</f>
        <v>-43.02</v>
      </c>
      <c r="AJ4" s="1">
        <f t="shared" ref="AJ4:AJ35" si="13">AY4+AZ4+BB4</f>
        <v>2.4727806390784872</v>
      </c>
      <c r="AK4" s="1">
        <v>0</v>
      </c>
      <c r="AL4" s="1">
        <f t="shared" ref="AL4:AL35" si="14">AJ4*P4</f>
        <v>260.16373123642865</v>
      </c>
      <c r="AM4" s="1">
        <f t="shared" ref="AM4:AM35" si="15">AY4+AZ4+BB4</f>
        <v>2.4727806390784872</v>
      </c>
      <c r="AN4" s="1">
        <v>0</v>
      </c>
      <c r="AO4" s="1">
        <f t="shared" ref="AO4:AO35" si="16">AM4*P4</f>
        <v>260.16373123642865</v>
      </c>
      <c r="AQ4" s="9">
        <f t="shared" ref="AQ4:AQ35" si="17">$BG$3</f>
        <v>3.1428571428571428</v>
      </c>
      <c r="AR4" s="10">
        <f t="shared" ref="AR4:AR35" si="18">$BG$4</f>
        <v>0.24396818518379501</v>
      </c>
      <c r="AS4" s="10">
        <v>3.1429328999999999</v>
      </c>
      <c r="AT4" s="9">
        <f t="shared" ref="AT4:AT35" si="19">$BG$5</f>
        <v>0.182890835326593</v>
      </c>
      <c r="AV4" s="10">
        <f t="shared" ref="AV4:AV35" si="20">1/G4</f>
        <v>8.7900000000000063</v>
      </c>
      <c r="AX4" s="10">
        <f t="shared" ref="AX4:AX35" si="21">AQ4</f>
        <v>3.1428571428571428</v>
      </c>
      <c r="AY4" s="10">
        <f t="shared" ref="AY4:AY35" si="22">AT4*H4/G4</f>
        <v>0.25243702564279635</v>
      </c>
      <c r="AZ4" s="10">
        <f t="shared" ref="AZ4:AZ35" si="23">J4/G4</f>
        <v>0.55393601343568943</v>
      </c>
      <c r="BA4" s="10">
        <f t="shared" ref="BA4:BA35" si="24">AS4*N4</f>
        <v>3.1743622289999998</v>
      </c>
      <c r="BB4" s="10">
        <f t="shared" ref="BB4:BB35" si="25">AR4*I4/G4</f>
        <v>1.6664076000000012</v>
      </c>
      <c r="BD4" s="10">
        <f t="shared" ref="BD4:BD35" si="26">AV4-SUM(AX4:BB4)</f>
        <v>-1.0935622185570537E-8</v>
      </c>
      <c r="BF4" s="19" t="s">
        <v>57</v>
      </c>
      <c r="BG4" s="18">
        <v>0.24396818518379501</v>
      </c>
      <c r="BH4" s="18" t="s">
        <v>58</v>
      </c>
    </row>
    <row r="5" spans="2:60" x14ac:dyDescent="0.2">
      <c r="B5" s="13" t="s">
        <v>59</v>
      </c>
      <c r="C5" s="12" t="s">
        <v>56</v>
      </c>
      <c r="D5" s="12">
        <v>0.9</v>
      </c>
      <c r="E5" s="12">
        <v>5.5446013778156997</v>
      </c>
      <c r="F5" s="12">
        <v>0.17630000000000001</v>
      </c>
      <c r="G5" s="12">
        <v>0.1137656427758816</v>
      </c>
      <c r="H5" s="12">
        <v>0.15702624153583619</v>
      </c>
      <c r="I5" s="12">
        <v>0.77706825419795234</v>
      </c>
      <c r="J5" s="12">
        <v>6.3018886625220594E-2</v>
      </c>
      <c r="K5" s="12">
        <v>174237.66</v>
      </c>
      <c r="L5" s="12">
        <v>95841.65</v>
      </c>
      <c r="M5" s="12">
        <v>-43.02</v>
      </c>
      <c r="N5" s="24">
        <v>1.01</v>
      </c>
      <c r="P5" s="15">
        <v>105.21100300000001</v>
      </c>
      <c r="Q5" s="15">
        <v>-7.3796590000000002</v>
      </c>
      <c r="R5" s="15">
        <v>26.787863000000002</v>
      </c>
      <c r="S5" s="15"/>
      <c r="T5" s="16">
        <v>73.640341000000006</v>
      </c>
      <c r="U5" s="15">
        <v>13.719440000000001</v>
      </c>
      <c r="W5" s="1" t="str">
        <f t="shared" si="0"/>
        <v>NW_S-H2in</v>
      </c>
      <c r="X5" s="1" t="str">
        <f t="shared" si="1"/>
        <v>CO2Captured</v>
      </c>
      <c r="Y5" s="11">
        <f t="shared" si="2"/>
        <v>1903.7683891044792</v>
      </c>
      <c r="Z5" s="11">
        <f t="shared" si="3"/>
        <v>1903.7683891044792</v>
      </c>
      <c r="AA5" s="5">
        <f t="shared" si="4"/>
        <v>0</v>
      </c>
      <c r="AB5" s="5">
        <f t="shared" si="5"/>
        <v>0</v>
      </c>
      <c r="AC5" s="1">
        <f t="shared" si="6"/>
        <v>41.512535170251034</v>
      </c>
      <c r="AD5" s="1">
        <f t="shared" si="7"/>
        <v>859.93751376000057</v>
      </c>
      <c r="AE5" s="1">
        <f t="shared" si="8"/>
        <v>-18.936403351760681</v>
      </c>
      <c r="AF5" s="1">
        <f t="shared" si="9"/>
        <v>502.99519101863098</v>
      </c>
      <c r="AG5" s="1">
        <f t="shared" si="10"/>
        <v>194.2604047945207</v>
      </c>
      <c r="AH5" s="1">
        <f t="shared" si="11"/>
        <v>106.85541647640798</v>
      </c>
      <c r="AI5" s="1">
        <f t="shared" si="12"/>
        <v>-43.02</v>
      </c>
      <c r="AJ5" s="1">
        <f t="shared" si="13"/>
        <v>2.4727806390784872</v>
      </c>
      <c r="AK5" s="1">
        <v>0</v>
      </c>
      <c r="AL5" s="1">
        <f t="shared" si="14"/>
        <v>260.16373123642865</v>
      </c>
      <c r="AM5" s="1">
        <f t="shared" si="15"/>
        <v>2.4727806390784872</v>
      </c>
      <c r="AN5" s="1">
        <v>0</v>
      </c>
      <c r="AO5" s="1">
        <f t="shared" si="16"/>
        <v>260.16373123642865</v>
      </c>
      <c r="AQ5" s="9">
        <f t="shared" si="17"/>
        <v>3.1428571428571428</v>
      </c>
      <c r="AR5" s="10">
        <f t="shared" si="18"/>
        <v>0.24396818518379501</v>
      </c>
      <c r="AS5" s="10">
        <v>3.1429328999999999</v>
      </c>
      <c r="AT5" s="9">
        <f t="shared" si="19"/>
        <v>0.182890835326593</v>
      </c>
      <c r="AV5" s="10">
        <f t="shared" si="20"/>
        <v>8.7900000000000063</v>
      </c>
      <c r="AX5" s="10">
        <f t="shared" si="21"/>
        <v>3.1428571428571428</v>
      </c>
      <c r="AY5" s="10">
        <f t="shared" si="22"/>
        <v>0.25243702564279635</v>
      </c>
      <c r="AZ5" s="10">
        <f t="shared" si="23"/>
        <v>0.55393601343568943</v>
      </c>
      <c r="BA5" s="10">
        <f t="shared" si="24"/>
        <v>3.1743622289999998</v>
      </c>
      <c r="BB5" s="10">
        <f t="shared" si="25"/>
        <v>1.6664076000000012</v>
      </c>
      <c r="BD5" s="10">
        <f t="shared" si="26"/>
        <v>-1.0935622185570537E-8</v>
      </c>
      <c r="BF5" s="19" t="s">
        <v>60</v>
      </c>
      <c r="BG5" s="18">
        <v>0.182890835326593</v>
      </c>
      <c r="BH5" s="18" t="s">
        <v>61</v>
      </c>
    </row>
    <row r="6" spans="2:60" x14ac:dyDescent="0.2">
      <c r="B6" s="13" t="s">
        <v>62</v>
      </c>
      <c r="C6" s="12" t="s">
        <v>56</v>
      </c>
      <c r="D6" s="12">
        <v>0</v>
      </c>
      <c r="E6" s="12">
        <v>5.5446013778156997</v>
      </c>
      <c r="F6" s="12">
        <v>0.17630000000000001</v>
      </c>
      <c r="G6" s="12">
        <v>0.1137656427758816</v>
      </c>
      <c r="H6" s="12">
        <v>0.15702624153583619</v>
      </c>
      <c r="I6" s="12">
        <v>0.77706825419795234</v>
      </c>
      <c r="J6" s="12">
        <v>6.3018886625220594E-2</v>
      </c>
      <c r="K6" s="12">
        <v>174237.66</v>
      </c>
      <c r="L6" s="12">
        <v>95841.65</v>
      </c>
      <c r="M6" s="12">
        <v>-43.02</v>
      </c>
      <c r="N6" s="24">
        <v>1.01</v>
      </c>
      <c r="P6" s="15">
        <v>105.21100300000001</v>
      </c>
      <c r="Q6" s="15">
        <v>-14.567418</v>
      </c>
      <c r="R6" s="15">
        <v>27.957547000000002</v>
      </c>
      <c r="S6" s="15"/>
      <c r="T6" s="16">
        <v>73.640341000000006</v>
      </c>
      <c r="U6" s="15">
        <v>13.719351</v>
      </c>
      <c r="W6" s="1" t="str">
        <f t="shared" si="0"/>
        <v>SW_S-H2in</v>
      </c>
      <c r="X6" s="1" t="str">
        <f t="shared" si="1"/>
        <v>CO2Captured</v>
      </c>
      <c r="Y6" s="11">
        <f t="shared" si="2"/>
        <v>1842.4007427297463</v>
      </c>
      <c r="Z6" s="11">
        <f t="shared" si="3"/>
        <v>1842.4007427297463</v>
      </c>
      <c r="AA6" s="5">
        <f t="shared" si="4"/>
        <v>0</v>
      </c>
      <c r="AB6" s="5">
        <f t="shared" si="5"/>
        <v>0</v>
      </c>
      <c r="AC6" s="1">
        <f t="shared" si="6"/>
        <v>43.325167562319038</v>
      </c>
      <c r="AD6" s="1">
        <f t="shared" si="7"/>
        <v>796.75711215000058</v>
      </c>
      <c r="AE6" s="1">
        <f t="shared" si="8"/>
        <v>-18.936280508561662</v>
      </c>
      <c r="AF6" s="1">
        <f t="shared" si="9"/>
        <v>502.99519101863098</v>
      </c>
      <c r="AG6" s="1">
        <f t="shared" si="10"/>
        <v>194.2604047945207</v>
      </c>
      <c r="AH6" s="1">
        <f t="shared" si="11"/>
        <v>106.85541647640798</v>
      </c>
      <c r="AI6" s="1">
        <f t="shared" si="12"/>
        <v>-43.02</v>
      </c>
      <c r="AJ6" s="1">
        <f t="shared" si="13"/>
        <v>2.4727806390784872</v>
      </c>
      <c r="AK6" s="1">
        <v>0</v>
      </c>
      <c r="AL6" s="1">
        <f t="shared" si="14"/>
        <v>260.16373123642865</v>
      </c>
      <c r="AM6" s="1">
        <f t="shared" si="15"/>
        <v>2.4727806390784872</v>
      </c>
      <c r="AN6" s="1">
        <v>0</v>
      </c>
      <c r="AO6" s="1">
        <f t="shared" si="16"/>
        <v>260.16373123642865</v>
      </c>
      <c r="AQ6" s="9">
        <f t="shared" si="17"/>
        <v>3.1428571428571428</v>
      </c>
      <c r="AR6" s="10">
        <f t="shared" si="18"/>
        <v>0.24396818518379501</v>
      </c>
      <c r="AS6" s="10">
        <v>3.1429328999999999</v>
      </c>
      <c r="AT6" s="9">
        <f t="shared" si="19"/>
        <v>0.182890835326593</v>
      </c>
      <c r="AV6" s="10">
        <f t="shared" si="20"/>
        <v>8.7900000000000063</v>
      </c>
      <c r="AX6" s="10">
        <f t="shared" si="21"/>
        <v>3.1428571428571428</v>
      </c>
      <c r="AY6" s="10">
        <f t="shared" si="22"/>
        <v>0.25243702564279635</v>
      </c>
      <c r="AZ6" s="10">
        <f t="shared" si="23"/>
        <v>0.55393601343568943</v>
      </c>
      <c r="BA6" s="10">
        <f t="shared" si="24"/>
        <v>3.1743622289999998</v>
      </c>
      <c r="BB6" s="10">
        <f t="shared" si="25"/>
        <v>1.6664076000000012</v>
      </c>
      <c r="BD6" s="10">
        <f t="shared" si="26"/>
        <v>-1.0935622185570537E-8</v>
      </c>
      <c r="BF6" s="19" t="s">
        <v>63</v>
      </c>
      <c r="BG6" s="18">
        <f>0.22/14</f>
        <v>1.5714285714285715E-2</v>
      </c>
      <c r="BH6" s="18" t="s">
        <v>64</v>
      </c>
    </row>
    <row r="7" spans="2:60" x14ac:dyDescent="0.2">
      <c r="B7" s="13" t="s">
        <v>65</v>
      </c>
      <c r="C7" s="12" t="s">
        <v>56</v>
      </c>
      <c r="D7" s="12">
        <v>0.9</v>
      </c>
      <c r="E7" s="12">
        <v>5.5446013778156997</v>
      </c>
      <c r="F7" s="12">
        <v>0.17630000000000001</v>
      </c>
      <c r="G7" s="12">
        <v>0.1137656427758816</v>
      </c>
      <c r="H7" s="12">
        <v>0.15702624153583619</v>
      </c>
      <c r="I7" s="12">
        <v>0.77706825419795234</v>
      </c>
      <c r="J7" s="12">
        <v>6.3018886625220594E-2</v>
      </c>
      <c r="K7" s="12">
        <v>174237.66</v>
      </c>
      <c r="L7" s="12">
        <v>95841.65</v>
      </c>
      <c r="M7" s="12">
        <v>-43.02</v>
      </c>
      <c r="N7" s="24">
        <v>1.01</v>
      </c>
      <c r="P7" s="15">
        <v>105.21100300000001</v>
      </c>
      <c r="Q7" s="15">
        <v>-19.477884</v>
      </c>
      <c r="R7" s="15">
        <v>20.174973000000001</v>
      </c>
      <c r="S7" s="15"/>
      <c r="T7" s="16">
        <v>73.640341000000006</v>
      </c>
      <c r="U7" s="15">
        <v>13.326032</v>
      </c>
      <c r="W7" s="1" t="str">
        <f t="shared" si="0"/>
        <v>TX_S-H2in</v>
      </c>
      <c r="X7" s="1" t="str">
        <f t="shared" si="1"/>
        <v>CO2Captured</v>
      </c>
      <c r="Y7" s="11">
        <f t="shared" si="2"/>
        <v>1787.7201534048979</v>
      </c>
      <c r="Z7" s="11">
        <f t="shared" si="3"/>
        <v>1787.7201534048979</v>
      </c>
      <c r="AA7" s="5">
        <f t="shared" si="4"/>
        <v>0</v>
      </c>
      <c r="AB7" s="5">
        <f t="shared" si="5"/>
        <v>0</v>
      </c>
      <c r="AC7" s="1">
        <f t="shared" si="6"/>
        <v>31.264691633721029</v>
      </c>
      <c r="AD7" s="1">
        <f t="shared" si="7"/>
        <v>753.59411601000056</v>
      </c>
      <c r="AE7" s="1">
        <f t="shared" si="8"/>
        <v>-18.393397764811834</v>
      </c>
      <c r="AF7" s="1">
        <f t="shared" si="9"/>
        <v>502.99519101863098</v>
      </c>
      <c r="AG7" s="1">
        <f t="shared" si="10"/>
        <v>194.2604047945207</v>
      </c>
      <c r="AH7" s="1">
        <f t="shared" si="11"/>
        <v>106.85541647640798</v>
      </c>
      <c r="AI7" s="1">
        <f t="shared" si="12"/>
        <v>-43.02</v>
      </c>
      <c r="AJ7" s="1">
        <f t="shared" si="13"/>
        <v>2.4727806390784872</v>
      </c>
      <c r="AK7" s="1">
        <v>0</v>
      </c>
      <c r="AL7" s="1">
        <f t="shared" si="14"/>
        <v>260.16373123642865</v>
      </c>
      <c r="AM7" s="1">
        <f t="shared" si="15"/>
        <v>2.4727806390784872</v>
      </c>
      <c r="AN7" s="1">
        <v>0</v>
      </c>
      <c r="AO7" s="1">
        <f t="shared" si="16"/>
        <v>260.16373123642865</v>
      </c>
      <c r="AQ7" s="9">
        <f t="shared" si="17"/>
        <v>3.1428571428571428</v>
      </c>
      <c r="AR7" s="10">
        <f t="shared" si="18"/>
        <v>0.24396818518379501</v>
      </c>
      <c r="AS7" s="10">
        <v>3.1429328999999999</v>
      </c>
      <c r="AT7" s="9">
        <f t="shared" si="19"/>
        <v>0.182890835326593</v>
      </c>
      <c r="AV7" s="10">
        <f t="shared" si="20"/>
        <v>8.7900000000000063</v>
      </c>
      <c r="AX7" s="10">
        <f t="shared" si="21"/>
        <v>3.1428571428571428</v>
      </c>
      <c r="AY7" s="10">
        <f t="shared" si="22"/>
        <v>0.25243702564279635</v>
      </c>
      <c r="AZ7" s="10">
        <f t="shared" si="23"/>
        <v>0.55393601343568943</v>
      </c>
      <c r="BA7" s="10">
        <f t="shared" si="24"/>
        <v>3.1743622289999998</v>
      </c>
      <c r="BB7" s="10">
        <f t="shared" si="25"/>
        <v>1.6664076000000012</v>
      </c>
      <c r="BD7" s="10">
        <f t="shared" si="26"/>
        <v>-1.0935622185570537E-8</v>
      </c>
      <c r="BF7" s="19" t="s">
        <v>66</v>
      </c>
      <c r="BG7" s="18">
        <v>0.9</v>
      </c>
      <c r="BH7" s="18" t="s">
        <v>67</v>
      </c>
    </row>
    <row r="8" spans="2:60" x14ac:dyDescent="0.2">
      <c r="B8" s="13" t="s">
        <v>68</v>
      </c>
      <c r="C8" s="12" t="s">
        <v>56</v>
      </c>
      <c r="D8" s="12">
        <v>0</v>
      </c>
      <c r="E8" s="12">
        <v>5.5446013778156997</v>
      </c>
      <c r="F8" s="12">
        <v>0.17630000000000001</v>
      </c>
      <c r="G8" s="12">
        <v>0.1137656427758816</v>
      </c>
      <c r="H8" s="12">
        <v>0.15702624153583619</v>
      </c>
      <c r="I8" s="12">
        <v>0.77706825419795234</v>
      </c>
      <c r="J8" s="12">
        <v>6.3018886625220594E-2</v>
      </c>
      <c r="K8" s="12">
        <v>174237.66</v>
      </c>
      <c r="L8" s="12">
        <v>95841.65</v>
      </c>
      <c r="M8" s="12">
        <v>-43.02</v>
      </c>
      <c r="N8" s="24">
        <v>1.01</v>
      </c>
      <c r="P8" s="15">
        <v>105.21100300000001</v>
      </c>
      <c r="Q8" s="15">
        <v>-39.686463000000003</v>
      </c>
      <c r="R8" s="15">
        <v>30.713950000000001</v>
      </c>
      <c r="S8" s="15"/>
      <c r="T8" s="16">
        <v>73.640341000000006</v>
      </c>
      <c r="U8" s="15">
        <v>13.425922</v>
      </c>
      <c r="W8" s="1" t="str">
        <f t="shared" si="0"/>
        <v>NCEN_S-H2in</v>
      </c>
      <c r="X8" s="1" t="str">
        <f t="shared" si="1"/>
        <v>CO2Captured</v>
      </c>
      <c r="Y8" s="11">
        <f t="shared" si="2"/>
        <v>1626.2808800176897</v>
      </c>
      <c r="Z8" s="11">
        <f t="shared" si="3"/>
        <v>1626.2808800176897</v>
      </c>
      <c r="AA8" s="5">
        <f t="shared" si="4"/>
        <v>0</v>
      </c>
      <c r="AB8" s="5">
        <f t="shared" si="5"/>
        <v>0</v>
      </c>
      <c r="AC8" s="1">
        <f t="shared" si="6"/>
        <v>47.596701894150044</v>
      </c>
      <c r="AD8" s="1">
        <f t="shared" si="7"/>
        <v>575.96070660000044</v>
      </c>
      <c r="AE8" s="1">
        <f t="shared" si="8"/>
        <v>-18.531272002448894</v>
      </c>
      <c r="AF8" s="1">
        <f t="shared" si="9"/>
        <v>502.99519101863098</v>
      </c>
      <c r="AG8" s="1">
        <f t="shared" si="10"/>
        <v>194.2604047945207</v>
      </c>
      <c r="AH8" s="1">
        <f t="shared" si="11"/>
        <v>106.85541647640798</v>
      </c>
      <c r="AI8" s="1">
        <f t="shared" si="12"/>
        <v>-43.02</v>
      </c>
      <c r="AJ8" s="1">
        <f t="shared" si="13"/>
        <v>2.4727806390784872</v>
      </c>
      <c r="AK8" s="1">
        <v>0</v>
      </c>
      <c r="AL8" s="1">
        <f t="shared" si="14"/>
        <v>260.16373123642865</v>
      </c>
      <c r="AM8" s="1">
        <f t="shared" si="15"/>
        <v>2.4727806390784872</v>
      </c>
      <c r="AN8" s="1">
        <v>0</v>
      </c>
      <c r="AO8" s="1">
        <f t="shared" si="16"/>
        <v>260.16373123642865</v>
      </c>
      <c r="AQ8" s="9">
        <f t="shared" si="17"/>
        <v>3.1428571428571428</v>
      </c>
      <c r="AR8" s="10">
        <f t="shared" si="18"/>
        <v>0.24396818518379501</v>
      </c>
      <c r="AS8" s="10">
        <v>3.1429328999999999</v>
      </c>
      <c r="AT8" s="9">
        <f t="shared" si="19"/>
        <v>0.182890835326593</v>
      </c>
      <c r="AV8" s="10">
        <f t="shared" si="20"/>
        <v>8.7900000000000063</v>
      </c>
      <c r="AX8" s="10">
        <f t="shared" si="21"/>
        <v>3.1428571428571428</v>
      </c>
      <c r="AY8" s="10">
        <f t="shared" si="22"/>
        <v>0.25243702564279635</v>
      </c>
      <c r="AZ8" s="10">
        <f t="shared" si="23"/>
        <v>0.55393601343568943</v>
      </c>
      <c r="BA8" s="10">
        <f t="shared" si="24"/>
        <v>3.1743622289999998</v>
      </c>
      <c r="BB8" s="10">
        <f t="shared" si="25"/>
        <v>1.6664076000000012</v>
      </c>
      <c r="BD8" s="10">
        <f t="shared" si="26"/>
        <v>-1.0935622185570537E-8</v>
      </c>
    </row>
    <row r="9" spans="2:60" x14ac:dyDescent="0.2">
      <c r="B9" s="13" t="s">
        <v>69</v>
      </c>
      <c r="C9" s="12" t="s">
        <v>56</v>
      </c>
      <c r="D9" s="12">
        <v>0.9</v>
      </c>
      <c r="E9" s="12">
        <v>5.5446013778156997</v>
      </c>
      <c r="F9" s="12">
        <v>0.17630000000000001</v>
      </c>
      <c r="G9" s="12">
        <v>0.1137656427758816</v>
      </c>
      <c r="H9" s="12">
        <v>0.15702624153583619</v>
      </c>
      <c r="I9" s="12">
        <v>0.77706825419795234</v>
      </c>
      <c r="J9" s="12">
        <v>6.3018886625220594E-2</v>
      </c>
      <c r="K9" s="12">
        <v>174237.66</v>
      </c>
      <c r="L9" s="12">
        <v>95841.65</v>
      </c>
      <c r="M9" s="12">
        <v>-43.02</v>
      </c>
      <c r="N9" s="24">
        <v>1.01</v>
      </c>
      <c r="P9" s="15">
        <v>105.21100300000001</v>
      </c>
      <c r="Q9" s="15">
        <v>-29.672038000000001</v>
      </c>
      <c r="R9" s="15">
        <v>25.118154000000001</v>
      </c>
      <c r="S9" s="15"/>
      <c r="T9" s="16">
        <v>73.640341000000006</v>
      </c>
      <c r="U9" s="15">
        <v>13.425869</v>
      </c>
      <c r="W9" s="1" t="str">
        <f t="shared" si="0"/>
        <v>CEN_S-H2in</v>
      </c>
      <c r="X9" s="1" t="str">
        <f t="shared" si="1"/>
        <v>CO2Captured</v>
      </c>
      <c r="Y9" s="11">
        <f t="shared" si="2"/>
        <v>1705.6360725636134</v>
      </c>
      <c r="Z9" s="11">
        <f t="shared" si="3"/>
        <v>1705.6360725636134</v>
      </c>
      <c r="AA9" s="5">
        <f t="shared" si="4"/>
        <v>0</v>
      </c>
      <c r="AB9" s="5">
        <f t="shared" si="5"/>
        <v>0</v>
      </c>
      <c r="AC9" s="1">
        <f t="shared" si="6"/>
        <v>38.925025536258033</v>
      </c>
      <c r="AD9" s="1">
        <f t="shared" si="7"/>
        <v>663.98750235000057</v>
      </c>
      <c r="AE9" s="1">
        <f t="shared" si="8"/>
        <v>-18.53119884863375</v>
      </c>
      <c r="AF9" s="1">
        <f t="shared" si="9"/>
        <v>502.99519101863098</v>
      </c>
      <c r="AG9" s="1">
        <f t="shared" si="10"/>
        <v>194.2604047945207</v>
      </c>
      <c r="AH9" s="1">
        <f t="shared" si="11"/>
        <v>106.85541647640798</v>
      </c>
      <c r="AI9" s="1">
        <f t="shared" si="12"/>
        <v>-43.02</v>
      </c>
      <c r="AJ9" s="1">
        <f t="shared" si="13"/>
        <v>2.4727806390784872</v>
      </c>
      <c r="AK9" s="1">
        <v>0</v>
      </c>
      <c r="AL9" s="1">
        <f t="shared" si="14"/>
        <v>260.16373123642865</v>
      </c>
      <c r="AM9" s="1">
        <f t="shared" si="15"/>
        <v>2.4727806390784872</v>
      </c>
      <c r="AN9" s="1">
        <v>0</v>
      </c>
      <c r="AO9" s="1">
        <f t="shared" si="16"/>
        <v>260.16373123642865</v>
      </c>
      <c r="AQ9" s="9">
        <f t="shared" si="17"/>
        <v>3.1428571428571428</v>
      </c>
      <c r="AR9" s="10">
        <f t="shared" si="18"/>
        <v>0.24396818518379501</v>
      </c>
      <c r="AS9" s="10">
        <v>3.1429328999999999</v>
      </c>
      <c r="AT9" s="9">
        <f t="shared" si="19"/>
        <v>0.182890835326593</v>
      </c>
      <c r="AV9" s="10">
        <f t="shared" si="20"/>
        <v>8.7900000000000063</v>
      </c>
      <c r="AX9" s="10">
        <f t="shared" si="21"/>
        <v>3.1428571428571428</v>
      </c>
      <c r="AY9" s="10">
        <f t="shared" si="22"/>
        <v>0.25243702564279635</v>
      </c>
      <c r="AZ9" s="10">
        <f t="shared" si="23"/>
        <v>0.55393601343568943</v>
      </c>
      <c r="BA9" s="10">
        <f t="shared" si="24"/>
        <v>3.1743622289999998</v>
      </c>
      <c r="BB9" s="10">
        <f t="shared" si="25"/>
        <v>1.6664076000000012</v>
      </c>
      <c r="BD9" s="10">
        <f t="shared" si="26"/>
        <v>-1.0935622185570537E-8</v>
      </c>
    </row>
    <row r="10" spans="2:60" x14ac:dyDescent="0.2">
      <c r="B10" s="13" t="s">
        <v>70</v>
      </c>
      <c r="C10" s="12" t="s">
        <v>56</v>
      </c>
      <c r="D10" s="12">
        <v>0</v>
      </c>
      <c r="E10" s="12">
        <v>5.5446013778156997</v>
      </c>
      <c r="F10" s="12">
        <v>0.17630000000000001</v>
      </c>
      <c r="G10" s="12">
        <v>0.1137656427758816</v>
      </c>
      <c r="H10" s="12">
        <v>0.15702624153583619</v>
      </c>
      <c r="I10" s="12">
        <v>0.77706825419795234</v>
      </c>
      <c r="J10" s="12">
        <v>6.3018886625220594E-2</v>
      </c>
      <c r="K10" s="12">
        <v>174237.66</v>
      </c>
      <c r="L10" s="12">
        <v>95841.65</v>
      </c>
      <c r="M10" s="12">
        <v>-43.02</v>
      </c>
      <c r="N10" s="24">
        <v>1.01</v>
      </c>
      <c r="P10" s="15">
        <v>105.21100300000001</v>
      </c>
      <c r="Q10" s="15">
        <v>-45.510345000000001</v>
      </c>
      <c r="R10" s="15">
        <v>38.099075999999997</v>
      </c>
      <c r="S10" s="15"/>
      <c r="T10" s="16">
        <v>73.640341000000006</v>
      </c>
      <c r="U10" s="15">
        <v>13.425863</v>
      </c>
      <c r="W10" s="1" t="str">
        <f t="shared" si="0"/>
        <v>SE_S-H2in</v>
      </c>
      <c r="X10" s="1" t="str">
        <f t="shared" si="1"/>
        <v>CO2Captured</v>
      </c>
      <c r="Y10" s="11">
        <f t="shared" si="2"/>
        <v>1586.5335985773711</v>
      </c>
      <c r="Z10" s="11">
        <f t="shared" si="3"/>
        <v>1586.5335985773711</v>
      </c>
      <c r="AA10" s="5">
        <f t="shared" si="4"/>
        <v>0</v>
      </c>
      <c r="AB10" s="5">
        <f t="shared" si="5"/>
        <v>0</v>
      </c>
      <c r="AC10" s="1">
        <f t="shared" si="6"/>
        <v>59.041261798452041</v>
      </c>
      <c r="AD10" s="1">
        <f t="shared" si="7"/>
        <v>524.76878382000041</v>
      </c>
      <c r="AE10" s="1">
        <f t="shared" si="8"/>
        <v>-18.531190567069771</v>
      </c>
      <c r="AF10" s="1">
        <f t="shared" si="9"/>
        <v>502.99519101863098</v>
      </c>
      <c r="AG10" s="1">
        <f t="shared" si="10"/>
        <v>194.2604047945207</v>
      </c>
      <c r="AH10" s="1">
        <f t="shared" si="11"/>
        <v>106.85541647640798</v>
      </c>
      <c r="AI10" s="1">
        <f t="shared" si="12"/>
        <v>-43.02</v>
      </c>
      <c r="AJ10" s="1">
        <f t="shared" si="13"/>
        <v>2.4727806390784872</v>
      </c>
      <c r="AK10" s="1">
        <v>0</v>
      </c>
      <c r="AL10" s="1">
        <f t="shared" si="14"/>
        <v>260.16373123642865</v>
      </c>
      <c r="AM10" s="1">
        <f t="shared" si="15"/>
        <v>2.4727806390784872</v>
      </c>
      <c r="AN10" s="1">
        <v>0</v>
      </c>
      <c r="AO10" s="1">
        <f t="shared" si="16"/>
        <v>260.16373123642865</v>
      </c>
      <c r="AQ10" s="9">
        <f t="shared" si="17"/>
        <v>3.1428571428571428</v>
      </c>
      <c r="AR10" s="10">
        <f t="shared" si="18"/>
        <v>0.24396818518379501</v>
      </c>
      <c r="AS10" s="10">
        <v>3.1429328999999999</v>
      </c>
      <c r="AT10" s="9">
        <f t="shared" si="19"/>
        <v>0.182890835326593</v>
      </c>
      <c r="AV10" s="10">
        <f t="shared" si="20"/>
        <v>8.7900000000000063</v>
      </c>
      <c r="AX10" s="10">
        <f t="shared" si="21"/>
        <v>3.1428571428571428</v>
      </c>
      <c r="AY10" s="10">
        <f t="shared" si="22"/>
        <v>0.25243702564279635</v>
      </c>
      <c r="AZ10" s="10">
        <f t="shared" si="23"/>
        <v>0.55393601343568943</v>
      </c>
      <c r="BA10" s="10">
        <f t="shared" si="24"/>
        <v>3.1743622289999998</v>
      </c>
      <c r="BB10" s="10">
        <f t="shared" si="25"/>
        <v>1.6664076000000012</v>
      </c>
      <c r="BD10" s="10">
        <f t="shared" si="26"/>
        <v>-1.0935622185570537E-8</v>
      </c>
    </row>
    <row r="11" spans="2:60" x14ac:dyDescent="0.2">
      <c r="B11" s="13" t="s">
        <v>71</v>
      </c>
      <c r="C11" s="12" t="s">
        <v>56</v>
      </c>
      <c r="D11" s="12">
        <v>0.9</v>
      </c>
      <c r="E11" s="12">
        <v>5.5446013778156997</v>
      </c>
      <c r="F11" s="12">
        <v>0.17630000000000001</v>
      </c>
      <c r="G11" s="12">
        <v>0.1137656427758816</v>
      </c>
      <c r="H11" s="12">
        <v>0.15702624153583619</v>
      </c>
      <c r="I11" s="12">
        <v>0.77706825419795234</v>
      </c>
      <c r="J11" s="12">
        <v>6.3018886625220594E-2</v>
      </c>
      <c r="K11" s="12">
        <v>174237.66</v>
      </c>
      <c r="L11" s="12">
        <v>95841.65</v>
      </c>
      <c r="M11" s="12">
        <v>-43.02</v>
      </c>
      <c r="N11" s="24">
        <v>1.01</v>
      </c>
      <c r="P11" s="15">
        <v>105.21100300000001</v>
      </c>
      <c r="Q11" s="15">
        <v>-50.334515000000003</v>
      </c>
      <c r="R11" s="15">
        <v>39.29871</v>
      </c>
      <c r="S11" s="15"/>
      <c r="T11" s="16">
        <v>73.640341000000006</v>
      </c>
      <c r="U11" s="15">
        <v>13.42643</v>
      </c>
      <c r="W11" s="1" t="str">
        <f t="shared" si="0"/>
        <v>MIDAT_S-H2in</v>
      </c>
      <c r="X11" s="1" t="str">
        <f t="shared" si="1"/>
        <v>CO2Captured</v>
      </c>
      <c r="Y11" s="11">
        <f t="shared" si="2"/>
        <v>1545.9874068877932</v>
      </c>
      <c r="Z11" s="11">
        <f t="shared" si="3"/>
        <v>1545.9874068877932</v>
      </c>
      <c r="AA11" s="5">
        <f t="shared" si="4"/>
        <v>0</v>
      </c>
      <c r="AB11" s="5">
        <f t="shared" si="5"/>
        <v>0</v>
      </c>
      <c r="AC11" s="1">
        <f t="shared" si="6"/>
        <v>60.900307016670048</v>
      </c>
      <c r="AD11" s="1">
        <f t="shared" si="7"/>
        <v>482.36432952000035</v>
      </c>
      <c r="AE11" s="1">
        <f t="shared" si="8"/>
        <v>-18.531973174865747</v>
      </c>
      <c r="AF11" s="1">
        <f t="shared" si="9"/>
        <v>502.99519101863098</v>
      </c>
      <c r="AG11" s="1">
        <f t="shared" si="10"/>
        <v>194.2604047945207</v>
      </c>
      <c r="AH11" s="1">
        <f t="shared" si="11"/>
        <v>106.85541647640798</v>
      </c>
      <c r="AI11" s="1">
        <f t="shared" si="12"/>
        <v>-43.02</v>
      </c>
      <c r="AJ11" s="1">
        <f t="shared" si="13"/>
        <v>2.4727806390784872</v>
      </c>
      <c r="AK11" s="1">
        <v>0</v>
      </c>
      <c r="AL11" s="1">
        <f t="shared" si="14"/>
        <v>260.16373123642865</v>
      </c>
      <c r="AM11" s="1">
        <f t="shared" si="15"/>
        <v>2.4727806390784872</v>
      </c>
      <c r="AN11" s="1">
        <v>0</v>
      </c>
      <c r="AO11" s="1">
        <f t="shared" si="16"/>
        <v>260.16373123642865</v>
      </c>
      <c r="AQ11" s="9">
        <f t="shared" si="17"/>
        <v>3.1428571428571428</v>
      </c>
      <c r="AR11" s="10">
        <f t="shared" si="18"/>
        <v>0.24396818518379501</v>
      </c>
      <c r="AS11" s="10">
        <v>3.1429328999999999</v>
      </c>
      <c r="AT11" s="9">
        <f t="shared" si="19"/>
        <v>0.182890835326593</v>
      </c>
      <c r="AV11" s="10">
        <f t="shared" si="20"/>
        <v>8.7900000000000063</v>
      </c>
      <c r="AX11" s="10">
        <f t="shared" si="21"/>
        <v>3.1428571428571428</v>
      </c>
      <c r="AY11" s="10">
        <f t="shared" si="22"/>
        <v>0.25243702564279635</v>
      </c>
      <c r="AZ11" s="10">
        <f t="shared" si="23"/>
        <v>0.55393601343568943</v>
      </c>
      <c r="BA11" s="10">
        <f t="shared" si="24"/>
        <v>3.1743622289999998</v>
      </c>
      <c r="BB11" s="10">
        <f t="shared" si="25"/>
        <v>1.6664076000000012</v>
      </c>
      <c r="BD11" s="10">
        <f t="shared" si="26"/>
        <v>-1.0935622185570537E-8</v>
      </c>
    </row>
    <row r="12" spans="2:60" x14ac:dyDescent="0.2">
      <c r="B12" s="13" t="s">
        <v>72</v>
      </c>
      <c r="C12" s="12" t="s">
        <v>56</v>
      </c>
      <c r="D12" s="12">
        <v>0</v>
      </c>
      <c r="E12" s="12">
        <v>5.5446013778156997</v>
      </c>
      <c r="F12" s="12">
        <v>0.17630000000000001</v>
      </c>
      <c r="G12" s="12">
        <v>0.1137656427758816</v>
      </c>
      <c r="H12" s="12">
        <v>0.15702624153583619</v>
      </c>
      <c r="I12" s="12">
        <v>0.77706825419795234</v>
      </c>
      <c r="J12" s="12">
        <v>6.3018886625220594E-2</v>
      </c>
      <c r="K12" s="12">
        <v>174237.66</v>
      </c>
      <c r="L12" s="12">
        <v>95841.65</v>
      </c>
      <c r="M12" s="12">
        <v>-43.02</v>
      </c>
      <c r="N12" s="24">
        <v>1.01</v>
      </c>
      <c r="P12" s="15">
        <v>105.21100300000001</v>
      </c>
      <c r="Q12" s="15">
        <v>-58.833413</v>
      </c>
      <c r="R12" s="15">
        <v>47.365060999999997</v>
      </c>
      <c r="S12" s="15"/>
      <c r="T12" s="16">
        <v>73.640341000000006</v>
      </c>
      <c r="U12" s="15">
        <v>13.426278999999999</v>
      </c>
      <c r="W12" s="1" t="str">
        <f t="shared" si="0"/>
        <v>NE_S-H2in</v>
      </c>
      <c r="X12" s="1" t="str">
        <f t="shared" si="1"/>
        <v>CO2Captured</v>
      </c>
      <c r="Y12" s="11">
        <f t="shared" si="2"/>
        <v>1483.7825405057802</v>
      </c>
      <c r="Z12" s="11">
        <f t="shared" si="3"/>
        <v>1483.7825405057802</v>
      </c>
      <c r="AA12" s="5">
        <f t="shared" si="4"/>
        <v>0</v>
      </c>
      <c r="AB12" s="5">
        <f t="shared" si="5"/>
        <v>0</v>
      </c>
      <c r="AC12" s="1">
        <f t="shared" si="6"/>
        <v>73.400545635297064</v>
      </c>
      <c r="AD12" s="1">
        <f t="shared" si="7"/>
        <v>407.65901610000031</v>
      </c>
      <c r="AE12" s="1">
        <f t="shared" si="8"/>
        <v>-18.53176475550562</v>
      </c>
      <c r="AF12" s="1">
        <f t="shared" si="9"/>
        <v>502.99519101863098</v>
      </c>
      <c r="AG12" s="1">
        <f t="shared" si="10"/>
        <v>194.2604047945207</v>
      </c>
      <c r="AH12" s="1">
        <f t="shared" si="11"/>
        <v>106.85541647640798</v>
      </c>
      <c r="AI12" s="1">
        <f t="shared" si="12"/>
        <v>-43.02</v>
      </c>
      <c r="AJ12" s="1">
        <f t="shared" si="13"/>
        <v>2.4727806390784872</v>
      </c>
      <c r="AK12" s="1">
        <v>0</v>
      </c>
      <c r="AL12" s="1">
        <f t="shared" si="14"/>
        <v>260.16373123642865</v>
      </c>
      <c r="AM12" s="1">
        <f t="shared" si="15"/>
        <v>2.4727806390784872</v>
      </c>
      <c r="AN12" s="1">
        <v>0</v>
      </c>
      <c r="AO12" s="1">
        <f t="shared" si="16"/>
        <v>260.16373123642865</v>
      </c>
      <c r="AQ12" s="9">
        <f t="shared" si="17"/>
        <v>3.1428571428571428</v>
      </c>
      <c r="AR12" s="10">
        <f t="shared" si="18"/>
        <v>0.24396818518379501</v>
      </c>
      <c r="AS12" s="10">
        <v>3.1429328999999999</v>
      </c>
      <c r="AT12" s="9">
        <f t="shared" si="19"/>
        <v>0.182890835326593</v>
      </c>
      <c r="AV12" s="10">
        <f t="shared" si="20"/>
        <v>8.7900000000000063</v>
      </c>
      <c r="AX12" s="10">
        <f t="shared" si="21"/>
        <v>3.1428571428571428</v>
      </c>
      <c r="AY12" s="10">
        <f t="shared" si="22"/>
        <v>0.25243702564279635</v>
      </c>
      <c r="AZ12" s="10">
        <f t="shared" si="23"/>
        <v>0.55393601343568943</v>
      </c>
      <c r="BA12" s="10">
        <f t="shared" si="24"/>
        <v>3.1743622289999998</v>
      </c>
      <c r="BB12" s="10">
        <f t="shared" si="25"/>
        <v>1.6664076000000012</v>
      </c>
      <c r="BD12" s="10">
        <f t="shared" si="26"/>
        <v>-1.0935622185570537E-8</v>
      </c>
    </row>
    <row r="13" spans="2:60" x14ac:dyDescent="0.2">
      <c r="B13" s="13" t="s">
        <v>73</v>
      </c>
      <c r="C13" s="12" t="s">
        <v>56</v>
      </c>
      <c r="D13" s="12">
        <v>0.9</v>
      </c>
      <c r="E13" s="12">
        <v>5.8754727077757689</v>
      </c>
      <c r="F13" s="12">
        <v>0.2382</v>
      </c>
      <c r="G13" s="12">
        <v>0.12055455093429771</v>
      </c>
      <c r="H13" s="12">
        <v>0.16639670441229651</v>
      </c>
      <c r="I13" s="12">
        <v>0.82343941584086811</v>
      </c>
      <c r="J13" s="12">
        <v>7.1050046335974998E-3</v>
      </c>
      <c r="K13" s="12">
        <v>203942.22</v>
      </c>
      <c r="L13" s="12">
        <v>112111.54</v>
      </c>
      <c r="M13" s="12">
        <v>-45.26</v>
      </c>
      <c r="N13" s="24">
        <v>1.01</v>
      </c>
      <c r="P13" s="15">
        <v>105.21100300000001</v>
      </c>
      <c r="Q13" s="15">
        <v>-6.4122130000000004</v>
      </c>
      <c r="R13" s="15">
        <v>36.488697999999999</v>
      </c>
      <c r="S13" s="15"/>
      <c r="T13" s="16">
        <v>73.640341000000006</v>
      </c>
      <c r="U13" s="15">
        <v>13.71857</v>
      </c>
      <c r="W13" s="1" t="str">
        <f t="shared" si="0"/>
        <v>CA_S-CC90-H2in</v>
      </c>
      <c r="X13" s="1" t="str">
        <f t="shared" si="1"/>
        <v>CO2Captured</v>
      </c>
      <c r="Y13" s="11">
        <f t="shared" si="2"/>
        <v>1871.04704985545</v>
      </c>
      <c r="Z13" s="11">
        <f t="shared" si="3"/>
        <v>1871.04704985545</v>
      </c>
      <c r="AA13" s="5">
        <f t="shared" si="4"/>
        <v>0</v>
      </c>
      <c r="AB13" s="5">
        <f t="shared" si="5"/>
        <v>0</v>
      </c>
      <c r="AC13" s="1">
        <f t="shared" si="6"/>
        <v>72.096887228562039</v>
      </c>
      <c r="AD13" s="1">
        <f t="shared" si="7"/>
        <v>819.53596305000065</v>
      </c>
      <c r="AE13" s="1">
        <f t="shared" si="8"/>
        <v>-18.935202524983769</v>
      </c>
      <c r="AF13" s="1">
        <f t="shared" si="9"/>
        <v>502.99519101863086</v>
      </c>
      <c r="AG13" s="1">
        <f t="shared" si="10"/>
        <v>214.57391107305949</v>
      </c>
      <c r="AH13" s="1">
        <f t="shared" si="11"/>
        <v>117.95601525875196</v>
      </c>
      <c r="AI13" s="1">
        <f t="shared" si="12"/>
        <v>-45.26</v>
      </c>
      <c r="AJ13" s="1">
        <f t="shared" si="13"/>
        <v>1.9777806390784884</v>
      </c>
      <c r="AK13" s="1">
        <v>0</v>
      </c>
      <c r="AL13" s="1">
        <f t="shared" si="14"/>
        <v>208.08428475142878</v>
      </c>
      <c r="AM13" s="1">
        <f t="shared" si="15"/>
        <v>1.9777806390784884</v>
      </c>
      <c r="AN13" s="1">
        <v>0</v>
      </c>
      <c r="AO13" s="1">
        <f t="shared" si="16"/>
        <v>208.08428475142878</v>
      </c>
      <c r="AQ13" s="9">
        <f t="shared" si="17"/>
        <v>3.1428571428571428</v>
      </c>
      <c r="AR13" s="10">
        <f t="shared" si="18"/>
        <v>0.24396818518379501</v>
      </c>
      <c r="AS13" s="10">
        <v>3.1429328999999999</v>
      </c>
      <c r="AT13" s="9">
        <f t="shared" si="19"/>
        <v>0.182890835326593</v>
      </c>
      <c r="AV13" s="10">
        <f t="shared" si="20"/>
        <v>8.2950000000000053</v>
      </c>
      <c r="AX13" s="10">
        <f t="shared" si="21"/>
        <v>3.1428571428571428</v>
      </c>
      <c r="AY13" s="10">
        <f t="shared" si="22"/>
        <v>0.25243702564279624</v>
      </c>
      <c r="AZ13" s="10">
        <f t="shared" si="23"/>
        <v>5.8936013435691291E-2</v>
      </c>
      <c r="BA13" s="10">
        <f t="shared" si="24"/>
        <v>3.1743622289999998</v>
      </c>
      <c r="BB13" s="10">
        <f t="shared" si="25"/>
        <v>1.666407600000001</v>
      </c>
      <c r="BD13" s="10">
        <f t="shared" si="26"/>
        <v>-1.0935625738284216E-8</v>
      </c>
    </row>
    <row r="14" spans="2:60" x14ac:dyDescent="0.2">
      <c r="B14" s="13" t="s">
        <v>74</v>
      </c>
      <c r="C14" s="12" t="s">
        <v>56</v>
      </c>
      <c r="D14" s="12">
        <v>0</v>
      </c>
      <c r="E14" s="12">
        <v>5.8754727077757689</v>
      </c>
      <c r="F14" s="12">
        <v>0.2382</v>
      </c>
      <c r="G14" s="12">
        <v>0.12055455093429771</v>
      </c>
      <c r="H14" s="12">
        <v>0.16639670441229651</v>
      </c>
      <c r="I14" s="12">
        <v>0.82343941584086811</v>
      </c>
      <c r="J14" s="12">
        <v>7.1050046335974998E-3</v>
      </c>
      <c r="K14" s="12">
        <v>203942.22</v>
      </c>
      <c r="L14" s="12">
        <v>112111.54</v>
      </c>
      <c r="M14" s="12">
        <v>-45.26</v>
      </c>
      <c r="N14" s="24">
        <v>1.01</v>
      </c>
      <c r="P14" s="15">
        <v>105.21100300000001</v>
      </c>
      <c r="Q14" s="15">
        <v>-7.3796590000000002</v>
      </c>
      <c r="R14" s="15">
        <v>26.787863000000002</v>
      </c>
      <c r="S14" s="15"/>
      <c r="T14" s="16">
        <v>73.640341000000006</v>
      </c>
      <c r="U14" s="15">
        <v>13.719440000000001</v>
      </c>
      <c r="W14" s="1" t="str">
        <f t="shared" si="0"/>
        <v>NW_S-CC90-H2in</v>
      </c>
      <c r="X14" s="1" t="str">
        <f t="shared" si="1"/>
        <v>CO2Captured</v>
      </c>
      <c r="Y14" s="11">
        <f t="shared" si="2"/>
        <v>1843.853305308058</v>
      </c>
      <c r="Z14" s="11">
        <f t="shared" si="3"/>
        <v>1843.853305308058</v>
      </c>
      <c r="AA14" s="5">
        <f t="shared" si="4"/>
        <v>0</v>
      </c>
      <c r="AB14" s="5">
        <f t="shared" si="5"/>
        <v>0</v>
      </c>
      <c r="AC14" s="1">
        <f t="shared" si="6"/>
        <v>52.929308077947027</v>
      </c>
      <c r="AD14" s="1">
        <f t="shared" si="7"/>
        <v>811.51099848000058</v>
      </c>
      <c r="AE14" s="1">
        <f t="shared" si="8"/>
        <v>-18.936403351760667</v>
      </c>
      <c r="AF14" s="1">
        <f t="shared" si="9"/>
        <v>502.99519101863086</v>
      </c>
      <c r="AG14" s="1">
        <f t="shared" si="10"/>
        <v>214.57391107305949</v>
      </c>
      <c r="AH14" s="1">
        <f t="shared" si="11"/>
        <v>117.95601525875196</v>
      </c>
      <c r="AI14" s="1">
        <f t="shared" si="12"/>
        <v>-45.26</v>
      </c>
      <c r="AJ14" s="1">
        <f t="shared" si="13"/>
        <v>1.9777806390784884</v>
      </c>
      <c r="AK14" s="1">
        <v>0</v>
      </c>
      <c r="AL14" s="1">
        <f t="shared" si="14"/>
        <v>208.08428475142878</v>
      </c>
      <c r="AM14" s="1">
        <f t="shared" si="15"/>
        <v>1.9777806390784884</v>
      </c>
      <c r="AN14" s="1">
        <v>0</v>
      </c>
      <c r="AO14" s="1">
        <f t="shared" si="16"/>
        <v>208.08428475142878</v>
      </c>
      <c r="AQ14" s="9">
        <f t="shared" si="17"/>
        <v>3.1428571428571428</v>
      </c>
      <c r="AR14" s="10">
        <f t="shared" si="18"/>
        <v>0.24396818518379501</v>
      </c>
      <c r="AS14" s="10">
        <v>3.1429328999999999</v>
      </c>
      <c r="AT14" s="9">
        <f t="shared" si="19"/>
        <v>0.182890835326593</v>
      </c>
      <c r="AV14" s="10">
        <f t="shared" si="20"/>
        <v>8.2950000000000053</v>
      </c>
      <c r="AX14" s="10">
        <f t="shared" si="21"/>
        <v>3.1428571428571428</v>
      </c>
      <c r="AY14" s="10">
        <f t="shared" si="22"/>
        <v>0.25243702564279624</v>
      </c>
      <c r="AZ14" s="10">
        <f t="shared" si="23"/>
        <v>5.8936013435691291E-2</v>
      </c>
      <c r="BA14" s="10">
        <f t="shared" si="24"/>
        <v>3.1743622289999998</v>
      </c>
      <c r="BB14" s="10">
        <f t="shared" si="25"/>
        <v>1.666407600000001</v>
      </c>
      <c r="BD14" s="10">
        <f t="shared" si="26"/>
        <v>-1.0935625738284216E-8</v>
      </c>
    </row>
    <row r="15" spans="2:60" x14ac:dyDescent="0.2">
      <c r="B15" s="13" t="s">
        <v>75</v>
      </c>
      <c r="C15" s="12" t="s">
        <v>56</v>
      </c>
      <c r="D15" s="12">
        <v>0.9</v>
      </c>
      <c r="E15" s="12">
        <v>5.8754727077757689</v>
      </c>
      <c r="F15" s="12">
        <v>0.2382</v>
      </c>
      <c r="G15" s="12">
        <v>0.12055455093429771</v>
      </c>
      <c r="H15" s="12">
        <v>0.16639670441229651</v>
      </c>
      <c r="I15" s="12">
        <v>0.82343941584086811</v>
      </c>
      <c r="J15" s="12">
        <v>7.1050046335974998E-3</v>
      </c>
      <c r="K15" s="12">
        <v>203942.22</v>
      </c>
      <c r="L15" s="12">
        <v>112111.54</v>
      </c>
      <c r="M15" s="12">
        <v>-45.26</v>
      </c>
      <c r="N15" s="24">
        <v>1.01</v>
      </c>
      <c r="P15" s="15">
        <v>105.21100300000001</v>
      </c>
      <c r="Q15" s="15">
        <v>-14.567418</v>
      </c>
      <c r="R15" s="15">
        <v>27.957547000000002</v>
      </c>
      <c r="S15" s="15"/>
      <c r="T15" s="16">
        <v>73.640341000000006</v>
      </c>
      <c r="U15" s="15">
        <v>13.719351</v>
      </c>
      <c r="W15" s="1" t="str">
        <f t="shared" si="0"/>
        <v>SW_S-CC90-H2in</v>
      </c>
      <c r="X15" s="1" t="str">
        <f t="shared" si="1"/>
        <v>CO2Captured</v>
      </c>
      <c r="Y15" s="11">
        <f t="shared" si="2"/>
        <v>1786.5421096016528</v>
      </c>
      <c r="Z15" s="11">
        <f t="shared" si="3"/>
        <v>1786.5421096016528</v>
      </c>
      <c r="AA15" s="5">
        <f t="shared" si="4"/>
        <v>0</v>
      </c>
      <c r="AB15" s="5">
        <f t="shared" si="5"/>
        <v>0</v>
      </c>
      <c r="AC15" s="1">
        <f t="shared" si="6"/>
        <v>55.240450433343028</v>
      </c>
      <c r="AD15" s="1">
        <f t="shared" si="7"/>
        <v>751.88853757500044</v>
      </c>
      <c r="AE15" s="1">
        <f t="shared" si="8"/>
        <v>-18.936280508561651</v>
      </c>
      <c r="AF15" s="1">
        <f t="shared" si="9"/>
        <v>502.99519101863086</v>
      </c>
      <c r="AG15" s="1">
        <f t="shared" si="10"/>
        <v>214.57391107305949</v>
      </c>
      <c r="AH15" s="1">
        <f t="shared" si="11"/>
        <v>117.95601525875196</v>
      </c>
      <c r="AI15" s="1">
        <f t="shared" si="12"/>
        <v>-45.26</v>
      </c>
      <c r="AJ15" s="1">
        <f t="shared" si="13"/>
        <v>1.9777806390784884</v>
      </c>
      <c r="AK15" s="1">
        <v>0</v>
      </c>
      <c r="AL15" s="1">
        <f t="shared" si="14"/>
        <v>208.08428475142878</v>
      </c>
      <c r="AM15" s="1">
        <f t="shared" si="15"/>
        <v>1.9777806390784884</v>
      </c>
      <c r="AN15" s="1">
        <v>0</v>
      </c>
      <c r="AO15" s="1">
        <f t="shared" si="16"/>
        <v>208.08428475142878</v>
      </c>
      <c r="AQ15" s="9">
        <f t="shared" si="17"/>
        <v>3.1428571428571428</v>
      </c>
      <c r="AR15" s="10">
        <f t="shared" si="18"/>
        <v>0.24396818518379501</v>
      </c>
      <c r="AS15" s="10">
        <v>3.1429328999999999</v>
      </c>
      <c r="AT15" s="9">
        <f t="shared" si="19"/>
        <v>0.182890835326593</v>
      </c>
      <c r="AV15" s="10">
        <f t="shared" si="20"/>
        <v>8.2950000000000053</v>
      </c>
      <c r="AX15" s="10">
        <f t="shared" si="21"/>
        <v>3.1428571428571428</v>
      </c>
      <c r="AY15" s="10">
        <f t="shared" si="22"/>
        <v>0.25243702564279624</v>
      </c>
      <c r="AZ15" s="10">
        <f t="shared" si="23"/>
        <v>5.8936013435691291E-2</v>
      </c>
      <c r="BA15" s="10">
        <f t="shared" si="24"/>
        <v>3.1743622289999998</v>
      </c>
      <c r="BB15" s="10">
        <f t="shared" si="25"/>
        <v>1.666407600000001</v>
      </c>
      <c r="BD15" s="10">
        <f t="shared" si="26"/>
        <v>-1.0935625738284216E-8</v>
      </c>
    </row>
    <row r="16" spans="2:60" x14ac:dyDescent="0.2">
      <c r="B16" s="13" t="s">
        <v>76</v>
      </c>
      <c r="C16" s="12" t="s">
        <v>56</v>
      </c>
      <c r="D16" s="12">
        <v>0</v>
      </c>
      <c r="E16" s="12">
        <v>5.8754727077757689</v>
      </c>
      <c r="F16" s="12">
        <v>0.2382</v>
      </c>
      <c r="G16" s="12">
        <v>0.12055455093429771</v>
      </c>
      <c r="H16" s="12">
        <v>0.16639670441229651</v>
      </c>
      <c r="I16" s="12">
        <v>0.82343941584086811</v>
      </c>
      <c r="J16" s="12">
        <v>7.1050046335974998E-3</v>
      </c>
      <c r="K16" s="12">
        <v>203942.22</v>
      </c>
      <c r="L16" s="12">
        <v>112111.54</v>
      </c>
      <c r="M16" s="12">
        <v>-45.26</v>
      </c>
      <c r="N16" s="24">
        <v>1.01</v>
      </c>
      <c r="P16" s="15">
        <v>105.21100300000001</v>
      </c>
      <c r="Q16" s="15">
        <v>-19.477884</v>
      </c>
      <c r="R16" s="15">
        <v>20.174973000000001</v>
      </c>
      <c r="S16" s="15"/>
      <c r="T16" s="16">
        <v>73.640341000000006</v>
      </c>
      <c r="U16" s="15">
        <v>13.326032</v>
      </c>
      <c r="W16" s="1" t="str">
        <f t="shared" si="0"/>
        <v>TX_S-CC90-H2in</v>
      </c>
      <c r="X16" s="1" t="str">
        <f t="shared" si="1"/>
        <v>CO2Captured</v>
      </c>
      <c r="Y16" s="11">
        <f t="shared" si="2"/>
        <v>1730.9753301685967</v>
      </c>
      <c r="Z16" s="11">
        <f t="shared" si="3"/>
        <v>1730.9753301685967</v>
      </c>
      <c r="AA16" s="5">
        <f t="shared" si="4"/>
        <v>0</v>
      </c>
      <c r="AB16" s="5">
        <f t="shared" si="5"/>
        <v>0</v>
      </c>
      <c r="AC16" s="1">
        <f t="shared" si="6"/>
        <v>39.86310372653702</v>
      </c>
      <c r="AD16" s="1">
        <f t="shared" si="7"/>
        <v>711.15622210500044</v>
      </c>
      <c r="AE16" s="1">
        <f t="shared" si="8"/>
        <v>-18.393397764811823</v>
      </c>
      <c r="AF16" s="1">
        <f t="shared" si="9"/>
        <v>502.99519101863086</v>
      </c>
      <c r="AG16" s="1">
        <f t="shared" si="10"/>
        <v>214.57391107305949</v>
      </c>
      <c r="AH16" s="1">
        <f t="shared" si="11"/>
        <v>117.95601525875196</v>
      </c>
      <c r="AI16" s="1">
        <f t="shared" si="12"/>
        <v>-45.26</v>
      </c>
      <c r="AJ16" s="1">
        <f t="shared" si="13"/>
        <v>1.9777806390784884</v>
      </c>
      <c r="AK16" s="1">
        <v>0</v>
      </c>
      <c r="AL16" s="1">
        <f t="shared" si="14"/>
        <v>208.08428475142878</v>
      </c>
      <c r="AM16" s="1">
        <f t="shared" si="15"/>
        <v>1.9777806390784884</v>
      </c>
      <c r="AN16" s="1">
        <v>0</v>
      </c>
      <c r="AO16" s="1">
        <f t="shared" si="16"/>
        <v>208.08428475142878</v>
      </c>
      <c r="AQ16" s="9">
        <f t="shared" si="17"/>
        <v>3.1428571428571428</v>
      </c>
      <c r="AR16" s="10">
        <f t="shared" si="18"/>
        <v>0.24396818518379501</v>
      </c>
      <c r="AS16" s="10">
        <v>3.1429328999999999</v>
      </c>
      <c r="AT16" s="9">
        <f t="shared" si="19"/>
        <v>0.182890835326593</v>
      </c>
      <c r="AV16" s="10">
        <f t="shared" si="20"/>
        <v>8.2950000000000053</v>
      </c>
      <c r="AX16" s="10">
        <f t="shared" si="21"/>
        <v>3.1428571428571428</v>
      </c>
      <c r="AY16" s="10">
        <f t="shared" si="22"/>
        <v>0.25243702564279624</v>
      </c>
      <c r="AZ16" s="10">
        <f t="shared" si="23"/>
        <v>5.8936013435691291E-2</v>
      </c>
      <c r="BA16" s="10">
        <f t="shared" si="24"/>
        <v>3.1743622289999998</v>
      </c>
      <c r="BB16" s="10">
        <f t="shared" si="25"/>
        <v>1.666407600000001</v>
      </c>
      <c r="BD16" s="10">
        <f t="shared" si="26"/>
        <v>-1.0935625738284216E-8</v>
      </c>
    </row>
    <row r="17" spans="2:56" x14ac:dyDescent="0.2">
      <c r="B17" s="13" t="s">
        <v>77</v>
      </c>
      <c r="C17" s="12" t="s">
        <v>56</v>
      </c>
      <c r="D17" s="12">
        <v>0.9</v>
      </c>
      <c r="E17" s="12">
        <v>5.8754727077757689</v>
      </c>
      <c r="F17" s="12">
        <v>0.2382</v>
      </c>
      <c r="G17" s="12">
        <v>0.12055455093429771</v>
      </c>
      <c r="H17" s="12">
        <v>0.16639670441229651</v>
      </c>
      <c r="I17" s="12">
        <v>0.82343941584086811</v>
      </c>
      <c r="J17" s="12">
        <v>7.1050046335974998E-3</v>
      </c>
      <c r="K17" s="12">
        <v>203942.22</v>
      </c>
      <c r="L17" s="12">
        <v>112111.54</v>
      </c>
      <c r="M17" s="12">
        <v>-45.26</v>
      </c>
      <c r="N17" s="24">
        <v>1.01</v>
      </c>
      <c r="P17" s="15">
        <v>105.21100300000001</v>
      </c>
      <c r="Q17" s="15">
        <v>-39.686463000000003</v>
      </c>
      <c r="R17" s="15">
        <v>30.713950000000001</v>
      </c>
      <c r="S17" s="15"/>
      <c r="T17" s="16">
        <v>73.640341000000006</v>
      </c>
      <c r="U17" s="15">
        <v>13.425922</v>
      </c>
      <c r="W17" s="1" t="str">
        <f t="shared" si="0"/>
        <v>NCEN_S-CC90-H2in</v>
      </c>
      <c r="X17" s="1" t="str">
        <f t="shared" si="1"/>
        <v>CO2Captured</v>
      </c>
      <c r="Y17" s="11">
        <f t="shared" si="2"/>
        <v>1584.0309310719726</v>
      </c>
      <c r="Z17" s="11">
        <f t="shared" si="3"/>
        <v>1584.0309310719726</v>
      </c>
      <c r="AA17" s="5">
        <f t="shared" si="4"/>
        <v>0</v>
      </c>
      <c r="AB17" s="5">
        <f t="shared" si="5"/>
        <v>0</v>
      </c>
      <c r="AC17" s="1">
        <f t="shared" si="6"/>
        <v>60.686741672550035</v>
      </c>
      <c r="AD17" s="1">
        <f t="shared" si="7"/>
        <v>543.52605930000038</v>
      </c>
      <c r="AE17" s="1">
        <f t="shared" si="8"/>
        <v>-18.531272002448883</v>
      </c>
      <c r="AF17" s="1">
        <f t="shared" si="9"/>
        <v>502.99519101863086</v>
      </c>
      <c r="AG17" s="1">
        <f t="shared" si="10"/>
        <v>214.57391107305949</v>
      </c>
      <c r="AH17" s="1">
        <f t="shared" si="11"/>
        <v>117.95601525875196</v>
      </c>
      <c r="AI17" s="1">
        <f t="shared" si="12"/>
        <v>-45.26</v>
      </c>
      <c r="AJ17" s="1">
        <f t="shared" si="13"/>
        <v>1.9777806390784884</v>
      </c>
      <c r="AK17" s="1">
        <v>0</v>
      </c>
      <c r="AL17" s="1">
        <f t="shared" si="14"/>
        <v>208.08428475142878</v>
      </c>
      <c r="AM17" s="1">
        <f t="shared" si="15"/>
        <v>1.9777806390784884</v>
      </c>
      <c r="AN17" s="1">
        <v>0</v>
      </c>
      <c r="AO17" s="1">
        <f t="shared" si="16"/>
        <v>208.08428475142878</v>
      </c>
      <c r="AQ17" s="9">
        <f t="shared" si="17"/>
        <v>3.1428571428571428</v>
      </c>
      <c r="AR17" s="10">
        <f t="shared" si="18"/>
        <v>0.24396818518379501</v>
      </c>
      <c r="AS17" s="10">
        <v>3.1429328999999999</v>
      </c>
      <c r="AT17" s="9">
        <f t="shared" si="19"/>
        <v>0.182890835326593</v>
      </c>
      <c r="AV17" s="10">
        <f t="shared" si="20"/>
        <v>8.2950000000000053</v>
      </c>
      <c r="AX17" s="10">
        <f t="shared" si="21"/>
        <v>3.1428571428571428</v>
      </c>
      <c r="AY17" s="10">
        <f t="shared" si="22"/>
        <v>0.25243702564279624</v>
      </c>
      <c r="AZ17" s="10">
        <f t="shared" si="23"/>
        <v>5.8936013435691291E-2</v>
      </c>
      <c r="BA17" s="10">
        <f t="shared" si="24"/>
        <v>3.1743622289999998</v>
      </c>
      <c r="BB17" s="10">
        <f t="shared" si="25"/>
        <v>1.666407600000001</v>
      </c>
      <c r="BD17" s="10">
        <f t="shared" si="26"/>
        <v>-1.0935625738284216E-8</v>
      </c>
    </row>
    <row r="18" spans="2:56" x14ac:dyDescent="0.2">
      <c r="B18" s="13" t="s">
        <v>78</v>
      </c>
      <c r="C18" s="12" t="s">
        <v>56</v>
      </c>
      <c r="D18" s="12">
        <v>0</v>
      </c>
      <c r="E18" s="12">
        <v>5.8754727077757689</v>
      </c>
      <c r="F18" s="12">
        <v>0.2382</v>
      </c>
      <c r="G18" s="12">
        <v>0.12055455093429771</v>
      </c>
      <c r="H18" s="12">
        <v>0.16639670441229651</v>
      </c>
      <c r="I18" s="12">
        <v>0.82343941584086811</v>
      </c>
      <c r="J18" s="12">
        <v>7.1050046335974998E-3</v>
      </c>
      <c r="K18" s="12">
        <v>203942.22</v>
      </c>
      <c r="L18" s="12">
        <v>112111.54</v>
      </c>
      <c r="M18" s="12">
        <v>-45.26</v>
      </c>
      <c r="N18" s="24">
        <v>1.01</v>
      </c>
      <c r="P18" s="15">
        <v>105.21100300000001</v>
      </c>
      <c r="Q18" s="15">
        <v>-29.672038000000001</v>
      </c>
      <c r="R18" s="15">
        <v>25.118154000000001</v>
      </c>
      <c r="S18" s="15"/>
      <c r="T18" s="16">
        <v>73.640341000000006</v>
      </c>
      <c r="U18" s="15">
        <v>13.425869</v>
      </c>
      <c r="W18" s="1" t="str">
        <f t="shared" si="0"/>
        <v>CEN_S-CC90-H2in</v>
      </c>
      <c r="X18" s="1" t="str">
        <f t="shared" si="1"/>
        <v>CO2Captured</v>
      </c>
      <c r="Y18" s="11">
        <f t="shared" si="2"/>
        <v>1656.0440997540638</v>
      </c>
      <c r="Z18" s="11">
        <f t="shared" si="3"/>
        <v>1656.0440997540638</v>
      </c>
      <c r="AA18" s="5">
        <f t="shared" si="4"/>
        <v>0</v>
      </c>
      <c r="AB18" s="5">
        <f t="shared" si="5"/>
        <v>0</v>
      </c>
      <c r="AC18" s="1">
        <f t="shared" si="6"/>
        <v>49.630181825826028</v>
      </c>
      <c r="AD18" s="1">
        <f t="shared" si="7"/>
        <v>626.59571467500041</v>
      </c>
      <c r="AE18" s="1">
        <f t="shared" si="8"/>
        <v>-18.531198848633739</v>
      </c>
      <c r="AF18" s="1">
        <f t="shared" si="9"/>
        <v>502.99519101863086</v>
      </c>
      <c r="AG18" s="1">
        <f t="shared" si="10"/>
        <v>214.57391107305949</v>
      </c>
      <c r="AH18" s="1">
        <f t="shared" si="11"/>
        <v>117.95601525875196</v>
      </c>
      <c r="AI18" s="1">
        <f t="shared" si="12"/>
        <v>-45.26</v>
      </c>
      <c r="AJ18" s="1">
        <f t="shared" si="13"/>
        <v>1.9777806390784884</v>
      </c>
      <c r="AK18" s="1">
        <v>0</v>
      </c>
      <c r="AL18" s="1">
        <f t="shared" si="14"/>
        <v>208.08428475142878</v>
      </c>
      <c r="AM18" s="1">
        <f t="shared" si="15"/>
        <v>1.9777806390784884</v>
      </c>
      <c r="AN18" s="1">
        <v>0</v>
      </c>
      <c r="AO18" s="1">
        <f t="shared" si="16"/>
        <v>208.08428475142878</v>
      </c>
      <c r="AQ18" s="9">
        <f t="shared" si="17"/>
        <v>3.1428571428571428</v>
      </c>
      <c r="AR18" s="10">
        <f t="shared" si="18"/>
        <v>0.24396818518379501</v>
      </c>
      <c r="AS18" s="10">
        <v>3.1429328999999999</v>
      </c>
      <c r="AT18" s="9">
        <f t="shared" si="19"/>
        <v>0.182890835326593</v>
      </c>
      <c r="AV18" s="10">
        <f t="shared" si="20"/>
        <v>8.2950000000000053</v>
      </c>
      <c r="AX18" s="10">
        <f t="shared" si="21"/>
        <v>3.1428571428571428</v>
      </c>
      <c r="AY18" s="10">
        <f t="shared" si="22"/>
        <v>0.25243702564279624</v>
      </c>
      <c r="AZ18" s="10">
        <f t="shared" si="23"/>
        <v>5.8936013435691291E-2</v>
      </c>
      <c r="BA18" s="10">
        <f t="shared" si="24"/>
        <v>3.1743622289999998</v>
      </c>
      <c r="BB18" s="10">
        <f t="shared" si="25"/>
        <v>1.666407600000001</v>
      </c>
      <c r="BD18" s="10">
        <f t="shared" si="26"/>
        <v>-1.0935625738284216E-8</v>
      </c>
    </row>
    <row r="19" spans="2:56" x14ac:dyDescent="0.2">
      <c r="B19" s="13" t="s">
        <v>79</v>
      </c>
      <c r="C19" s="12" t="s">
        <v>56</v>
      </c>
      <c r="D19" s="12">
        <v>0.9</v>
      </c>
      <c r="E19" s="12">
        <v>5.8754727077757689</v>
      </c>
      <c r="F19" s="12">
        <v>0.2382</v>
      </c>
      <c r="G19" s="12">
        <v>0.12055455093429771</v>
      </c>
      <c r="H19" s="12">
        <v>0.16639670441229651</v>
      </c>
      <c r="I19" s="12">
        <v>0.82343941584086811</v>
      </c>
      <c r="J19" s="12">
        <v>7.1050046335974998E-3</v>
      </c>
      <c r="K19" s="12">
        <v>203942.22</v>
      </c>
      <c r="L19" s="12">
        <v>112111.54</v>
      </c>
      <c r="M19" s="12">
        <v>-45.26</v>
      </c>
      <c r="N19" s="24">
        <v>1.01</v>
      </c>
      <c r="P19" s="15">
        <v>105.21100300000001</v>
      </c>
      <c r="Q19" s="15">
        <v>-45.510345000000001</v>
      </c>
      <c r="R19" s="15">
        <v>38.099075999999997</v>
      </c>
      <c r="S19" s="15"/>
      <c r="T19" s="16">
        <v>73.640341000000006</v>
      </c>
      <c r="U19" s="15">
        <v>13.425863</v>
      </c>
      <c r="W19" s="1" t="str">
        <f t="shared" si="0"/>
        <v>SE_S-CC90-H2in</v>
      </c>
      <c r="X19" s="1" t="str">
        <f t="shared" si="1"/>
        <v>CO2Captured</v>
      </c>
      <c r="Y19" s="11">
        <f t="shared" si="2"/>
        <v>1550.3139528418458</v>
      </c>
      <c r="Z19" s="11">
        <f t="shared" si="3"/>
        <v>1550.3139528418458</v>
      </c>
      <c r="AA19" s="5">
        <f t="shared" si="4"/>
        <v>0</v>
      </c>
      <c r="AB19" s="5">
        <f t="shared" si="5"/>
        <v>0</v>
      </c>
      <c r="AC19" s="1">
        <f t="shared" si="6"/>
        <v>75.278783197044035</v>
      </c>
      <c r="AD19" s="1">
        <f t="shared" si="7"/>
        <v>495.21695811000035</v>
      </c>
      <c r="AE19" s="1">
        <f t="shared" si="8"/>
        <v>-18.531190567069757</v>
      </c>
      <c r="AF19" s="1">
        <f t="shared" si="9"/>
        <v>502.99519101863086</v>
      </c>
      <c r="AG19" s="1">
        <f t="shared" si="10"/>
        <v>214.57391107305949</v>
      </c>
      <c r="AH19" s="1">
        <f t="shared" si="11"/>
        <v>117.95601525875196</v>
      </c>
      <c r="AI19" s="1">
        <f t="shared" si="12"/>
        <v>-45.26</v>
      </c>
      <c r="AJ19" s="1">
        <f t="shared" si="13"/>
        <v>1.9777806390784884</v>
      </c>
      <c r="AK19" s="1">
        <v>0</v>
      </c>
      <c r="AL19" s="1">
        <f t="shared" si="14"/>
        <v>208.08428475142878</v>
      </c>
      <c r="AM19" s="1">
        <f t="shared" si="15"/>
        <v>1.9777806390784884</v>
      </c>
      <c r="AN19" s="1">
        <v>0</v>
      </c>
      <c r="AO19" s="1">
        <f t="shared" si="16"/>
        <v>208.08428475142878</v>
      </c>
      <c r="AQ19" s="9">
        <f t="shared" si="17"/>
        <v>3.1428571428571428</v>
      </c>
      <c r="AR19" s="10">
        <f t="shared" si="18"/>
        <v>0.24396818518379501</v>
      </c>
      <c r="AS19" s="10">
        <v>3.1429328999999999</v>
      </c>
      <c r="AT19" s="9">
        <f t="shared" si="19"/>
        <v>0.182890835326593</v>
      </c>
      <c r="AV19" s="10">
        <f t="shared" si="20"/>
        <v>8.2950000000000053</v>
      </c>
      <c r="AX19" s="10">
        <f t="shared" si="21"/>
        <v>3.1428571428571428</v>
      </c>
      <c r="AY19" s="10">
        <f t="shared" si="22"/>
        <v>0.25243702564279624</v>
      </c>
      <c r="AZ19" s="10">
        <f t="shared" si="23"/>
        <v>5.8936013435691291E-2</v>
      </c>
      <c r="BA19" s="10">
        <f t="shared" si="24"/>
        <v>3.1743622289999998</v>
      </c>
      <c r="BB19" s="10">
        <f t="shared" si="25"/>
        <v>1.666407600000001</v>
      </c>
      <c r="BD19" s="10">
        <f t="shared" si="26"/>
        <v>-1.0935625738284216E-8</v>
      </c>
    </row>
    <row r="20" spans="2:56" x14ac:dyDescent="0.2">
      <c r="B20" s="13" t="s">
        <v>80</v>
      </c>
      <c r="C20" s="12" t="s">
        <v>56</v>
      </c>
      <c r="D20" s="12">
        <v>0</v>
      </c>
      <c r="E20" s="12">
        <v>5.8754727077757689</v>
      </c>
      <c r="F20" s="12">
        <v>0.2382</v>
      </c>
      <c r="G20" s="12">
        <v>0.12055455093429771</v>
      </c>
      <c r="H20" s="12">
        <v>0.16639670441229651</v>
      </c>
      <c r="I20" s="12">
        <v>0.82343941584086811</v>
      </c>
      <c r="J20" s="12">
        <v>7.1050046335974998E-3</v>
      </c>
      <c r="K20" s="12">
        <v>203942.22</v>
      </c>
      <c r="L20" s="12">
        <v>112111.54</v>
      </c>
      <c r="M20" s="12">
        <v>-45.26</v>
      </c>
      <c r="N20" s="24">
        <v>1.01</v>
      </c>
      <c r="P20" s="15">
        <v>105.21100300000001</v>
      </c>
      <c r="Q20" s="15">
        <v>-50.334515000000003</v>
      </c>
      <c r="R20" s="15">
        <v>39.29871</v>
      </c>
      <c r="S20" s="15"/>
      <c r="T20" s="16">
        <v>73.640341000000006</v>
      </c>
      <c r="U20" s="15">
        <v>13.42643</v>
      </c>
      <c r="W20" s="1" t="str">
        <f t="shared" si="0"/>
        <v>MIDAT_S-CC90-H2in</v>
      </c>
      <c r="X20" s="1" t="str">
        <f t="shared" si="1"/>
        <v>CO2Captured</v>
      </c>
      <c r="Y20" s="11">
        <f t="shared" si="2"/>
        <v>1512.6669997159959</v>
      </c>
      <c r="Z20" s="11">
        <f t="shared" si="3"/>
        <v>1512.6669997159959</v>
      </c>
      <c r="AA20" s="5">
        <f t="shared" si="4"/>
        <v>0</v>
      </c>
      <c r="AB20" s="5">
        <f t="shared" si="5"/>
        <v>0</v>
      </c>
      <c r="AC20" s="1">
        <f t="shared" si="6"/>
        <v>77.649102828990038</v>
      </c>
      <c r="AD20" s="1">
        <f t="shared" si="7"/>
        <v>455.20046796000031</v>
      </c>
      <c r="AE20" s="1">
        <f t="shared" si="8"/>
        <v>-18.531973174865737</v>
      </c>
      <c r="AF20" s="1">
        <f t="shared" si="9"/>
        <v>502.99519101863086</v>
      </c>
      <c r="AG20" s="1">
        <f t="shared" si="10"/>
        <v>214.57391107305949</v>
      </c>
      <c r="AH20" s="1">
        <f t="shared" si="11"/>
        <v>117.95601525875196</v>
      </c>
      <c r="AI20" s="1">
        <f t="shared" si="12"/>
        <v>-45.26</v>
      </c>
      <c r="AJ20" s="1">
        <f t="shared" si="13"/>
        <v>1.9777806390784884</v>
      </c>
      <c r="AK20" s="1">
        <v>0</v>
      </c>
      <c r="AL20" s="1">
        <f t="shared" si="14"/>
        <v>208.08428475142878</v>
      </c>
      <c r="AM20" s="1">
        <f t="shared" si="15"/>
        <v>1.9777806390784884</v>
      </c>
      <c r="AN20" s="1">
        <v>0</v>
      </c>
      <c r="AO20" s="1">
        <f t="shared" si="16"/>
        <v>208.08428475142878</v>
      </c>
      <c r="AQ20" s="9">
        <f t="shared" si="17"/>
        <v>3.1428571428571428</v>
      </c>
      <c r="AR20" s="10">
        <f t="shared" si="18"/>
        <v>0.24396818518379501</v>
      </c>
      <c r="AS20" s="10">
        <v>3.1429328999999999</v>
      </c>
      <c r="AT20" s="9">
        <f t="shared" si="19"/>
        <v>0.182890835326593</v>
      </c>
      <c r="AV20" s="10">
        <f t="shared" si="20"/>
        <v>8.2950000000000053</v>
      </c>
      <c r="AX20" s="10">
        <f t="shared" si="21"/>
        <v>3.1428571428571428</v>
      </c>
      <c r="AY20" s="10">
        <f t="shared" si="22"/>
        <v>0.25243702564279624</v>
      </c>
      <c r="AZ20" s="10">
        <f t="shared" si="23"/>
        <v>5.8936013435691291E-2</v>
      </c>
      <c r="BA20" s="10">
        <f t="shared" si="24"/>
        <v>3.1743622289999998</v>
      </c>
      <c r="BB20" s="10">
        <f t="shared" si="25"/>
        <v>1.666407600000001</v>
      </c>
      <c r="BD20" s="10">
        <f t="shared" si="26"/>
        <v>-1.0935625738284216E-8</v>
      </c>
    </row>
    <row r="21" spans="2:56" x14ac:dyDescent="0.2">
      <c r="B21" s="13" t="s">
        <v>81</v>
      </c>
      <c r="C21" s="12" t="s">
        <v>56</v>
      </c>
      <c r="D21" s="12">
        <v>0.9</v>
      </c>
      <c r="E21" s="12">
        <v>5.8754727077757689</v>
      </c>
      <c r="F21" s="12">
        <v>0.2382</v>
      </c>
      <c r="G21" s="12">
        <v>0.12055455093429771</v>
      </c>
      <c r="H21" s="12">
        <v>0.16639670441229651</v>
      </c>
      <c r="I21" s="12">
        <v>0.82343941584086811</v>
      </c>
      <c r="J21" s="12">
        <v>7.1050046335974998E-3</v>
      </c>
      <c r="K21" s="12">
        <v>203942.22</v>
      </c>
      <c r="L21" s="12">
        <v>112111.54</v>
      </c>
      <c r="M21" s="12">
        <v>-45.26</v>
      </c>
      <c r="N21" s="24">
        <v>1.01</v>
      </c>
      <c r="P21" s="15">
        <v>105.21100300000001</v>
      </c>
      <c r="Q21" s="15">
        <v>-58.833413</v>
      </c>
      <c r="R21" s="15">
        <v>47.365060999999997</v>
      </c>
      <c r="S21" s="15"/>
      <c r="T21" s="16">
        <v>73.640341000000006</v>
      </c>
      <c r="U21" s="15">
        <v>13.426278999999999</v>
      </c>
      <c r="W21" s="1" t="str">
        <f t="shared" si="0"/>
        <v>NE_S-CC90-H2in</v>
      </c>
      <c r="X21" s="1" t="str">
        <f t="shared" si="1"/>
        <v>CO2Captured</v>
      </c>
      <c r="Y21" s="11">
        <f t="shared" si="2"/>
        <v>1458.1069021093749</v>
      </c>
      <c r="Z21" s="11">
        <f t="shared" si="3"/>
        <v>1458.1069021093749</v>
      </c>
      <c r="AA21" s="5">
        <f t="shared" si="4"/>
        <v>0</v>
      </c>
      <c r="AB21" s="5">
        <f t="shared" si="5"/>
        <v>0</v>
      </c>
      <c r="AC21" s="1">
        <f t="shared" si="6"/>
        <v>93.587155713009039</v>
      </c>
      <c r="AD21" s="1">
        <f t="shared" si="7"/>
        <v>384.70210905000027</v>
      </c>
      <c r="AE21" s="1">
        <f t="shared" si="8"/>
        <v>-18.531764755505609</v>
      </c>
      <c r="AF21" s="1">
        <f t="shared" si="9"/>
        <v>502.99519101863086</v>
      </c>
      <c r="AG21" s="1">
        <f t="shared" si="10"/>
        <v>214.57391107305949</v>
      </c>
      <c r="AH21" s="1">
        <f t="shared" si="11"/>
        <v>117.95601525875196</v>
      </c>
      <c r="AI21" s="1">
        <f t="shared" si="12"/>
        <v>-45.26</v>
      </c>
      <c r="AJ21" s="1">
        <f t="shared" si="13"/>
        <v>1.9777806390784884</v>
      </c>
      <c r="AK21" s="1">
        <v>0</v>
      </c>
      <c r="AL21" s="1">
        <f t="shared" si="14"/>
        <v>208.08428475142878</v>
      </c>
      <c r="AM21" s="1">
        <f t="shared" si="15"/>
        <v>1.9777806390784884</v>
      </c>
      <c r="AN21" s="1">
        <v>0</v>
      </c>
      <c r="AO21" s="1">
        <f t="shared" si="16"/>
        <v>208.08428475142878</v>
      </c>
      <c r="AQ21" s="9">
        <f t="shared" si="17"/>
        <v>3.1428571428571428</v>
      </c>
      <c r="AR21" s="10">
        <f t="shared" si="18"/>
        <v>0.24396818518379501</v>
      </c>
      <c r="AS21" s="10">
        <v>3.1429328999999999</v>
      </c>
      <c r="AT21" s="9">
        <f t="shared" si="19"/>
        <v>0.182890835326593</v>
      </c>
      <c r="AV21" s="10">
        <f t="shared" si="20"/>
        <v>8.2950000000000053</v>
      </c>
      <c r="AX21" s="10">
        <f t="shared" si="21"/>
        <v>3.1428571428571428</v>
      </c>
      <c r="AY21" s="10">
        <f t="shared" si="22"/>
        <v>0.25243702564279624</v>
      </c>
      <c r="AZ21" s="10">
        <f t="shared" si="23"/>
        <v>5.8936013435691291E-2</v>
      </c>
      <c r="BA21" s="10">
        <f t="shared" si="24"/>
        <v>3.1743622289999998</v>
      </c>
      <c r="BB21" s="10">
        <f t="shared" si="25"/>
        <v>1.666407600000001</v>
      </c>
      <c r="BD21" s="10">
        <f t="shared" si="26"/>
        <v>-1.0935625738284216E-8</v>
      </c>
    </row>
    <row r="22" spans="2:56" x14ac:dyDescent="0.2">
      <c r="B22" s="13"/>
      <c r="C22" s="12" t="s">
        <v>56</v>
      </c>
      <c r="D22" s="12">
        <v>0.9</v>
      </c>
      <c r="E22" s="12"/>
      <c r="F22" s="12"/>
      <c r="G22" s="12"/>
      <c r="H22" s="12"/>
      <c r="I22" s="12"/>
      <c r="J22" s="12"/>
      <c r="K22" s="12"/>
      <c r="L22" s="12"/>
      <c r="M22" s="12"/>
      <c r="N22" s="24">
        <v>1.01</v>
      </c>
      <c r="P22" s="15"/>
      <c r="Q22" s="15"/>
      <c r="R22" s="15"/>
      <c r="S22" s="15"/>
      <c r="T22" s="16"/>
      <c r="U22" s="15"/>
      <c r="W22" s="1">
        <f t="shared" si="0"/>
        <v>0</v>
      </c>
      <c r="X22" s="1" t="str">
        <f t="shared" si="1"/>
        <v>CO2Captured</v>
      </c>
      <c r="Y22" s="11" t="e">
        <f t="shared" si="2"/>
        <v>#DIV/0!</v>
      </c>
      <c r="Z22" s="11" t="e">
        <f t="shared" si="3"/>
        <v>#DIV/0!</v>
      </c>
      <c r="AA22" s="5" t="e">
        <f t="shared" si="4"/>
        <v>#DIV/0!</v>
      </c>
      <c r="AB22" s="5" t="e">
        <f t="shared" si="5"/>
        <v>#DIV/0!</v>
      </c>
      <c r="AC22" s="1" t="e">
        <f t="shared" si="6"/>
        <v>#DIV/0!</v>
      </c>
      <c r="AD22" s="1" t="e">
        <f t="shared" si="7"/>
        <v>#DIV/0!</v>
      </c>
      <c r="AE22" s="1" t="e">
        <f t="shared" si="8"/>
        <v>#DIV/0!</v>
      </c>
      <c r="AF22" s="1" t="e">
        <f t="shared" si="9"/>
        <v>#DIV/0!</v>
      </c>
      <c r="AG22" s="1" t="e">
        <f t="shared" si="10"/>
        <v>#DIV/0!</v>
      </c>
      <c r="AH22" s="1" t="e">
        <f t="shared" si="11"/>
        <v>#DIV/0!</v>
      </c>
      <c r="AI22" s="1">
        <f t="shared" si="12"/>
        <v>0</v>
      </c>
      <c r="AJ22" s="1" t="e">
        <f t="shared" si="13"/>
        <v>#DIV/0!</v>
      </c>
      <c r="AK22" s="1">
        <v>0</v>
      </c>
      <c r="AL22" s="1" t="e">
        <f t="shared" si="14"/>
        <v>#DIV/0!</v>
      </c>
      <c r="AM22" s="1" t="e">
        <f t="shared" si="15"/>
        <v>#DIV/0!</v>
      </c>
      <c r="AN22" s="1">
        <v>0</v>
      </c>
      <c r="AO22" s="1" t="e">
        <f t="shared" si="16"/>
        <v>#DIV/0!</v>
      </c>
      <c r="AQ22" s="9">
        <f t="shared" si="17"/>
        <v>3.1428571428571428</v>
      </c>
      <c r="AR22" s="10">
        <f t="shared" si="18"/>
        <v>0.24396818518379501</v>
      </c>
      <c r="AS22" s="10">
        <v>3.1429328999999999</v>
      </c>
      <c r="AT22" s="9">
        <f t="shared" si="19"/>
        <v>0.182890835326593</v>
      </c>
      <c r="AV22" s="10" t="e">
        <f t="shared" si="20"/>
        <v>#DIV/0!</v>
      </c>
      <c r="AX22" s="10">
        <f t="shared" si="21"/>
        <v>3.1428571428571428</v>
      </c>
      <c r="AY22" s="10" t="e">
        <f t="shared" si="22"/>
        <v>#DIV/0!</v>
      </c>
      <c r="AZ22" s="10" t="e">
        <f t="shared" si="23"/>
        <v>#DIV/0!</v>
      </c>
      <c r="BA22" s="10">
        <f t="shared" si="24"/>
        <v>3.1743622289999998</v>
      </c>
      <c r="BB22" s="10" t="e">
        <f t="shared" si="25"/>
        <v>#DIV/0!</v>
      </c>
      <c r="BD22" s="10" t="e">
        <f t="shared" si="26"/>
        <v>#DIV/0!</v>
      </c>
    </row>
    <row r="23" spans="2:56" x14ac:dyDescent="0.2">
      <c r="B23" s="13"/>
      <c r="C23" s="12" t="s">
        <v>56</v>
      </c>
      <c r="D23" s="12">
        <v>0.9</v>
      </c>
      <c r="E23" s="12"/>
      <c r="F23" s="12"/>
      <c r="G23" s="12"/>
      <c r="H23" s="12"/>
      <c r="I23" s="12"/>
      <c r="J23" s="12"/>
      <c r="K23" s="12"/>
      <c r="L23" s="12"/>
      <c r="M23" s="12"/>
      <c r="N23" s="24">
        <v>1.01</v>
      </c>
      <c r="P23" s="15"/>
      <c r="Q23" s="15"/>
      <c r="R23" s="15"/>
      <c r="S23" s="15"/>
      <c r="T23" s="16"/>
      <c r="U23" s="15"/>
      <c r="W23" s="1">
        <f t="shared" si="0"/>
        <v>0</v>
      </c>
      <c r="X23" s="1" t="str">
        <f t="shared" si="1"/>
        <v>CO2Captured</v>
      </c>
      <c r="Y23" s="11" t="e">
        <f t="shared" si="2"/>
        <v>#DIV/0!</v>
      </c>
      <c r="Z23" s="11" t="e">
        <f t="shared" si="3"/>
        <v>#DIV/0!</v>
      </c>
      <c r="AA23" s="5" t="e">
        <f t="shared" si="4"/>
        <v>#DIV/0!</v>
      </c>
      <c r="AB23" s="5" t="e">
        <f t="shared" si="5"/>
        <v>#DIV/0!</v>
      </c>
      <c r="AC23" s="1" t="e">
        <f t="shared" si="6"/>
        <v>#DIV/0!</v>
      </c>
      <c r="AD23" s="1" t="e">
        <f t="shared" si="7"/>
        <v>#DIV/0!</v>
      </c>
      <c r="AE23" s="1" t="e">
        <f t="shared" si="8"/>
        <v>#DIV/0!</v>
      </c>
      <c r="AF23" s="1" t="e">
        <f t="shared" si="9"/>
        <v>#DIV/0!</v>
      </c>
      <c r="AG23" s="1" t="e">
        <f t="shared" si="10"/>
        <v>#DIV/0!</v>
      </c>
      <c r="AH23" s="1" t="e">
        <f t="shared" si="11"/>
        <v>#DIV/0!</v>
      </c>
      <c r="AI23" s="1">
        <f t="shared" si="12"/>
        <v>0</v>
      </c>
      <c r="AJ23" s="1" t="e">
        <f t="shared" si="13"/>
        <v>#DIV/0!</v>
      </c>
      <c r="AK23" s="1">
        <v>0</v>
      </c>
      <c r="AL23" s="1" t="e">
        <f t="shared" si="14"/>
        <v>#DIV/0!</v>
      </c>
      <c r="AM23" s="1" t="e">
        <f t="shared" si="15"/>
        <v>#DIV/0!</v>
      </c>
      <c r="AN23" s="1">
        <v>0</v>
      </c>
      <c r="AO23" s="1" t="e">
        <f t="shared" si="16"/>
        <v>#DIV/0!</v>
      </c>
      <c r="AQ23" s="9">
        <f t="shared" si="17"/>
        <v>3.1428571428571428</v>
      </c>
      <c r="AR23" s="10">
        <f t="shared" si="18"/>
        <v>0.24396818518379501</v>
      </c>
      <c r="AS23" s="10">
        <v>3.1429328999999999</v>
      </c>
      <c r="AT23" s="9">
        <f t="shared" si="19"/>
        <v>0.182890835326593</v>
      </c>
      <c r="AV23" s="10" t="e">
        <f t="shared" si="20"/>
        <v>#DIV/0!</v>
      </c>
      <c r="AX23" s="10">
        <f t="shared" si="21"/>
        <v>3.1428571428571428</v>
      </c>
      <c r="AY23" s="10" t="e">
        <f t="shared" si="22"/>
        <v>#DIV/0!</v>
      </c>
      <c r="AZ23" s="10" t="e">
        <f t="shared" si="23"/>
        <v>#DIV/0!</v>
      </c>
      <c r="BA23" s="10">
        <f t="shared" si="24"/>
        <v>3.1743622289999998</v>
      </c>
      <c r="BB23" s="10" t="e">
        <f t="shared" si="25"/>
        <v>#DIV/0!</v>
      </c>
      <c r="BD23" s="10" t="e">
        <f t="shared" si="26"/>
        <v>#DIV/0!</v>
      </c>
    </row>
    <row r="24" spans="2:56" x14ac:dyDescent="0.2">
      <c r="B24" s="13"/>
      <c r="C24" s="12" t="s">
        <v>56</v>
      </c>
      <c r="D24" s="12">
        <v>0.9</v>
      </c>
      <c r="E24" s="12"/>
      <c r="F24" s="12"/>
      <c r="G24" s="12"/>
      <c r="H24" s="12"/>
      <c r="I24" s="12"/>
      <c r="J24" s="12"/>
      <c r="K24" s="12"/>
      <c r="L24" s="12"/>
      <c r="M24" s="12"/>
      <c r="N24" s="24">
        <v>1.01</v>
      </c>
      <c r="P24" s="15"/>
      <c r="Q24" s="15"/>
      <c r="R24" s="15"/>
      <c r="S24" s="15"/>
      <c r="T24" s="16"/>
      <c r="U24" s="15"/>
      <c r="W24" s="1">
        <f t="shared" si="0"/>
        <v>0</v>
      </c>
      <c r="X24" s="1" t="str">
        <f t="shared" si="1"/>
        <v>CO2Captured</v>
      </c>
      <c r="Y24" s="11" t="e">
        <f t="shared" si="2"/>
        <v>#DIV/0!</v>
      </c>
      <c r="Z24" s="11" t="e">
        <f t="shared" si="3"/>
        <v>#DIV/0!</v>
      </c>
      <c r="AA24" s="5" t="e">
        <f t="shared" si="4"/>
        <v>#DIV/0!</v>
      </c>
      <c r="AB24" s="5" t="e">
        <f t="shared" si="5"/>
        <v>#DIV/0!</v>
      </c>
      <c r="AC24" s="1" t="e">
        <f t="shared" si="6"/>
        <v>#DIV/0!</v>
      </c>
      <c r="AD24" s="1" t="e">
        <f t="shared" si="7"/>
        <v>#DIV/0!</v>
      </c>
      <c r="AE24" s="1" t="e">
        <f t="shared" si="8"/>
        <v>#DIV/0!</v>
      </c>
      <c r="AF24" s="1" t="e">
        <f t="shared" si="9"/>
        <v>#DIV/0!</v>
      </c>
      <c r="AG24" s="1" t="e">
        <f t="shared" si="10"/>
        <v>#DIV/0!</v>
      </c>
      <c r="AH24" s="1" t="e">
        <f t="shared" si="11"/>
        <v>#DIV/0!</v>
      </c>
      <c r="AI24" s="1">
        <f t="shared" si="12"/>
        <v>0</v>
      </c>
      <c r="AJ24" s="1" t="e">
        <f t="shared" si="13"/>
        <v>#DIV/0!</v>
      </c>
      <c r="AK24" s="1">
        <v>0</v>
      </c>
      <c r="AL24" s="1" t="e">
        <f t="shared" si="14"/>
        <v>#DIV/0!</v>
      </c>
      <c r="AM24" s="1" t="e">
        <f t="shared" si="15"/>
        <v>#DIV/0!</v>
      </c>
      <c r="AN24" s="1">
        <v>0</v>
      </c>
      <c r="AO24" s="1" t="e">
        <f t="shared" si="16"/>
        <v>#DIV/0!</v>
      </c>
      <c r="AQ24" s="9">
        <f t="shared" si="17"/>
        <v>3.1428571428571428</v>
      </c>
      <c r="AR24" s="10">
        <f t="shared" si="18"/>
        <v>0.24396818518379501</v>
      </c>
      <c r="AS24" s="10">
        <v>3.1429328999999999</v>
      </c>
      <c r="AT24" s="9">
        <f t="shared" si="19"/>
        <v>0.182890835326593</v>
      </c>
      <c r="AV24" s="10" t="e">
        <f t="shared" si="20"/>
        <v>#DIV/0!</v>
      </c>
      <c r="AX24" s="10">
        <f t="shared" si="21"/>
        <v>3.1428571428571428</v>
      </c>
      <c r="AY24" s="10" t="e">
        <f t="shared" si="22"/>
        <v>#DIV/0!</v>
      </c>
      <c r="AZ24" s="10" t="e">
        <f t="shared" si="23"/>
        <v>#DIV/0!</v>
      </c>
      <c r="BA24" s="10">
        <f t="shared" si="24"/>
        <v>3.1743622289999998</v>
      </c>
      <c r="BB24" s="10" t="e">
        <f t="shared" si="25"/>
        <v>#DIV/0!</v>
      </c>
      <c r="BD24" s="10" t="e">
        <f t="shared" si="26"/>
        <v>#DIV/0!</v>
      </c>
    </row>
    <row r="25" spans="2:56" x14ac:dyDescent="0.2">
      <c r="B25" s="13"/>
      <c r="C25" s="12" t="s">
        <v>56</v>
      </c>
      <c r="D25" s="12">
        <v>0.9</v>
      </c>
      <c r="E25" s="12"/>
      <c r="F25" s="12"/>
      <c r="G25" s="12"/>
      <c r="H25" s="12"/>
      <c r="I25" s="12"/>
      <c r="J25" s="12"/>
      <c r="K25" s="12"/>
      <c r="L25" s="12"/>
      <c r="M25" s="12"/>
      <c r="N25" s="24">
        <v>1.01</v>
      </c>
      <c r="P25" s="15"/>
      <c r="Q25" s="15"/>
      <c r="R25" s="15"/>
      <c r="S25" s="15"/>
      <c r="T25" s="16"/>
      <c r="U25" s="15"/>
      <c r="W25" s="1">
        <f t="shared" si="0"/>
        <v>0</v>
      </c>
      <c r="X25" s="1" t="str">
        <f t="shared" si="1"/>
        <v>CO2Captured</v>
      </c>
      <c r="Y25" s="11" t="e">
        <f t="shared" si="2"/>
        <v>#DIV/0!</v>
      </c>
      <c r="Z25" s="11" t="e">
        <f t="shared" si="3"/>
        <v>#DIV/0!</v>
      </c>
      <c r="AA25" s="5" t="e">
        <f t="shared" si="4"/>
        <v>#DIV/0!</v>
      </c>
      <c r="AB25" s="5" t="e">
        <f t="shared" si="5"/>
        <v>#DIV/0!</v>
      </c>
      <c r="AC25" s="1" t="e">
        <f t="shared" si="6"/>
        <v>#DIV/0!</v>
      </c>
      <c r="AD25" s="1" t="e">
        <f t="shared" si="7"/>
        <v>#DIV/0!</v>
      </c>
      <c r="AE25" s="1" t="e">
        <f t="shared" si="8"/>
        <v>#DIV/0!</v>
      </c>
      <c r="AF25" s="1" t="e">
        <f t="shared" si="9"/>
        <v>#DIV/0!</v>
      </c>
      <c r="AG25" s="1" t="e">
        <f t="shared" si="10"/>
        <v>#DIV/0!</v>
      </c>
      <c r="AH25" s="1" t="e">
        <f t="shared" si="11"/>
        <v>#DIV/0!</v>
      </c>
      <c r="AI25" s="1">
        <f t="shared" si="12"/>
        <v>0</v>
      </c>
      <c r="AJ25" s="1" t="e">
        <f t="shared" si="13"/>
        <v>#DIV/0!</v>
      </c>
      <c r="AK25" s="1">
        <v>0</v>
      </c>
      <c r="AL25" s="1" t="e">
        <f t="shared" si="14"/>
        <v>#DIV/0!</v>
      </c>
      <c r="AM25" s="1" t="e">
        <f t="shared" si="15"/>
        <v>#DIV/0!</v>
      </c>
      <c r="AN25" s="1">
        <v>0</v>
      </c>
      <c r="AO25" s="1" t="e">
        <f t="shared" si="16"/>
        <v>#DIV/0!</v>
      </c>
      <c r="AQ25" s="9">
        <f t="shared" si="17"/>
        <v>3.1428571428571428</v>
      </c>
      <c r="AR25" s="10">
        <f t="shared" si="18"/>
        <v>0.24396818518379501</v>
      </c>
      <c r="AS25" s="10">
        <v>3.1429328999999999</v>
      </c>
      <c r="AT25" s="9">
        <f t="shared" si="19"/>
        <v>0.182890835326593</v>
      </c>
      <c r="AV25" s="10" t="e">
        <f t="shared" si="20"/>
        <v>#DIV/0!</v>
      </c>
      <c r="AX25" s="10">
        <f t="shared" si="21"/>
        <v>3.1428571428571428</v>
      </c>
      <c r="AY25" s="10" t="e">
        <f t="shared" si="22"/>
        <v>#DIV/0!</v>
      </c>
      <c r="AZ25" s="10" t="e">
        <f t="shared" si="23"/>
        <v>#DIV/0!</v>
      </c>
      <c r="BA25" s="10">
        <f t="shared" si="24"/>
        <v>3.1743622289999998</v>
      </c>
      <c r="BB25" s="10" t="e">
        <f t="shared" si="25"/>
        <v>#DIV/0!</v>
      </c>
      <c r="BD25" s="10" t="e">
        <f t="shared" si="26"/>
        <v>#DIV/0!</v>
      </c>
    </row>
    <row r="26" spans="2:56" x14ac:dyDescent="0.2">
      <c r="B26" s="13"/>
      <c r="C26" s="12" t="s">
        <v>56</v>
      </c>
      <c r="D26" s="12">
        <v>0.9</v>
      </c>
      <c r="E26" s="12"/>
      <c r="F26" s="12"/>
      <c r="G26" s="12"/>
      <c r="H26" s="12"/>
      <c r="I26" s="12"/>
      <c r="J26" s="12"/>
      <c r="K26" s="12"/>
      <c r="L26" s="12"/>
      <c r="M26" s="12"/>
      <c r="N26" s="24">
        <v>1.01</v>
      </c>
      <c r="P26" s="15"/>
      <c r="Q26" s="15"/>
      <c r="R26" s="15"/>
      <c r="S26" s="15"/>
      <c r="T26" s="16"/>
      <c r="U26" s="15"/>
      <c r="W26" s="1">
        <f t="shared" si="0"/>
        <v>0</v>
      </c>
      <c r="X26" s="1" t="str">
        <f t="shared" si="1"/>
        <v>CO2Captured</v>
      </c>
      <c r="Y26" s="11" t="e">
        <f t="shared" si="2"/>
        <v>#DIV/0!</v>
      </c>
      <c r="Z26" s="11" t="e">
        <f t="shared" si="3"/>
        <v>#DIV/0!</v>
      </c>
      <c r="AA26" s="5" t="e">
        <f t="shared" si="4"/>
        <v>#DIV/0!</v>
      </c>
      <c r="AB26" s="5" t="e">
        <f t="shared" si="5"/>
        <v>#DIV/0!</v>
      </c>
      <c r="AC26" s="1" t="e">
        <f t="shared" si="6"/>
        <v>#DIV/0!</v>
      </c>
      <c r="AD26" s="1" t="e">
        <f t="shared" si="7"/>
        <v>#DIV/0!</v>
      </c>
      <c r="AE26" s="1" t="e">
        <f t="shared" si="8"/>
        <v>#DIV/0!</v>
      </c>
      <c r="AF26" s="1" t="e">
        <f t="shared" si="9"/>
        <v>#DIV/0!</v>
      </c>
      <c r="AG26" s="1" t="e">
        <f t="shared" si="10"/>
        <v>#DIV/0!</v>
      </c>
      <c r="AH26" s="1" t="e">
        <f t="shared" si="11"/>
        <v>#DIV/0!</v>
      </c>
      <c r="AI26" s="1">
        <f t="shared" si="12"/>
        <v>0</v>
      </c>
      <c r="AJ26" s="1" t="e">
        <f t="shared" si="13"/>
        <v>#DIV/0!</v>
      </c>
      <c r="AK26" s="1">
        <v>0</v>
      </c>
      <c r="AL26" s="1" t="e">
        <f t="shared" si="14"/>
        <v>#DIV/0!</v>
      </c>
      <c r="AM26" s="1" t="e">
        <f t="shared" si="15"/>
        <v>#DIV/0!</v>
      </c>
      <c r="AN26" s="1">
        <v>0</v>
      </c>
      <c r="AO26" s="1" t="e">
        <f t="shared" si="16"/>
        <v>#DIV/0!</v>
      </c>
      <c r="AQ26" s="9">
        <f t="shared" si="17"/>
        <v>3.1428571428571428</v>
      </c>
      <c r="AR26" s="10">
        <f t="shared" si="18"/>
        <v>0.24396818518379501</v>
      </c>
      <c r="AS26" s="10">
        <v>3.1429328999999999</v>
      </c>
      <c r="AT26" s="9">
        <f t="shared" si="19"/>
        <v>0.182890835326593</v>
      </c>
      <c r="AV26" s="10" t="e">
        <f t="shared" si="20"/>
        <v>#DIV/0!</v>
      </c>
      <c r="AX26" s="10">
        <f t="shared" si="21"/>
        <v>3.1428571428571428</v>
      </c>
      <c r="AY26" s="10" t="e">
        <f t="shared" si="22"/>
        <v>#DIV/0!</v>
      </c>
      <c r="AZ26" s="10" t="e">
        <f t="shared" si="23"/>
        <v>#DIV/0!</v>
      </c>
      <c r="BA26" s="10">
        <f t="shared" si="24"/>
        <v>3.1743622289999998</v>
      </c>
      <c r="BB26" s="10" t="e">
        <f t="shared" si="25"/>
        <v>#DIV/0!</v>
      </c>
      <c r="BD26" s="10" t="e">
        <f t="shared" si="26"/>
        <v>#DIV/0!</v>
      </c>
    </row>
    <row r="27" spans="2:56" x14ac:dyDescent="0.2">
      <c r="B27" s="13"/>
      <c r="C27" s="12" t="s">
        <v>56</v>
      </c>
      <c r="D27" s="12">
        <v>0.9</v>
      </c>
      <c r="E27" s="12"/>
      <c r="F27" s="12"/>
      <c r="G27" s="12"/>
      <c r="H27" s="12"/>
      <c r="I27" s="12"/>
      <c r="J27" s="12"/>
      <c r="K27" s="12"/>
      <c r="L27" s="12"/>
      <c r="M27" s="12"/>
      <c r="N27" s="24">
        <v>1.01</v>
      </c>
      <c r="P27" s="15"/>
      <c r="Q27" s="15"/>
      <c r="R27" s="15"/>
      <c r="S27" s="15"/>
      <c r="T27" s="16"/>
      <c r="U27" s="15"/>
      <c r="W27" s="1">
        <f t="shared" si="0"/>
        <v>0</v>
      </c>
      <c r="X27" s="1" t="str">
        <f t="shared" si="1"/>
        <v>CO2Captured</v>
      </c>
      <c r="Y27" s="11" t="e">
        <f t="shared" si="2"/>
        <v>#DIV/0!</v>
      </c>
      <c r="Z27" s="11" t="e">
        <f t="shared" si="3"/>
        <v>#DIV/0!</v>
      </c>
      <c r="AA27" s="5" t="e">
        <f t="shared" si="4"/>
        <v>#DIV/0!</v>
      </c>
      <c r="AB27" s="5" t="e">
        <f t="shared" si="5"/>
        <v>#DIV/0!</v>
      </c>
      <c r="AC27" s="1" t="e">
        <f t="shared" si="6"/>
        <v>#DIV/0!</v>
      </c>
      <c r="AD27" s="1" t="e">
        <f t="shared" si="7"/>
        <v>#DIV/0!</v>
      </c>
      <c r="AE27" s="1" t="e">
        <f t="shared" si="8"/>
        <v>#DIV/0!</v>
      </c>
      <c r="AF27" s="1" t="e">
        <f t="shared" si="9"/>
        <v>#DIV/0!</v>
      </c>
      <c r="AG27" s="1" t="e">
        <f t="shared" si="10"/>
        <v>#DIV/0!</v>
      </c>
      <c r="AH27" s="1" t="e">
        <f t="shared" si="11"/>
        <v>#DIV/0!</v>
      </c>
      <c r="AI27" s="1">
        <f t="shared" si="12"/>
        <v>0</v>
      </c>
      <c r="AJ27" s="1" t="e">
        <f t="shared" si="13"/>
        <v>#DIV/0!</v>
      </c>
      <c r="AK27" s="1">
        <v>0</v>
      </c>
      <c r="AL27" s="1" t="e">
        <f t="shared" si="14"/>
        <v>#DIV/0!</v>
      </c>
      <c r="AM27" s="1" t="e">
        <f t="shared" si="15"/>
        <v>#DIV/0!</v>
      </c>
      <c r="AN27" s="1">
        <v>0</v>
      </c>
      <c r="AO27" s="1" t="e">
        <f t="shared" si="16"/>
        <v>#DIV/0!</v>
      </c>
      <c r="AQ27" s="9">
        <f t="shared" si="17"/>
        <v>3.1428571428571428</v>
      </c>
      <c r="AR27" s="10">
        <f t="shared" si="18"/>
        <v>0.24396818518379501</v>
      </c>
      <c r="AS27" s="10">
        <v>3.1429328999999999</v>
      </c>
      <c r="AT27" s="9">
        <f t="shared" si="19"/>
        <v>0.182890835326593</v>
      </c>
      <c r="AV27" s="10" t="e">
        <f t="shared" si="20"/>
        <v>#DIV/0!</v>
      </c>
      <c r="AX27" s="10">
        <f t="shared" si="21"/>
        <v>3.1428571428571428</v>
      </c>
      <c r="AY27" s="10" t="e">
        <f t="shared" si="22"/>
        <v>#DIV/0!</v>
      </c>
      <c r="AZ27" s="10" t="e">
        <f t="shared" si="23"/>
        <v>#DIV/0!</v>
      </c>
      <c r="BA27" s="10">
        <f t="shared" si="24"/>
        <v>3.1743622289999998</v>
      </c>
      <c r="BB27" s="10" t="e">
        <f t="shared" si="25"/>
        <v>#DIV/0!</v>
      </c>
      <c r="BD27" s="10" t="e">
        <f t="shared" si="26"/>
        <v>#DIV/0!</v>
      </c>
    </row>
    <row r="28" spans="2:56" x14ac:dyDescent="0.2">
      <c r="B28" s="13"/>
      <c r="C28" s="12" t="s">
        <v>56</v>
      </c>
      <c r="D28" s="12">
        <v>0.9</v>
      </c>
      <c r="E28" s="12"/>
      <c r="F28" s="12"/>
      <c r="G28" s="12"/>
      <c r="H28" s="12"/>
      <c r="I28" s="12"/>
      <c r="J28" s="12"/>
      <c r="K28" s="12"/>
      <c r="L28" s="12"/>
      <c r="M28" s="12"/>
      <c r="N28" s="24">
        <v>1.01</v>
      </c>
      <c r="P28" s="15"/>
      <c r="Q28" s="15"/>
      <c r="R28" s="15"/>
      <c r="S28" s="15"/>
      <c r="T28" s="16"/>
      <c r="U28" s="15"/>
      <c r="W28" s="1">
        <f t="shared" si="0"/>
        <v>0</v>
      </c>
      <c r="X28" s="1" t="str">
        <f t="shared" si="1"/>
        <v>CO2Captured</v>
      </c>
      <c r="Y28" s="11" t="e">
        <f t="shared" si="2"/>
        <v>#DIV/0!</v>
      </c>
      <c r="Z28" s="11" t="e">
        <f t="shared" si="3"/>
        <v>#DIV/0!</v>
      </c>
      <c r="AA28" s="5" t="e">
        <f t="shared" si="4"/>
        <v>#DIV/0!</v>
      </c>
      <c r="AB28" s="5" t="e">
        <f t="shared" si="5"/>
        <v>#DIV/0!</v>
      </c>
      <c r="AC28" s="1" t="e">
        <f t="shared" si="6"/>
        <v>#DIV/0!</v>
      </c>
      <c r="AD28" s="1" t="e">
        <f t="shared" si="7"/>
        <v>#DIV/0!</v>
      </c>
      <c r="AE28" s="1" t="e">
        <f t="shared" si="8"/>
        <v>#DIV/0!</v>
      </c>
      <c r="AF28" s="1" t="e">
        <f t="shared" si="9"/>
        <v>#DIV/0!</v>
      </c>
      <c r="AG28" s="1" t="e">
        <f t="shared" si="10"/>
        <v>#DIV/0!</v>
      </c>
      <c r="AH28" s="1" t="e">
        <f t="shared" si="11"/>
        <v>#DIV/0!</v>
      </c>
      <c r="AI28" s="1">
        <f t="shared" si="12"/>
        <v>0</v>
      </c>
      <c r="AJ28" s="1" t="e">
        <f t="shared" si="13"/>
        <v>#DIV/0!</v>
      </c>
      <c r="AK28" s="1">
        <v>0</v>
      </c>
      <c r="AL28" s="1" t="e">
        <f t="shared" si="14"/>
        <v>#DIV/0!</v>
      </c>
      <c r="AM28" s="1" t="e">
        <f t="shared" si="15"/>
        <v>#DIV/0!</v>
      </c>
      <c r="AN28" s="1">
        <v>0</v>
      </c>
      <c r="AO28" s="1" t="e">
        <f t="shared" si="16"/>
        <v>#DIV/0!</v>
      </c>
      <c r="AQ28" s="9">
        <f t="shared" si="17"/>
        <v>3.1428571428571428</v>
      </c>
      <c r="AR28" s="10">
        <f t="shared" si="18"/>
        <v>0.24396818518379501</v>
      </c>
      <c r="AS28" s="10">
        <v>3.1429328999999999</v>
      </c>
      <c r="AT28" s="9">
        <f t="shared" si="19"/>
        <v>0.182890835326593</v>
      </c>
      <c r="AV28" s="10" t="e">
        <f t="shared" si="20"/>
        <v>#DIV/0!</v>
      </c>
      <c r="AX28" s="10">
        <f t="shared" si="21"/>
        <v>3.1428571428571428</v>
      </c>
      <c r="AY28" s="10" t="e">
        <f t="shared" si="22"/>
        <v>#DIV/0!</v>
      </c>
      <c r="AZ28" s="10" t="e">
        <f t="shared" si="23"/>
        <v>#DIV/0!</v>
      </c>
      <c r="BA28" s="10">
        <f t="shared" si="24"/>
        <v>3.1743622289999998</v>
      </c>
      <c r="BB28" s="10" t="e">
        <f t="shared" si="25"/>
        <v>#DIV/0!</v>
      </c>
      <c r="BD28" s="10" t="e">
        <f t="shared" si="26"/>
        <v>#DIV/0!</v>
      </c>
    </row>
    <row r="29" spans="2:56" x14ac:dyDescent="0.2">
      <c r="B29" s="13"/>
      <c r="C29" s="12" t="s">
        <v>56</v>
      </c>
      <c r="D29" s="12">
        <v>0.9</v>
      </c>
      <c r="E29" s="12"/>
      <c r="F29" s="12"/>
      <c r="G29" s="12"/>
      <c r="H29" s="12"/>
      <c r="I29" s="12"/>
      <c r="J29" s="12"/>
      <c r="K29" s="12"/>
      <c r="L29" s="12"/>
      <c r="M29" s="12"/>
      <c r="N29" s="24">
        <v>1.01</v>
      </c>
      <c r="P29" s="15"/>
      <c r="Q29" s="15"/>
      <c r="R29" s="15"/>
      <c r="S29" s="15"/>
      <c r="T29" s="16"/>
      <c r="U29" s="15"/>
      <c r="W29" s="1">
        <f t="shared" si="0"/>
        <v>0</v>
      </c>
      <c r="X29" s="1" t="str">
        <f t="shared" si="1"/>
        <v>CO2Captured</v>
      </c>
      <c r="Y29" s="11" t="e">
        <f t="shared" si="2"/>
        <v>#DIV/0!</v>
      </c>
      <c r="Z29" s="11" t="e">
        <f t="shared" si="3"/>
        <v>#DIV/0!</v>
      </c>
      <c r="AA29" s="5" t="e">
        <f t="shared" si="4"/>
        <v>#DIV/0!</v>
      </c>
      <c r="AB29" s="5" t="e">
        <f t="shared" si="5"/>
        <v>#DIV/0!</v>
      </c>
      <c r="AC29" s="1" t="e">
        <f t="shared" si="6"/>
        <v>#DIV/0!</v>
      </c>
      <c r="AD29" s="1" t="e">
        <f t="shared" si="7"/>
        <v>#DIV/0!</v>
      </c>
      <c r="AE29" s="1" t="e">
        <f t="shared" si="8"/>
        <v>#DIV/0!</v>
      </c>
      <c r="AF29" s="1" t="e">
        <f t="shared" si="9"/>
        <v>#DIV/0!</v>
      </c>
      <c r="AG29" s="1" t="e">
        <f t="shared" si="10"/>
        <v>#DIV/0!</v>
      </c>
      <c r="AH29" s="1" t="e">
        <f t="shared" si="11"/>
        <v>#DIV/0!</v>
      </c>
      <c r="AI29" s="1">
        <f t="shared" si="12"/>
        <v>0</v>
      </c>
      <c r="AJ29" s="1" t="e">
        <f t="shared" si="13"/>
        <v>#DIV/0!</v>
      </c>
      <c r="AK29" s="1">
        <v>0</v>
      </c>
      <c r="AL29" s="1" t="e">
        <f t="shared" si="14"/>
        <v>#DIV/0!</v>
      </c>
      <c r="AM29" s="1" t="e">
        <f t="shared" si="15"/>
        <v>#DIV/0!</v>
      </c>
      <c r="AN29" s="1">
        <v>0</v>
      </c>
      <c r="AO29" s="1" t="e">
        <f t="shared" si="16"/>
        <v>#DIV/0!</v>
      </c>
      <c r="AQ29" s="9">
        <f t="shared" si="17"/>
        <v>3.1428571428571428</v>
      </c>
      <c r="AR29" s="10">
        <f t="shared" si="18"/>
        <v>0.24396818518379501</v>
      </c>
      <c r="AS29" s="10">
        <v>3.1429328999999999</v>
      </c>
      <c r="AT29" s="9">
        <f t="shared" si="19"/>
        <v>0.182890835326593</v>
      </c>
      <c r="AV29" s="10" t="e">
        <f t="shared" si="20"/>
        <v>#DIV/0!</v>
      </c>
      <c r="AX29" s="10">
        <f t="shared" si="21"/>
        <v>3.1428571428571428</v>
      </c>
      <c r="AY29" s="10" t="e">
        <f t="shared" si="22"/>
        <v>#DIV/0!</v>
      </c>
      <c r="AZ29" s="10" t="e">
        <f t="shared" si="23"/>
        <v>#DIV/0!</v>
      </c>
      <c r="BA29" s="10">
        <f t="shared" si="24"/>
        <v>3.1743622289999998</v>
      </c>
      <c r="BB29" s="10" t="e">
        <f t="shared" si="25"/>
        <v>#DIV/0!</v>
      </c>
      <c r="BD29" s="10" t="e">
        <f t="shared" si="26"/>
        <v>#DIV/0!</v>
      </c>
    </row>
    <row r="30" spans="2:56" x14ac:dyDescent="0.2">
      <c r="B30" s="13"/>
      <c r="C30" s="12" t="s">
        <v>56</v>
      </c>
      <c r="D30" s="12">
        <v>0.9</v>
      </c>
      <c r="E30" s="12"/>
      <c r="F30" s="12"/>
      <c r="G30" s="12"/>
      <c r="H30" s="12"/>
      <c r="I30" s="12"/>
      <c r="J30" s="12"/>
      <c r="K30" s="12"/>
      <c r="L30" s="12"/>
      <c r="M30" s="12"/>
      <c r="N30" s="24">
        <v>1.01</v>
      </c>
      <c r="P30" s="15"/>
      <c r="Q30" s="15"/>
      <c r="R30" s="15"/>
      <c r="S30" s="15"/>
      <c r="T30" s="16"/>
      <c r="U30" s="15"/>
      <c r="W30" s="1">
        <f t="shared" si="0"/>
        <v>0</v>
      </c>
      <c r="X30" s="1" t="str">
        <f t="shared" si="1"/>
        <v>CO2Captured</v>
      </c>
      <c r="Y30" s="11" t="e">
        <f t="shared" si="2"/>
        <v>#DIV/0!</v>
      </c>
      <c r="Z30" s="11" t="e">
        <f t="shared" si="3"/>
        <v>#DIV/0!</v>
      </c>
      <c r="AA30" s="5" t="e">
        <f t="shared" si="4"/>
        <v>#DIV/0!</v>
      </c>
      <c r="AB30" s="5" t="e">
        <f t="shared" si="5"/>
        <v>#DIV/0!</v>
      </c>
      <c r="AC30" s="1" t="e">
        <f t="shared" si="6"/>
        <v>#DIV/0!</v>
      </c>
      <c r="AD30" s="1" t="e">
        <f t="shared" si="7"/>
        <v>#DIV/0!</v>
      </c>
      <c r="AE30" s="1" t="e">
        <f t="shared" si="8"/>
        <v>#DIV/0!</v>
      </c>
      <c r="AF30" s="1" t="e">
        <f t="shared" si="9"/>
        <v>#DIV/0!</v>
      </c>
      <c r="AG30" s="1" t="e">
        <f t="shared" si="10"/>
        <v>#DIV/0!</v>
      </c>
      <c r="AH30" s="1" t="e">
        <f t="shared" si="11"/>
        <v>#DIV/0!</v>
      </c>
      <c r="AI30" s="1">
        <f t="shared" si="12"/>
        <v>0</v>
      </c>
      <c r="AJ30" s="1" t="e">
        <f t="shared" si="13"/>
        <v>#DIV/0!</v>
      </c>
      <c r="AK30" s="1">
        <v>0</v>
      </c>
      <c r="AL30" s="1" t="e">
        <f t="shared" si="14"/>
        <v>#DIV/0!</v>
      </c>
      <c r="AM30" s="1" t="e">
        <f t="shared" si="15"/>
        <v>#DIV/0!</v>
      </c>
      <c r="AN30" s="1">
        <v>0</v>
      </c>
      <c r="AO30" s="1" t="e">
        <f t="shared" si="16"/>
        <v>#DIV/0!</v>
      </c>
      <c r="AQ30" s="9">
        <f t="shared" si="17"/>
        <v>3.1428571428571428</v>
      </c>
      <c r="AR30" s="10">
        <f t="shared" si="18"/>
        <v>0.24396818518379501</v>
      </c>
      <c r="AS30" s="10">
        <v>3.1429328999999999</v>
      </c>
      <c r="AT30" s="9">
        <f t="shared" si="19"/>
        <v>0.182890835326593</v>
      </c>
      <c r="AV30" s="10" t="e">
        <f t="shared" si="20"/>
        <v>#DIV/0!</v>
      </c>
      <c r="AX30" s="10">
        <f t="shared" si="21"/>
        <v>3.1428571428571428</v>
      </c>
      <c r="AY30" s="10" t="e">
        <f t="shared" si="22"/>
        <v>#DIV/0!</v>
      </c>
      <c r="AZ30" s="10" t="e">
        <f t="shared" si="23"/>
        <v>#DIV/0!</v>
      </c>
      <c r="BA30" s="10">
        <f t="shared" si="24"/>
        <v>3.1743622289999998</v>
      </c>
      <c r="BB30" s="10" t="e">
        <f t="shared" si="25"/>
        <v>#DIV/0!</v>
      </c>
      <c r="BD30" s="10" t="e">
        <f t="shared" si="26"/>
        <v>#DIV/0!</v>
      </c>
    </row>
    <row r="31" spans="2:56" x14ac:dyDescent="0.2">
      <c r="B31" s="13"/>
      <c r="C31" s="12" t="s">
        <v>56</v>
      </c>
      <c r="D31" s="12">
        <v>0.9</v>
      </c>
      <c r="E31" s="12"/>
      <c r="F31" s="12"/>
      <c r="G31" s="12"/>
      <c r="H31" s="12"/>
      <c r="I31" s="12"/>
      <c r="J31" s="12"/>
      <c r="K31" s="12"/>
      <c r="L31" s="12"/>
      <c r="M31" s="12"/>
      <c r="N31" s="24">
        <v>1.01</v>
      </c>
      <c r="P31" s="15"/>
      <c r="Q31" s="15"/>
      <c r="R31" s="15"/>
      <c r="S31" s="15"/>
      <c r="T31" s="16"/>
      <c r="U31" s="15"/>
      <c r="W31" s="1">
        <f t="shared" si="0"/>
        <v>0</v>
      </c>
      <c r="X31" s="1" t="str">
        <f t="shared" si="1"/>
        <v>CO2Captured</v>
      </c>
      <c r="Y31" s="11" t="e">
        <f t="shared" si="2"/>
        <v>#DIV/0!</v>
      </c>
      <c r="Z31" s="11" t="e">
        <f t="shared" si="3"/>
        <v>#DIV/0!</v>
      </c>
      <c r="AA31" s="5" t="e">
        <f t="shared" si="4"/>
        <v>#DIV/0!</v>
      </c>
      <c r="AB31" s="5" t="e">
        <f t="shared" si="5"/>
        <v>#DIV/0!</v>
      </c>
      <c r="AC31" s="1" t="e">
        <f t="shared" si="6"/>
        <v>#DIV/0!</v>
      </c>
      <c r="AD31" s="1" t="e">
        <f t="shared" si="7"/>
        <v>#DIV/0!</v>
      </c>
      <c r="AE31" s="1" t="e">
        <f t="shared" si="8"/>
        <v>#DIV/0!</v>
      </c>
      <c r="AF31" s="1" t="e">
        <f t="shared" si="9"/>
        <v>#DIV/0!</v>
      </c>
      <c r="AG31" s="1" t="e">
        <f t="shared" si="10"/>
        <v>#DIV/0!</v>
      </c>
      <c r="AH31" s="1" t="e">
        <f t="shared" si="11"/>
        <v>#DIV/0!</v>
      </c>
      <c r="AI31" s="1">
        <f t="shared" si="12"/>
        <v>0</v>
      </c>
      <c r="AJ31" s="1" t="e">
        <f t="shared" si="13"/>
        <v>#DIV/0!</v>
      </c>
      <c r="AK31" s="1">
        <v>0</v>
      </c>
      <c r="AL31" s="1" t="e">
        <f t="shared" si="14"/>
        <v>#DIV/0!</v>
      </c>
      <c r="AM31" s="1" t="e">
        <f t="shared" si="15"/>
        <v>#DIV/0!</v>
      </c>
      <c r="AN31" s="1">
        <v>0</v>
      </c>
      <c r="AO31" s="1" t="e">
        <f t="shared" si="16"/>
        <v>#DIV/0!</v>
      </c>
      <c r="AQ31" s="9">
        <f t="shared" si="17"/>
        <v>3.1428571428571428</v>
      </c>
      <c r="AR31" s="10">
        <f t="shared" si="18"/>
        <v>0.24396818518379501</v>
      </c>
      <c r="AS31" s="10">
        <v>3.1429328999999999</v>
      </c>
      <c r="AT31" s="9">
        <f t="shared" si="19"/>
        <v>0.182890835326593</v>
      </c>
      <c r="AV31" s="10" t="e">
        <f t="shared" si="20"/>
        <v>#DIV/0!</v>
      </c>
      <c r="AX31" s="10">
        <f t="shared" si="21"/>
        <v>3.1428571428571428</v>
      </c>
      <c r="AY31" s="10" t="e">
        <f t="shared" si="22"/>
        <v>#DIV/0!</v>
      </c>
      <c r="AZ31" s="10" t="e">
        <f t="shared" si="23"/>
        <v>#DIV/0!</v>
      </c>
      <c r="BA31" s="10">
        <f t="shared" si="24"/>
        <v>3.1743622289999998</v>
      </c>
      <c r="BB31" s="10" t="e">
        <f t="shared" si="25"/>
        <v>#DIV/0!</v>
      </c>
      <c r="BD31" s="10" t="e">
        <f t="shared" si="26"/>
        <v>#DIV/0!</v>
      </c>
    </row>
    <row r="32" spans="2:56" x14ac:dyDescent="0.2">
      <c r="B32" s="13"/>
      <c r="C32" s="12" t="s">
        <v>56</v>
      </c>
      <c r="D32" s="12">
        <v>0.9</v>
      </c>
      <c r="E32" s="12"/>
      <c r="F32" s="12"/>
      <c r="G32" s="12"/>
      <c r="H32" s="12"/>
      <c r="I32" s="12"/>
      <c r="J32" s="12"/>
      <c r="K32" s="12"/>
      <c r="L32" s="12"/>
      <c r="M32" s="12"/>
      <c r="N32" s="24">
        <v>1.01</v>
      </c>
      <c r="P32" s="15"/>
      <c r="Q32" s="15"/>
      <c r="R32" s="15"/>
      <c r="S32" s="15"/>
      <c r="T32" s="16"/>
      <c r="U32" s="15"/>
      <c r="W32" s="1">
        <f t="shared" si="0"/>
        <v>0</v>
      </c>
      <c r="X32" s="1" t="str">
        <f t="shared" si="1"/>
        <v>CO2Captured</v>
      </c>
      <c r="Y32" s="11" t="e">
        <f t="shared" si="2"/>
        <v>#DIV/0!</v>
      </c>
      <c r="Z32" s="11" t="e">
        <f t="shared" si="3"/>
        <v>#DIV/0!</v>
      </c>
      <c r="AA32" s="5" t="e">
        <f t="shared" si="4"/>
        <v>#DIV/0!</v>
      </c>
      <c r="AB32" s="5" t="e">
        <f t="shared" si="5"/>
        <v>#DIV/0!</v>
      </c>
      <c r="AC32" s="1" t="e">
        <f t="shared" si="6"/>
        <v>#DIV/0!</v>
      </c>
      <c r="AD32" s="1" t="e">
        <f t="shared" si="7"/>
        <v>#DIV/0!</v>
      </c>
      <c r="AE32" s="1" t="e">
        <f t="shared" si="8"/>
        <v>#DIV/0!</v>
      </c>
      <c r="AF32" s="1" t="e">
        <f t="shared" si="9"/>
        <v>#DIV/0!</v>
      </c>
      <c r="AG32" s="1" t="e">
        <f t="shared" si="10"/>
        <v>#DIV/0!</v>
      </c>
      <c r="AH32" s="1" t="e">
        <f t="shared" si="11"/>
        <v>#DIV/0!</v>
      </c>
      <c r="AI32" s="1">
        <f t="shared" si="12"/>
        <v>0</v>
      </c>
      <c r="AJ32" s="1" t="e">
        <f t="shared" si="13"/>
        <v>#DIV/0!</v>
      </c>
      <c r="AK32" s="1">
        <v>0</v>
      </c>
      <c r="AL32" s="1" t="e">
        <f t="shared" si="14"/>
        <v>#DIV/0!</v>
      </c>
      <c r="AM32" s="1" t="e">
        <f t="shared" si="15"/>
        <v>#DIV/0!</v>
      </c>
      <c r="AN32" s="1">
        <v>0</v>
      </c>
      <c r="AO32" s="1" t="e">
        <f t="shared" si="16"/>
        <v>#DIV/0!</v>
      </c>
      <c r="AQ32" s="9">
        <f t="shared" si="17"/>
        <v>3.1428571428571428</v>
      </c>
      <c r="AR32" s="10">
        <f t="shared" si="18"/>
        <v>0.24396818518379501</v>
      </c>
      <c r="AS32" s="10">
        <v>3.1429328999999999</v>
      </c>
      <c r="AT32" s="9">
        <f t="shared" si="19"/>
        <v>0.182890835326593</v>
      </c>
      <c r="AV32" s="10" t="e">
        <f t="shared" si="20"/>
        <v>#DIV/0!</v>
      </c>
      <c r="AX32" s="10">
        <f t="shared" si="21"/>
        <v>3.1428571428571428</v>
      </c>
      <c r="AY32" s="10" t="e">
        <f t="shared" si="22"/>
        <v>#DIV/0!</v>
      </c>
      <c r="AZ32" s="10" t="e">
        <f t="shared" si="23"/>
        <v>#DIV/0!</v>
      </c>
      <c r="BA32" s="10">
        <f t="shared" si="24"/>
        <v>3.1743622289999998</v>
      </c>
      <c r="BB32" s="10" t="e">
        <f t="shared" si="25"/>
        <v>#DIV/0!</v>
      </c>
      <c r="BD32" s="10" t="e">
        <f t="shared" si="26"/>
        <v>#DIV/0!</v>
      </c>
    </row>
    <row r="33" spans="2:56" x14ac:dyDescent="0.2">
      <c r="B33" s="13"/>
      <c r="C33" s="12" t="s">
        <v>56</v>
      </c>
      <c r="D33" s="12">
        <v>0.9</v>
      </c>
      <c r="E33" s="12"/>
      <c r="F33" s="12"/>
      <c r="G33" s="12"/>
      <c r="H33" s="12"/>
      <c r="I33" s="12"/>
      <c r="J33" s="12"/>
      <c r="K33" s="12"/>
      <c r="L33" s="12"/>
      <c r="M33" s="12"/>
      <c r="N33" s="24">
        <v>1.01</v>
      </c>
      <c r="P33" s="15"/>
      <c r="Q33" s="15"/>
      <c r="R33" s="15"/>
      <c r="S33" s="15"/>
      <c r="T33" s="16"/>
      <c r="U33" s="15"/>
      <c r="W33" s="1">
        <f t="shared" si="0"/>
        <v>0</v>
      </c>
      <c r="X33" s="1" t="str">
        <f t="shared" si="1"/>
        <v>CO2Captured</v>
      </c>
      <c r="Y33" s="11" t="e">
        <f t="shared" si="2"/>
        <v>#DIV/0!</v>
      </c>
      <c r="Z33" s="11" t="e">
        <f t="shared" si="3"/>
        <v>#DIV/0!</v>
      </c>
      <c r="AA33" s="5" t="e">
        <f t="shared" si="4"/>
        <v>#DIV/0!</v>
      </c>
      <c r="AB33" s="5" t="e">
        <f t="shared" si="5"/>
        <v>#DIV/0!</v>
      </c>
      <c r="AC33" s="1" t="e">
        <f t="shared" si="6"/>
        <v>#DIV/0!</v>
      </c>
      <c r="AD33" s="1" t="e">
        <f t="shared" si="7"/>
        <v>#DIV/0!</v>
      </c>
      <c r="AE33" s="1" t="e">
        <f t="shared" si="8"/>
        <v>#DIV/0!</v>
      </c>
      <c r="AF33" s="1" t="e">
        <f t="shared" si="9"/>
        <v>#DIV/0!</v>
      </c>
      <c r="AG33" s="1" t="e">
        <f t="shared" si="10"/>
        <v>#DIV/0!</v>
      </c>
      <c r="AH33" s="1" t="e">
        <f t="shared" si="11"/>
        <v>#DIV/0!</v>
      </c>
      <c r="AI33" s="1">
        <f t="shared" si="12"/>
        <v>0</v>
      </c>
      <c r="AJ33" s="1" t="e">
        <f t="shared" si="13"/>
        <v>#DIV/0!</v>
      </c>
      <c r="AK33" s="1">
        <v>0</v>
      </c>
      <c r="AL33" s="1" t="e">
        <f t="shared" si="14"/>
        <v>#DIV/0!</v>
      </c>
      <c r="AM33" s="1" t="e">
        <f t="shared" si="15"/>
        <v>#DIV/0!</v>
      </c>
      <c r="AN33" s="1">
        <v>0</v>
      </c>
      <c r="AO33" s="1" t="e">
        <f t="shared" si="16"/>
        <v>#DIV/0!</v>
      </c>
      <c r="AQ33" s="9">
        <f t="shared" si="17"/>
        <v>3.1428571428571428</v>
      </c>
      <c r="AR33" s="10">
        <f t="shared" si="18"/>
        <v>0.24396818518379501</v>
      </c>
      <c r="AS33" s="10">
        <v>3.1429328999999999</v>
      </c>
      <c r="AT33" s="9">
        <f t="shared" si="19"/>
        <v>0.182890835326593</v>
      </c>
      <c r="AV33" s="10" t="e">
        <f t="shared" si="20"/>
        <v>#DIV/0!</v>
      </c>
      <c r="AX33" s="10">
        <f t="shared" si="21"/>
        <v>3.1428571428571428</v>
      </c>
      <c r="AY33" s="10" t="e">
        <f t="shared" si="22"/>
        <v>#DIV/0!</v>
      </c>
      <c r="AZ33" s="10" t="e">
        <f t="shared" si="23"/>
        <v>#DIV/0!</v>
      </c>
      <c r="BA33" s="10">
        <f t="shared" si="24"/>
        <v>3.1743622289999998</v>
      </c>
      <c r="BB33" s="10" t="e">
        <f t="shared" si="25"/>
        <v>#DIV/0!</v>
      </c>
      <c r="BD33" s="10" t="e">
        <f t="shared" si="26"/>
        <v>#DIV/0!</v>
      </c>
    </row>
    <row r="34" spans="2:56" x14ac:dyDescent="0.2">
      <c r="B34" s="13"/>
      <c r="C34" s="12" t="s">
        <v>56</v>
      </c>
      <c r="D34" s="12">
        <v>0.9</v>
      </c>
      <c r="E34" s="12"/>
      <c r="F34" s="12"/>
      <c r="G34" s="12"/>
      <c r="H34" s="12"/>
      <c r="I34" s="12"/>
      <c r="J34" s="12"/>
      <c r="K34" s="12"/>
      <c r="L34" s="12"/>
      <c r="M34" s="12"/>
      <c r="N34" s="24">
        <v>1.01</v>
      </c>
      <c r="P34" s="15"/>
      <c r="Q34" s="15"/>
      <c r="R34" s="15"/>
      <c r="S34" s="15"/>
      <c r="T34" s="16"/>
      <c r="U34" s="15"/>
      <c r="W34" s="1">
        <f t="shared" si="0"/>
        <v>0</v>
      </c>
      <c r="X34" s="1" t="str">
        <f t="shared" si="1"/>
        <v>CO2Captured</v>
      </c>
      <c r="Y34" s="11" t="e">
        <f t="shared" si="2"/>
        <v>#DIV/0!</v>
      </c>
      <c r="Z34" s="11" t="e">
        <f t="shared" si="3"/>
        <v>#DIV/0!</v>
      </c>
      <c r="AA34" s="5" t="e">
        <f t="shared" si="4"/>
        <v>#DIV/0!</v>
      </c>
      <c r="AB34" s="5" t="e">
        <f t="shared" si="5"/>
        <v>#DIV/0!</v>
      </c>
      <c r="AC34" s="1" t="e">
        <f t="shared" si="6"/>
        <v>#DIV/0!</v>
      </c>
      <c r="AD34" s="1" t="e">
        <f t="shared" si="7"/>
        <v>#DIV/0!</v>
      </c>
      <c r="AE34" s="1" t="e">
        <f t="shared" si="8"/>
        <v>#DIV/0!</v>
      </c>
      <c r="AF34" s="1" t="e">
        <f t="shared" si="9"/>
        <v>#DIV/0!</v>
      </c>
      <c r="AG34" s="1" t="e">
        <f t="shared" si="10"/>
        <v>#DIV/0!</v>
      </c>
      <c r="AH34" s="1" t="e">
        <f t="shared" si="11"/>
        <v>#DIV/0!</v>
      </c>
      <c r="AI34" s="1">
        <f t="shared" si="12"/>
        <v>0</v>
      </c>
      <c r="AJ34" s="1" t="e">
        <f t="shared" si="13"/>
        <v>#DIV/0!</v>
      </c>
      <c r="AK34" s="1">
        <v>0</v>
      </c>
      <c r="AL34" s="1" t="e">
        <f t="shared" si="14"/>
        <v>#DIV/0!</v>
      </c>
      <c r="AM34" s="1" t="e">
        <f t="shared" si="15"/>
        <v>#DIV/0!</v>
      </c>
      <c r="AN34" s="1">
        <v>0</v>
      </c>
      <c r="AO34" s="1" t="e">
        <f t="shared" si="16"/>
        <v>#DIV/0!</v>
      </c>
      <c r="AQ34" s="9">
        <f t="shared" si="17"/>
        <v>3.1428571428571428</v>
      </c>
      <c r="AR34" s="10">
        <f t="shared" si="18"/>
        <v>0.24396818518379501</v>
      </c>
      <c r="AS34" s="10">
        <v>3.1429328999999999</v>
      </c>
      <c r="AT34" s="9">
        <f t="shared" si="19"/>
        <v>0.182890835326593</v>
      </c>
      <c r="AV34" s="10" t="e">
        <f t="shared" si="20"/>
        <v>#DIV/0!</v>
      </c>
      <c r="AX34" s="10">
        <f t="shared" si="21"/>
        <v>3.1428571428571428</v>
      </c>
      <c r="AY34" s="10" t="e">
        <f t="shared" si="22"/>
        <v>#DIV/0!</v>
      </c>
      <c r="AZ34" s="10" t="e">
        <f t="shared" si="23"/>
        <v>#DIV/0!</v>
      </c>
      <c r="BA34" s="10">
        <f t="shared" si="24"/>
        <v>3.1743622289999998</v>
      </c>
      <c r="BB34" s="10" t="e">
        <f t="shared" si="25"/>
        <v>#DIV/0!</v>
      </c>
      <c r="BD34" s="10" t="e">
        <f t="shared" si="26"/>
        <v>#DIV/0!</v>
      </c>
    </row>
    <row r="35" spans="2:56" x14ac:dyDescent="0.2">
      <c r="B35" s="13"/>
      <c r="C35" s="12" t="s">
        <v>56</v>
      </c>
      <c r="D35" s="12">
        <v>0.9</v>
      </c>
      <c r="E35" s="12"/>
      <c r="F35" s="12"/>
      <c r="G35" s="12"/>
      <c r="H35" s="12"/>
      <c r="I35" s="12"/>
      <c r="J35" s="12"/>
      <c r="K35" s="12"/>
      <c r="L35" s="12"/>
      <c r="M35" s="12"/>
      <c r="N35" s="24">
        <v>1.01</v>
      </c>
      <c r="P35" s="15"/>
      <c r="Q35" s="15"/>
      <c r="R35" s="15"/>
      <c r="S35" s="15"/>
      <c r="T35" s="16"/>
      <c r="U35" s="15"/>
      <c r="W35" s="1">
        <f t="shared" si="0"/>
        <v>0</v>
      </c>
      <c r="X35" s="1" t="str">
        <f t="shared" si="1"/>
        <v>CO2Captured</v>
      </c>
      <c r="Y35" s="11" t="e">
        <f t="shared" si="2"/>
        <v>#DIV/0!</v>
      </c>
      <c r="Z35" s="11" t="e">
        <f t="shared" si="3"/>
        <v>#DIV/0!</v>
      </c>
      <c r="AA35" s="5" t="e">
        <f t="shared" si="4"/>
        <v>#DIV/0!</v>
      </c>
      <c r="AB35" s="5" t="e">
        <f t="shared" si="5"/>
        <v>#DIV/0!</v>
      </c>
      <c r="AC35" s="1" t="e">
        <f t="shared" si="6"/>
        <v>#DIV/0!</v>
      </c>
      <c r="AD35" s="1" t="e">
        <f t="shared" si="7"/>
        <v>#DIV/0!</v>
      </c>
      <c r="AE35" s="1" t="e">
        <f t="shared" si="8"/>
        <v>#DIV/0!</v>
      </c>
      <c r="AF35" s="1" t="e">
        <f t="shared" si="9"/>
        <v>#DIV/0!</v>
      </c>
      <c r="AG35" s="1" t="e">
        <f t="shared" si="10"/>
        <v>#DIV/0!</v>
      </c>
      <c r="AH35" s="1" t="e">
        <f t="shared" si="11"/>
        <v>#DIV/0!</v>
      </c>
      <c r="AI35" s="1">
        <f t="shared" si="12"/>
        <v>0</v>
      </c>
      <c r="AJ35" s="1" t="e">
        <f t="shared" si="13"/>
        <v>#DIV/0!</v>
      </c>
      <c r="AK35" s="1">
        <v>0</v>
      </c>
      <c r="AL35" s="1" t="e">
        <f t="shared" si="14"/>
        <v>#DIV/0!</v>
      </c>
      <c r="AM35" s="1" t="e">
        <f t="shared" si="15"/>
        <v>#DIV/0!</v>
      </c>
      <c r="AN35" s="1">
        <v>0</v>
      </c>
      <c r="AO35" s="1" t="e">
        <f t="shared" si="16"/>
        <v>#DIV/0!</v>
      </c>
      <c r="AQ35" s="9">
        <f t="shared" si="17"/>
        <v>3.1428571428571428</v>
      </c>
      <c r="AR35" s="10">
        <f t="shared" si="18"/>
        <v>0.24396818518379501</v>
      </c>
      <c r="AS35" s="10">
        <v>3.1429328999999999</v>
      </c>
      <c r="AT35" s="9">
        <f t="shared" si="19"/>
        <v>0.182890835326593</v>
      </c>
      <c r="AV35" s="10" t="e">
        <f t="shared" si="20"/>
        <v>#DIV/0!</v>
      </c>
      <c r="AX35" s="10">
        <f t="shared" si="21"/>
        <v>3.1428571428571428</v>
      </c>
      <c r="AY35" s="10" t="e">
        <f t="shared" si="22"/>
        <v>#DIV/0!</v>
      </c>
      <c r="AZ35" s="10" t="e">
        <f t="shared" si="23"/>
        <v>#DIV/0!</v>
      </c>
      <c r="BA35" s="10">
        <f t="shared" si="24"/>
        <v>3.1743622289999998</v>
      </c>
      <c r="BB35" s="10" t="e">
        <f t="shared" si="25"/>
        <v>#DIV/0!</v>
      </c>
      <c r="BD35" s="10" t="e">
        <f t="shared" si="26"/>
        <v>#DIV/0!</v>
      </c>
    </row>
    <row r="36" spans="2:56" x14ac:dyDescent="0.2">
      <c r="B36" s="13"/>
      <c r="C36" s="12" t="s">
        <v>56</v>
      </c>
      <c r="D36" s="12">
        <v>0.9</v>
      </c>
      <c r="E36" s="12"/>
      <c r="F36" s="12"/>
      <c r="G36" s="12"/>
      <c r="H36" s="12"/>
      <c r="I36" s="12"/>
      <c r="J36" s="12"/>
      <c r="K36" s="12"/>
      <c r="L36" s="12"/>
      <c r="M36" s="12"/>
      <c r="N36" s="24">
        <v>1.01</v>
      </c>
      <c r="P36" s="15"/>
      <c r="Q36" s="15"/>
      <c r="R36" s="15"/>
      <c r="S36" s="15"/>
      <c r="T36" s="16"/>
      <c r="U36" s="15"/>
      <c r="W36" s="1">
        <f t="shared" ref="W36:W66" si="27">B36</f>
        <v>0</v>
      </c>
      <c r="X36" s="1" t="str">
        <f t="shared" ref="X36:X66" si="28">C36</f>
        <v>CO2Captured</v>
      </c>
      <c r="Y36" s="11" t="e">
        <f t="shared" ref="Y36:Y66" si="29">SUM(AB36:AI36)+AK36+AL36</f>
        <v>#DIV/0!</v>
      </c>
      <c r="Z36" s="11" t="e">
        <f t="shared" ref="Z36:Z66" si="30">SUM(AB36:AI36)+AN36+AO36</f>
        <v>#DIV/0!</v>
      </c>
      <c r="AA36" s="5" t="e">
        <f t="shared" ref="AA36:AA67" si="31">Y36-Z36</f>
        <v>#DIV/0!</v>
      </c>
      <c r="AB36" s="5" t="e">
        <f t="shared" ref="AB36:AB66" si="32">E36/G36*S36</f>
        <v>#DIV/0!</v>
      </c>
      <c r="AC36" s="1" t="e">
        <f t="shared" ref="AC36:AC66" si="33">F36/G36*R36</f>
        <v>#DIV/0!</v>
      </c>
      <c r="AD36" s="1" t="e">
        <f t="shared" ref="AD36:AD66" si="34">1/G36*(P36+Q36)</f>
        <v>#DIV/0!</v>
      </c>
      <c r="AE36" s="1" t="e">
        <f t="shared" ref="AE36:AE66" si="35">H36/G36*U36*-1</f>
        <v>#DIV/0!</v>
      </c>
      <c r="AF36" s="1" t="e">
        <f t="shared" ref="AF36:AF66" si="36">I36/G36*T36</f>
        <v>#DIV/0!</v>
      </c>
      <c r="AG36" s="1" t="e">
        <f t="shared" ref="AG36:AG66" si="37">K36/G36/(0.9*8760)</f>
        <v>#DIV/0!</v>
      </c>
      <c r="AH36" s="1" t="e">
        <f t="shared" ref="AH36:AH66" si="38">L36/G36/(0.9*8760)</f>
        <v>#DIV/0!</v>
      </c>
      <c r="AI36" s="1">
        <f t="shared" ref="AI36:AI66" si="39">M36</f>
        <v>0</v>
      </c>
      <c r="AJ36" s="1" t="e">
        <f t="shared" ref="AJ36:AJ66" si="40">AY36+AZ36+BB36</f>
        <v>#DIV/0!</v>
      </c>
      <c r="AK36" s="1">
        <v>0</v>
      </c>
      <c r="AL36" s="1" t="e">
        <f t="shared" ref="AL36:AL66" si="41">AJ36*P36</f>
        <v>#DIV/0!</v>
      </c>
      <c r="AM36" s="1" t="e">
        <f t="shared" ref="AM36:AM66" si="42">AY36+AZ36+BB36</f>
        <v>#DIV/0!</v>
      </c>
      <c r="AN36" s="1">
        <v>0</v>
      </c>
      <c r="AO36" s="1" t="e">
        <f t="shared" ref="AO36:AO66" si="43">AM36*P36</f>
        <v>#DIV/0!</v>
      </c>
      <c r="AQ36" s="9">
        <f t="shared" ref="AQ36:AQ66" si="44">$BG$3</f>
        <v>3.1428571428571428</v>
      </c>
      <c r="AR36" s="10">
        <f t="shared" ref="AR36:AR66" si="45">$BG$4</f>
        <v>0.24396818518379501</v>
      </c>
      <c r="AS36" s="10">
        <v>3.1429328999999999</v>
      </c>
      <c r="AT36" s="9">
        <f t="shared" ref="AT36:AT66" si="46">$BG$5</f>
        <v>0.182890835326593</v>
      </c>
      <c r="AV36" s="10" t="e">
        <f t="shared" ref="AV36:AV66" si="47">1/G36</f>
        <v>#DIV/0!</v>
      </c>
      <c r="AX36" s="10">
        <f t="shared" ref="AX36:AX66" si="48">AQ36</f>
        <v>3.1428571428571428</v>
      </c>
      <c r="AY36" s="10" t="e">
        <f t="shared" ref="AY36:AY66" si="49">AT36*H36/G36</f>
        <v>#DIV/0!</v>
      </c>
      <c r="AZ36" s="10" t="e">
        <f t="shared" ref="AZ36:AZ66" si="50">J36/G36</f>
        <v>#DIV/0!</v>
      </c>
      <c r="BA36" s="10">
        <f t="shared" ref="BA36:BA66" si="51">AS36*N36</f>
        <v>3.1743622289999998</v>
      </c>
      <c r="BB36" s="10" t="e">
        <f t="shared" ref="BB36:BB66" si="52">AR36*I36/G36</f>
        <v>#DIV/0!</v>
      </c>
      <c r="BD36" s="10" t="e">
        <f t="shared" ref="BD36:BD66" si="53">AV36-SUM(AX36:BB36)</f>
        <v>#DIV/0!</v>
      </c>
    </row>
    <row r="37" spans="2:56" x14ac:dyDescent="0.2">
      <c r="B37" s="13"/>
      <c r="C37" s="12" t="s">
        <v>56</v>
      </c>
      <c r="D37" s="12">
        <v>0.9</v>
      </c>
      <c r="E37" s="12"/>
      <c r="F37" s="12"/>
      <c r="G37" s="12"/>
      <c r="H37" s="12"/>
      <c r="I37" s="12"/>
      <c r="J37" s="12"/>
      <c r="K37" s="12"/>
      <c r="L37" s="12"/>
      <c r="M37" s="12"/>
      <c r="N37" s="24">
        <v>1.01</v>
      </c>
      <c r="P37" s="15"/>
      <c r="Q37" s="15"/>
      <c r="R37" s="15"/>
      <c r="S37" s="15"/>
      <c r="T37" s="16"/>
      <c r="U37" s="15"/>
      <c r="W37" s="1">
        <f t="shared" si="27"/>
        <v>0</v>
      </c>
      <c r="X37" s="1" t="str">
        <f t="shared" si="28"/>
        <v>CO2Captured</v>
      </c>
      <c r="Y37" s="11" t="e">
        <f t="shared" si="29"/>
        <v>#DIV/0!</v>
      </c>
      <c r="Z37" s="11" t="e">
        <f t="shared" si="30"/>
        <v>#DIV/0!</v>
      </c>
      <c r="AA37" s="5" t="e">
        <f t="shared" si="31"/>
        <v>#DIV/0!</v>
      </c>
      <c r="AB37" s="5" t="e">
        <f t="shared" si="32"/>
        <v>#DIV/0!</v>
      </c>
      <c r="AC37" s="1" t="e">
        <f t="shared" si="33"/>
        <v>#DIV/0!</v>
      </c>
      <c r="AD37" s="1" t="e">
        <f t="shared" si="34"/>
        <v>#DIV/0!</v>
      </c>
      <c r="AE37" s="1" t="e">
        <f t="shared" si="35"/>
        <v>#DIV/0!</v>
      </c>
      <c r="AF37" s="1" t="e">
        <f t="shared" si="36"/>
        <v>#DIV/0!</v>
      </c>
      <c r="AG37" s="1" t="e">
        <f t="shared" si="37"/>
        <v>#DIV/0!</v>
      </c>
      <c r="AH37" s="1" t="e">
        <f t="shared" si="38"/>
        <v>#DIV/0!</v>
      </c>
      <c r="AI37" s="1">
        <f t="shared" si="39"/>
        <v>0</v>
      </c>
      <c r="AJ37" s="1" t="e">
        <f t="shared" si="40"/>
        <v>#DIV/0!</v>
      </c>
      <c r="AK37" s="1">
        <v>0</v>
      </c>
      <c r="AL37" s="1" t="e">
        <f t="shared" si="41"/>
        <v>#DIV/0!</v>
      </c>
      <c r="AM37" s="1" t="e">
        <f t="shared" si="42"/>
        <v>#DIV/0!</v>
      </c>
      <c r="AN37" s="1">
        <v>0</v>
      </c>
      <c r="AO37" s="1" t="e">
        <f t="shared" si="43"/>
        <v>#DIV/0!</v>
      </c>
      <c r="AQ37" s="9">
        <f t="shared" si="44"/>
        <v>3.1428571428571428</v>
      </c>
      <c r="AR37" s="10">
        <f t="shared" si="45"/>
        <v>0.24396818518379501</v>
      </c>
      <c r="AS37" s="10">
        <v>3.1429328999999999</v>
      </c>
      <c r="AT37" s="9">
        <f t="shared" si="46"/>
        <v>0.182890835326593</v>
      </c>
      <c r="AV37" s="10" t="e">
        <f t="shared" si="47"/>
        <v>#DIV/0!</v>
      </c>
      <c r="AX37" s="10">
        <f t="shared" si="48"/>
        <v>3.1428571428571428</v>
      </c>
      <c r="AY37" s="10" t="e">
        <f t="shared" si="49"/>
        <v>#DIV/0!</v>
      </c>
      <c r="AZ37" s="10" t="e">
        <f t="shared" si="50"/>
        <v>#DIV/0!</v>
      </c>
      <c r="BA37" s="10">
        <f t="shared" si="51"/>
        <v>3.1743622289999998</v>
      </c>
      <c r="BB37" s="10" t="e">
        <f t="shared" si="52"/>
        <v>#DIV/0!</v>
      </c>
      <c r="BD37" s="10" t="e">
        <f t="shared" si="53"/>
        <v>#DIV/0!</v>
      </c>
    </row>
    <row r="38" spans="2:56" x14ac:dyDescent="0.2">
      <c r="B38" s="13"/>
      <c r="C38" s="12" t="s">
        <v>56</v>
      </c>
      <c r="D38" s="12">
        <v>0.9</v>
      </c>
      <c r="E38" s="12"/>
      <c r="F38" s="12"/>
      <c r="G38" s="12"/>
      <c r="H38" s="12"/>
      <c r="I38" s="12"/>
      <c r="J38" s="12"/>
      <c r="K38" s="12"/>
      <c r="L38" s="12"/>
      <c r="M38" s="12"/>
      <c r="N38" s="24">
        <v>1.01</v>
      </c>
      <c r="P38" s="15"/>
      <c r="Q38" s="15"/>
      <c r="R38" s="15"/>
      <c r="S38" s="15"/>
      <c r="T38" s="16"/>
      <c r="U38" s="15"/>
      <c r="W38" s="1">
        <f t="shared" si="27"/>
        <v>0</v>
      </c>
      <c r="X38" s="1" t="str">
        <f t="shared" si="28"/>
        <v>CO2Captured</v>
      </c>
      <c r="Y38" s="11" t="e">
        <f t="shared" si="29"/>
        <v>#DIV/0!</v>
      </c>
      <c r="Z38" s="11" t="e">
        <f t="shared" si="30"/>
        <v>#DIV/0!</v>
      </c>
      <c r="AA38" s="5" t="e">
        <f t="shared" si="31"/>
        <v>#DIV/0!</v>
      </c>
      <c r="AB38" s="5" t="e">
        <f t="shared" si="32"/>
        <v>#DIV/0!</v>
      </c>
      <c r="AC38" s="1" t="e">
        <f t="shared" si="33"/>
        <v>#DIV/0!</v>
      </c>
      <c r="AD38" s="1" t="e">
        <f t="shared" si="34"/>
        <v>#DIV/0!</v>
      </c>
      <c r="AE38" s="1" t="e">
        <f t="shared" si="35"/>
        <v>#DIV/0!</v>
      </c>
      <c r="AF38" s="1" t="e">
        <f t="shared" si="36"/>
        <v>#DIV/0!</v>
      </c>
      <c r="AG38" s="1" t="e">
        <f t="shared" si="37"/>
        <v>#DIV/0!</v>
      </c>
      <c r="AH38" s="1" t="e">
        <f t="shared" si="38"/>
        <v>#DIV/0!</v>
      </c>
      <c r="AI38" s="1">
        <f t="shared" si="39"/>
        <v>0</v>
      </c>
      <c r="AJ38" s="1" t="e">
        <f t="shared" si="40"/>
        <v>#DIV/0!</v>
      </c>
      <c r="AK38" s="1">
        <v>0</v>
      </c>
      <c r="AL38" s="1" t="e">
        <f t="shared" si="41"/>
        <v>#DIV/0!</v>
      </c>
      <c r="AM38" s="1" t="e">
        <f t="shared" si="42"/>
        <v>#DIV/0!</v>
      </c>
      <c r="AN38" s="1">
        <v>0</v>
      </c>
      <c r="AO38" s="1" t="e">
        <f t="shared" si="43"/>
        <v>#DIV/0!</v>
      </c>
      <c r="AQ38" s="9">
        <f t="shared" si="44"/>
        <v>3.1428571428571428</v>
      </c>
      <c r="AR38" s="10">
        <f t="shared" si="45"/>
        <v>0.24396818518379501</v>
      </c>
      <c r="AS38" s="10">
        <v>3.1429328999999999</v>
      </c>
      <c r="AT38" s="9">
        <f t="shared" si="46"/>
        <v>0.182890835326593</v>
      </c>
      <c r="AV38" s="10" t="e">
        <f t="shared" si="47"/>
        <v>#DIV/0!</v>
      </c>
      <c r="AX38" s="10">
        <f t="shared" si="48"/>
        <v>3.1428571428571428</v>
      </c>
      <c r="AY38" s="10" t="e">
        <f t="shared" si="49"/>
        <v>#DIV/0!</v>
      </c>
      <c r="AZ38" s="10" t="e">
        <f t="shared" si="50"/>
        <v>#DIV/0!</v>
      </c>
      <c r="BA38" s="10">
        <f t="shared" si="51"/>
        <v>3.1743622289999998</v>
      </c>
      <c r="BB38" s="10" t="e">
        <f t="shared" si="52"/>
        <v>#DIV/0!</v>
      </c>
      <c r="BD38" s="10" t="e">
        <f t="shared" si="53"/>
        <v>#DIV/0!</v>
      </c>
    </row>
    <row r="39" spans="2:56" x14ac:dyDescent="0.2">
      <c r="B39" s="13"/>
      <c r="C39" s="12" t="s">
        <v>56</v>
      </c>
      <c r="D39" s="12">
        <v>0.9</v>
      </c>
      <c r="E39" s="12"/>
      <c r="F39" s="12"/>
      <c r="G39" s="12"/>
      <c r="H39" s="12"/>
      <c r="I39" s="12"/>
      <c r="J39" s="12"/>
      <c r="K39" s="12"/>
      <c r="L39" s="12"/>
      <c r="M39" s="12"/>
      <c r="N39" s="24">
        <v>1.01</v>
      </c>
      <c r="P39" s="15"/>
      <c r="Q39" s="15"/>
      <c r="R39" s="15"/>
      <c r="S39" s="15"/>
      <c r="T39" s="16"/>
      <c r="U39" s="15"/>
      <c r="W39" s="1">
        <f t="shared" si="27"/>
        <v>0</v>
      </c>
      <c r="X39" s="1" t="str">
        <f t="shared" si="28"/>
        <v>CO2Captured</v>
      </c>
      <c r="Y39" s="11" t="e">
        <f t="shared" si="29"/>
        <v>#DIV/0!</v>
      </c>
      <c r="Z39" s="11" t="e">
        <f t="shared" si="30"/>
        <v>#DIV/0!</v>
      </c>
      <c r="AA39" s="5" t="e">
        <f t="shared" si="31"/>
        <v>#DIV/0!</v>
      </c>
      <c r="AB39" s="5" t="e">
        <f t="shared" si="32"/>
        <v>#DIV/0!</v>
      </c>
      <c r="AC39" s="1" t="e">
        <f t="shared" si="33"/>
        <v>#DIV/0!</v>
      </c>
      <c r="AD39" s="1" t="e">
        <f t="shared" si="34"/>
        <v>#DIV/0!</v>
      </c>
      <c r="AE39" s="1" t="e">
        <f t="shared" si="35"/>
        <v>#DIV/0!</v>
      </c>
      <c r="AF39" s="1" t="e">
        <f t="shared" si="36"/>
        <v>#DIV/0!</v>
      </c>
      <c r="AG39" s="1" t="e">
        <f t="shared" si="37"/>
        <v>#DIV/0!</v>
      </c>
      <c r="AH39" s="1" t="e">
        <f t="shared" si="38"/>
        <v>#DIV/0!</v>
      </c>
      <c r="AI39" s="1">
        <f t="shared" si="39"/>
        <v>0</v>
      </c>
      <c r="AJ39" s="1" t="e">
        <f t="shared" si="40"/>
        <v>#DIV/0!</v>
      </c>
      <c r="AK39" s="1">
        <v>0</v>
      </c>
      <c r="AL39" s="1" t="e">
        <f t="shared" si="41"/>
        <v>#DIV/0!</v>
      </c>
      <c r="AM39" s="1" t="e">
        <f t="shared" si="42"/>
        <v>#DIV/0!</v>
      </c>
      <c r="AN39" s="1">
        <v>0</v>
      </c>
      <c r="AO39" s="1" t="e">
        <f t="shared" si="43"/>
        <v>#DIV/0!</v>
      </c>
      <c r="AQ39" s="9">
        <f t="shared" si="44"/>
        <v>3.1428571428571428</v>
      </c>
      <c r="AR39" s="10">
        <f t="shared" si="45"/>
        <v>0.24396818518379501</v>
      </c>
      <c r="AS39" s="10">
        <v>3.1429328999999999</v>
      </c>
      <c r="AT39" s="9">
        <f t="shared" si="46"/>
        <v>0.182890835326593</v>
      </c>
      <c r="AV39" s="10" t="e">
        <f t="shared" si="47"/>
        <v>#DIV/0!</v>
      </c>
      <c r="AX39" s="10">
        <f t="shared" si="48"/>
        <v>3.1428571428571428</v>
      </c>
      <c r="AY39" s="10" t="e">
        <f t="shared" si="49"/>
        <v>#DIV/0!</v>
      </c>
      <c r="AZ39" s="10" t="e">
        <f t="shared" si="50"/>
        <v>#DIV/0!</v>
      </c>
      <c r="BA39" s="10">
        <f t="shared" si="51"/>
        <v>3.1743622289999998</v>
      </c>
      <c r="BB39" s="10" t="e">
        <f t="shared" si="52"/>
        <v>#DIV/0!</v>
      </c>
      <c r="BD39" s="10" t="e">
        <f t="shared" si="53"/>
        <v>#DIV/0!</v>
      </c>
    </row>
    <row r="40" spans="2:56" x14ac:dyDescent="0.2">
      <c r="B40" s="13"/>
      <c r="C40" s="12" t="s">
        <v>56</v>
      </c>
      <c r="D40" s="12">
        <v>0.9</v>
      </c>
      <c r="E40" s="12"/>
      <c r="F40" s="12"/>
      <c r="G40" s="12"/>
      <c r="H40" s="12"/>
      <c r="I40" s="12"/>
      <c r="J40" s="12"/>
      <c r="K40" s="12"/>
      <c r="L40" s="12"/>
      <c r="M40" s="12"/>
      <c r="N40" s="24">
        <v>1.01</v>
      </c>
      <c r="P40" s="15"/>
      <c r="Q40" s="15"/>
      <c r="R40" s="15"/>
      <c r="S40" s="15"/>
      <c r="T40" s="16"/>
      <c r="U40" s="15"/>
      <c r="W40" s="1">
        <f t="shared" si="27"/>
        <v>0</v>
      </c>
      <c r="X40" s="1" t="str">
        <f t="shared" si="28"/>
        <v>CO2Captured</v>
      </c>
      <c r="Y40" s="11" t="e">
        <f t="shared" si="29"/>
        <v>#DIV/0!</v>
      </c>
      <c r="Z40" s="11" t="e">
        <f t="shared" si="30"/>
        <v>#DIV/0!</v>
      </c>
      <c r="AA40" s="5" t="e">
        <f t="shared" si="31"/>
        <v>#DIV/0!</v>
      </c>
      <c r="AB40" s="5" t="e">
        <f t="shared" si="32"/>
        <v>#DIV/0!</v>
      </c>
      <c r="AC40" s="1" t="e">
        <f t="shared" si="33"/>
        <v>#DIV/0!</v>
      </c>
      <c r="AD40" s="1" t="e">
        <f t="shared" si="34"/>
        <v>#DIV/0!</v>
      </c>
      <c r="AE40" s="1" t="e">
        <f t="shared" si="35"/>
        <v>#DIV/0!</v>
      </c>
      <c r="AF40" s="1" t="e">
        <f t="shared" si="36"/>
        <v>#DIV/0!</v>
      </c>
      <c r="AG40" s="1" t="e">
        <f t="shared" si="37"/>
        <v>#DIV/0!</v>
      </c>
      <c r="AH40" s="1" t="e">
        <f t="shared" si="38"/>
        <v>#DIV/0!</v>
      </c>
      <c r="AI40" s="1">
        <f t="shared" si="39"/>
        <v>0</v>
      </c>
      <c r="AJ40" s="1" t="e">
        <f t="shared" si="40"/>
        <v>#DIV/0!</v>
      </c>
      <c r="AK40" s="1">
        <v>0</v>
      </c>
      <c r="AL40" s="1" t="e">
        <f t="shared" si="41"/>
        <v>#DIV/0!</v>
      </c>
      <c r="AM40" s="1" t="e">
        <f t="shared" si="42"/>
        <v>#DIV/0!</v>
      </c>
      <c r="AN40" s="1">
        <v>0</v>
      </c>
      <c r="AO40" s="1" t="e">
        <f t="shared" si="43"/>
        <v>#DIV/0!</v>
      </c>
      <c r="AQ40" s="9">
        <f t="shared" si="44"/>
        <v>3.1428571428571428</v>
      </c>
      <c r="AR40" s="10">
        <f t="shared" si="45"/>
        <v>0.24396818518379501</v>
      </c>
      <c r="AS40" s="10">
        <v>3.1429328999999999</v>
      </c>
      <c r="AT40" s="9">
        <f t="shared" si="46"/>
        <v>0.182890835326593</v>
      </c>
      <c r="AV40" s="10" t="e">
        <f t="shared" si="47"/>
        <v>#DIV/0!</v>
      </c>
      <c r="AX40" s="10">
        <f t="shared" si="48"/>
        <v>3.1428571428571428</v>
      </c>
      <c r="AY40" s="10" t="e">
        <f t="shared" si="49"/>
        <v>#DIV/0!</v>
      </c>
      <c r="AZ40" s="10" t="e">
        <f t="shared" si="50"/>
        <v>#DIV/0!</v>
      </c>
      <c r="BA40" s="10">
        <f t="shared" si="51"/>
        <v>3.1743622289999998</v>
      </c>
      <c r="BB40" s="10" t="e">
        <f t="shared" si="52"/>
        <v>#DIV/0!</v>
      </c>
      <c r="BD40" s="10" t="e">
        <f t="shared" si="53"/>
        <v>#DIV/0!</v>
      </c>
    </row>
    <row r="41" spans="2:56" x14ac:dyDescent="0.2">
      <c r="B41" s="13"/>
      <c r="C41" s="12" t="s">
        <v>56</v>
      </c>
      <c r="D41" s="12">
        <v>0.9</v>
      </c>
      <c r="E41" s="12"/>
      <c r="F41" s="12"/>
      <c r="G41" s="12"/>
      <c r="H41" s="12"/>
      <c r="I41" s="12"/>
      <c r="J41" s="12"/>
      <c r="K41" s="12"/>
      <c r="L41" s="12"/>
      <c r="M41" s="12"/>
      <c r="N41" s="24">
        <v>1.01</v>
      </c>
      <c r="P41" s="15"/>
      <c r="Q41" s="15"/>
      <c r="R41" s="15"/>
      <c r="S41" s="15"/>
      <c r="T41" s="16"/>
      <c r="U41" s="15"/>
      <c r="W41" s="1">
        <f t="shared" si="27"/>
        <v>0</v>
      </c>
      <c r="X41" s="1" t="str">
        <f t="shared" si="28"/>
        <v>CO2Captured</v>
      </c>
      <c r="Y41" s="11" t="e">
        <f t="shared" si="29"/>
        <v>#DIV/0!</v>
      </c>
      <c r="Z41" s="11" t="e">
        <f t="shared" si="30"/>
        <v>#DIV/0!</v>
      </c>
      <c r="AA41" s="5" t="e">
        <f t="shared" si="31"/>
        <v>#DIV/0!</v>
      </c>
      <c r="AB41" s="5" t="e">
        <f t="shared" si="32"/>
        <v>#DIV/0!</v>
      </c>
      <c r="AC41" s="1" t="e">
        <f t="shared" si="33"/>
        <v>#DIV/0!</v>
      </c>
      <c r="AD41" s="1" t="e">
        <f t="shared" si="34"/>
        <v>#DIV/0!</v>
      </c>
      <c r="AE41" s="1" t="e">
        <f t="shared" si="35"/>
        <v>#DIV/0!</v>
      </c>
      <c r="AF41" s="1" t="e">
        <f t="shared" si="36"/>
        <v>#DIV/0!</v>
      </c>
      <c r="AG41" s="1" t="e">
        <f t="shared" si="37"/>
        <v>#DIV/0!</v>
      </c>
      <c r="AH41" s="1" t="e">
        <f t="shared" si="38"/>
        <v>#DIV/0!</v>
      </c>
      <c r="AI41" s="1">
        <f t="shared" si="39"/>
        <v>0</v>
      </c>
      <c r="AJ41" s="1" t="e">
        <f t="shared" si="40"/>
        <v>#DIV/0!</v>
      </c>
      <c r="AK41" s="1">
        <v>0</v>
      </c>
      <c r="AL41" s="1" t="e">
        <f t="shared" si="41"/>
        <v>#DIV/0!</v>
      </c>
      <c r="AM41" s="1" t="e">
        <f t="shared" si="42"/>
        <v>#DIV/0!</v>
      </c>
      <c r="AN41" s="1">
        <v>0</v>
      </c>
      <c r="AO41" s="1" t="e">
        <f t="shared" si="43"/>
        <v>#DIV/0!</v>
      </c>
      <c r="AQ41" s="9">
        <f t="shared" si="44"/>
        <v>3.1428571428571428</v>
      </c>
      <c r="AR41" s="10">
        <f t="shared" si="45"/>
        <v>0.24396818518379501</v>
      </c>
      <c r="AS41" s="10">
        <v>3.1429328999999999</v>
      </c>
      <c r="AT41" s="9">
        <f t="shared" si="46"/>
        <v>0.182890835326593</v>
      </c>
      <c r="AV41" s="10" t="e">
        <f t="shared" si="47"/>
        <v>#DIV/0!</v>
      </c>
      <c r="AX41" s="10">
        <f t="shared" si="48"/>
        <v>3.1428571428571428</v>
      </c>
      <c r="AY41" s="10" t="e">
        <f t="shared" si="49"/>
        <v>#DIV/0!</v>
      </c>
      <c r="AZ41" s="10" t="e">
        <f t="shared" si="50"/>
        <v>#DIV/0!</v>
      </c>
      <c r="BA41" s="10">
        <f t="shared" si="51"/>
        <v>3.1743622289999998</v>
      </c>
      <c r="BB41" s="10" t="e">
        <f t="shared" si="52"/>
        <v>#DIV/0!</v>
      </c>
      <c r="BD41" s="10" t="e">
        <f t="shared" si="53"/>
        <v>#DIV/0!</v>
      </c>
    </row>
    <row r="42" spans="2:56" x14ac:dyDescent="0.2">
      <c r="B42" s="13"/>
      <c r="C42" s="12" t="s">
        <v>56</v>
      </c>
      <c r="D42" s="12">
        <v>0.9</v>
      </c>
      <c r="E42" s="12"/>
      <c r="F42" s="12"/>
      <c r="G42" s="12"/>
      <c r="H42" s="12"/>
      <c r="I42" s="12"/>
      <c r="J42" s="12"/>
      <c r="K42" s="12"/>
      <c r="L42" s="12"/>
      <c r="M42" s="12"/>
      <c r="N42" s="24">
        <v>1.01</v>
      </c>
      <c r="P42" s="15"/>
      <c r="Q42" s="15"/>
      <c r="R42" s="15"/>
      <c r="S42" s="15"/>
      <c r="T42" s="16"/>
      <c r="U42" s="15"/>
      <c r="W42" s="1">
        <f t="shared" si="27"/>
        <v>0</v>
      </c>
      <c r="X42" s="1" t="str">
        <f t="shared" si="28"/>
        <v>CO2Captured</v>
      </c>
      <c r="Y42" s="11" t="e">
        <f t="shared" si="29"/>
        <v>#DIV/0!</v>
      </c>
      <c r="Z42" s="11" t="e">
        <f t="shared" si="30"/>
        <v>#DIV/0!</v>
      </c>
      <c r="AA42" s="5" t="e">
        <f t="shared" si="31"/>
        <v>#DIV/0!</v>
      </c>
      <c r="AB42" s="5" t="e">
        <f t="shared" si="32"/>
        <v>#DIV/0!</v>
      </c>
      <c r="AC42" s="1" t="e">
        <f t="shared" si="33"/>
        <v>#DIV/0!</v>
      </c>
      <c r="AD42" s="1" t="e">
        <f t="shared" si="34"/>
        <v>#DIV/0!</v>
      </c>
      <c r="AE42" s="1" t="e">
        <f t="shared" si="35"/>
        <v>#DIV/0!</v>
      </c>
      <c r="AF42" s="1" t="e">
        <f t="shared" si="36"/>
        <v>#DIV/0!</v>
      </c>
      <c r="AG42" s="1" t="e">
        <f t="shared" si="37"/>
        <v>#DIV/0!</v>
      </c>
      <c r="AH42" s="1" t="e">
        <f t="shared" si="38"/>
        <v>#DIV/0!</v>
      </c>
      <c r="AI42" s="1">
        <f t="shared" si="39"/>
        <v>0</v>
      </c>
      <c r="AJ42" s="1" t="e">
        <f t="shared" si="40"/>
        <v>#DIV/0!</v>
      </c>
      <c r="AK42" s="1">
        <v>0</v>
      </c>
      <c r="AL42" s="1" t="e">
        <f t="shared" si="41"/>
        <v>#DIV/0!</v>
      </c>
      <c r="AM42" s="1" t="e">
        <f t="shared" si="42"/>
        <v>#DIV/0!</v>
      </c>
      <c r="AN42" s="1">
        <v>0</v>
      </c>
      <c r="AO42" s="1" t="e">
        <f t="shared" si="43"/>
        <v>#DIV/0!</v>
      </c>
      <c r="AQ42" s="9">
        <f t="shared" si="44"/>
        <v>3.1428571428571428</v>
      </c>
      <c r="AR42" s="10">
        <f t="shared" si="45"/>
        <v>0.24396818518379501</v>
      </c>
      <c r="AS42" s="10">
        <v>3.1429328999999999</v>
      </c>
      <c r="AT42" s="9">
        <f t="shared" si="46"/>
        <v>0.182890835326593</v>
      </c>
      <c r="AV42" s="10" t="e">
        <f t="shared" si="47"/>
        <v>#DIV/0!</v>
      </c>
      <c r="AX42" s="10">
        <f t="shared" si="48"/>
        <v>3.1428571428571428</v>
      </c>
      <c r="AY42" s="10" t="e">
        <f t="shared" si="49"/>
        <v>#DIV/0!</v>
      </c>
      <c r="AZ42" s="10" t="e">
        <f t="shared" si="50"/>
        <v>#DIV/0!</v>
      </c>
      <c r="BA42" s="10">
        <f t="shared" si="51"/>
        <v>3.1743622289999998</v>
      </c>
      <c r="BB42" s="10" t="e">
        <f t="shared" si="52"/>
        <v>#DIV/0!</v>
      </c>
      <c r="BD42" s="10" t="e">
        <f t="shared" si="53"/>
        <v>#DIV/0!</v>
      </c>
    </row>
    <row r="43" spans="2:56" x14ac:dyDescent="0.2">
      <c r="B43" s="13"/>
      <c r="C43" s="12" t="s">
        <v>56</v>
      </c>
      <c r="D43" s="12">
        <v>0.9</v>
      </c>
      <c r="E43" s="12"/>
      <c r="F43" s="12"/>
      <c r="G43" s="12"/>
      <c r="H43" s="12"/>
      <c r="I43" s="12"/>
      <c r="J43" s="12"/>
      <c r="K43" s="12"/>
      <c r="L43" s="12"/>
      <c r="M43" s="12"/>
      <c r="N43" s="24">
        <v>1.01</v>
      </c>
      <c r="P43" s="15"/>
      <c r="Q43" s="15"/>
      <c r="R43" s="15"/>
      <c r="S43" s="15"/>
      <c r="T43" s="16"/>
      <c r="U43" s="15"/>
      <c r="W43" s="1">
        <f t="shared" si="27"/>
        <v>0</v>
      </c>
      <c r="X43" s="1" t="str">
        <f t="shared" si="28"/>
        <v>CO2Captured</v>
      </c>
      <c r="Y43" s="11" t="e">
        <f t="shared" si="29"/>
        <v>#DIV/0!</v>
      </c>
      <c r="Z43" s="11" t="e">
        <f t="shared" si="30"/>
        <v>#DIV/0!</v>
      </c>
      <c r="AA43" s="5" t="e">
        <f t="shared" si="31"/>
        <v>#DIV/0!</v>
      </c>
      <c r="AB43" s="5" t="e">
        <f t="shared" si="32"/>
        <v>#DIV/0!</v>
      </c>
      <c r="AC43" s="1" t="e">
        <f t="shared" si="33"/>
        <v>#DIV/0!</v>
      </c>
      <c r="AD43" s="1" t="e">
        <f t="shared" si="34"/>
        <v>#DIV/0!</v>
      </c>
      <c r="AE43" s="1" t="e">
        <f t="shared" si="35"/>
        <v>#DIV/0!</v>
      </c>
      <c r="AF43" s="1" t="e">
        <f t="shared" si="36"/>
        <v>#DIV/0!</v>
      </c>
      <c r="AG43" s="1" t="e">
        <f t="shared" si="37"/>
        <v>#DIV/0!</v>
      </c>
      <c r="AH43" s="1" t="e">
        <f t="shared" si="38"/>
        <v>#DIV/0!</v>
      </c>
      <c r="AI43" s="1">
        <f t="shared" si="39"/>
        <v>0</v>
      </c>
      <c r="AJ43" s="1" t="e">
        <f t="shared" si="40"/>
        <v>#DIV/0!</v>
      </c>
      <c r="AK43" s="1">
        <v>0</v>
      </c>
      <c r="AL43" s="1" t="e">
        <f t="shared" si="41"/>
        <v>#DIV/0!</v>
      </c>
      <c r="AM43" s="1" t="e">
        <f t="shared" si="42"/>
        <v>#DIV/0!</v>
      </c>
      <c r="AN43" s="1">
        <v>0</v>
      </c>
      <c r="AO43" s="1" t="e">
        <f t="shared" si="43"/>
        <v>#DIV/0!</v>
      </c>
      <c r="AQ43" s="9">
        <f t="shared" si="44"/>
        <v>3.1428571428571428</v>
      </c>
      <c r="AR43" s="10">
        <f t="shared" si="45"/>
        <v>0.24396818518379501</v>
      </c>
      <c r="AS43" s="10">
        <v>3.1429328999999999</v>
      </c>
      <c r="AT43" s="9">
        <f t="shared" si="46"/>
        <v>0.182890835326593</v>
      </c>
      <c r="AV43" s="10" t="e">
        <f t="shared" si="47"/>
        <v>#DIV/0!</v>
      </c>
      <c r="AX43" s="10">
        <f t="shared" si="48"/>
        <v>3.1428571428571428</v>
      </c>
      <c r="AY43" s="10" t="e">
        <f t="shared" si="49"/>
        <v>#DIV/0!</v>
      </c>
      <c r="AZ43" s="10" t="e">
        <f t="shared" si="50"/>
        <v>#DIV/0!</v>
      </c>
      <c r="BA43" s="10">
        <f t="shared" si="51"/>
        <v>3.1743622289999998</v>
      </c>
      <c r="BB43" s="10" t="e">
        <f t="shared" si="52"/>
        <v>#DIV/0!</v>
      </c>
      <c r="BD43" s="10" t="e">
        <f t="shared" si="53"/>
        <v>#DIV/0!</v>
      </c>
    </row>
    <row r="44" spans="2:56" x14ac:dyDescent="0.2">
      <c r="B44" s="13"/>
      <c r="C44" s="12" t="s">
        <v>56</v>
      </c>
      <c r="D44" s="12">
        <v>0.9</v>
      </c>
      <c r="E44" s="12"/>
      <c r="F44" s="12"/>
      <c r="G44" s="12"/>
      <c r="H44" s="12"/>
      <c r="I44" s="12"/>
      <c r="J44" s="12"/>
      <c r="K44" s="12"/>
      <c r="L44" s="12"/>
      <c r="M44" s="12"/>
      <c r="N44" s="24">
        <v>1.01</v>
      </c>
      <c r="P44" s="15"/>
      <c r="Q44" s="15"/>
      <c r="R44" s="15"/>
      <c r="S44" s="15"/>
      <c r="T44" s="16"/>
      <c r="U44" s="15"/>
      <c r="W44" s="1">
        <f t="shared" si="27"/>
        <v>0</v>
      </c>
      <c r="X44" s="1" t="str">
        <f t="shared" si="28"/>
        <v>CO2Captured</v>
      </c>
      <c r="Y44" s="11" t="e">
        <f t="shared" si="29"/>
        <v>#DIV/0!</v>
      </c>
      <c r="Z44" s="11" t="e">
        <f t="shared" si="30"/>
        <v>#DIV/0!</v>
      </c>
      <c r="AA44" s="5" t="e">
        <f t="shared" si="31"/>
        <v>#DIV/0!</v>
      </c>
      <c r="AB44" s="5" t="e">
        <f t="shared" si="32"/>
        <v>#DIV/0!</v>
      </c>
      <c r="AC44" s="1" t="e">
        <f t="shared" si="33"/>
        <v>#DIV/0!</v>
      </c>
      <c r="AD44" s="1" t="e">
        <f t="shared" si="34"/>
        <v>#DIV/0!</v>
      </c>
      <c r="AE44" s="1" t="e">
        <f t="shared" si="35"/>
        <v>#DIV/0!</v>
      </c>
      <c r="AF44" s="1" t="e">
        <f t="shared" si="36"/>
        <v>#DIV/0!</v>
      </c>
      <c r="AG44" s="1" t="e">
        <f t="shared" si="37"/>
        <v>#DIV/0!</v>
      </c>
      <c r="AH44" s="1" t="e">
        <f t="shared" si="38"/>
        <v>#DIV/0!</v>
      </c>
      <c r="AI44" s="1">
        <f t="shared" si="39"/>
        <v>0</v>
      </c>
      <c r="AJ44" s="1" t="e">
        <f t="shared" si="40"/>
        <v>#DIV/0!</v>
      </c>
      <c r="AK44" s="1">
        <v>0</v>
      </c>
      <c r="AL44" s="1" t="e">
        <f t="shared" si="41"/>
        <v>#DIV/0!</v>
      </c>
      <c r="AM44" s="1" t="e">
        <f t="shared" si="42"/>
        <v>#DIV/0!</v>
      </c>
      <c r="AN44" s="1">
        <v>0</v>
      </c>
      <c r="AO44" s="1" t="e">
        <f t="shared" si="43"/>
        <v>#DIV/0!</v>
      </c>
      <c r="AQ44" s="9">
        <f t="shared" si="44"/>
        <v>3.1428571428571428</v>
      </c>
      <c r="AR44" s="10">
        <f t="shared" si="45"/>
        <v>0.24396818518379501</v>
      </c>
      <c r="AS44" s="10">
        <v>3.1429328999999999</v>
      </c>
      <c r="AT44" s="9">
        <f t="shared" si="46"/>
        <v>0.182890835326593</v>
      </c>
      <c r="AV44" s="10" t="e">
        <f t="shared" si="47"/>
        <v>#DIV/0!</v>
      </c>
      <c r="AX44" s="10">
        <f t="shared" si="48"/>
        <v>3.1428571428571428</v>
      </c>
      <c r="AY44" s="10" t="e">
        <f t="shared" si="49"/>
        <v>#DIV/0!</v>
      </c>
      <c r="AZ44" s="10" t="e">
        <f t="shared" si="50"/>
        <v>#DIV/0!</v>
      </c>
      <c r="BA44" s="10">
        <f t="shared" si="51"/>
        <v>3.1743622289999998</v>
      </c>
      <c r="BB44" s="10" t="e">
        <f t="shared" si="52"/>
        <v>#DIV/0!</v>
      </c>
      <c r="BD44" s="10" t="e">
        <f t="shared" si="53"/>
        <v>#DIV/0!</v>
      </c>
    </row>
    <row r="45" spans="2:56" x14ac:dyDescent="0.2">
      <c r="B45" s="13"/>
      <c r="C45" s="12" t="s">
        <v>56</v>
      </c>
      <c r="D45" s="12">
        <v>0.9</v>
      </c>
      <c r="E45" s="12"/>
      <c r="F45" s="12"/>
      <c r="G45" s="12"/>
      <c r="H45" s="12"/>
      <c r="I45" s="12"/>
      <c r="J45" s="12"/>
      <c r="K45" s="12"/>
      <c r="L45" s="12"/>
      <c r="M45" s="12"/>
      <c r="N45" s="24">
        <v>1.01</v>
      </c>
      <c r="P45" s="15"/>
      <c r="Q45" s="15"/>
      <c r="R45" s="15"/>
      <c r="S45" s="15"/>
      <c r="T45" s="16"/>
      <c r="U45" s="15"/>
      <c r="W45" s="1">
        <f t="shared" si="27"/>
        <v>0</v>
      </c>
      <c r="X45" s="1" t="str">
        <f t="shared" si="28"/>
        <v>CO2Captured</v>
      </c>
      <c r="Y45" s="11" t="e">
        <f t="shared" si="29"/>
        <v>#DIV/0!</v>
      </c>
      <c r="Z45" s="11" t="e">
        <f t="shared" si="30"/>
        <v>#DIV/0!</v>
      </c>
      <c r="AA45" s="5" t="e">
        <f t="shared" si="31"/>
        <v>#DIV/0!</v>
      </c>
      <c r="AB45" s="5" t="e">
        <f t="shared" si="32"/>
        <v>#DIV/0!</v>
      </c>
      <c r="AC45" s="1" t="e">
        <f t="shared" si="33"/>
        <v>#DIV/0!</v>
      </c>
      <c r="AD45" s="1" t="e">
        <f t="shared" si="34"/>
        <v>#DIV/0!</v>
      </c>
      <c r="AE45" s="1" t="e">
        <f t="shared" si="35"/>
        <v>#DIV/0!</v>
      </c>
      <c r="AF45" s="1" t="e">
        <f t="shared" si="36"/>
        <v>#DIV/0!</v>
      </c>
      <c r="AG45" s="1" t="e">
        <f t="shared" si="37"/>
        <v>#DIV/0!</v>
      </c>
      <c r="AH45" s="1" t="e">
        <f t="shared" si="38"/>
        <v>#DIV/0!</v>
      </c>
      <c r="AI45" s="1">
        <f t="shared" si="39"/>
        <v>0</v>
      </c>
      <c r="AJ45" s="1" t="e">
        <f t="shared" si="40"/>
        <v>#DIV/0!</v>
      </c>
      <c r="AK45" s="1">
        <v>0</v>
      </c>
      <c r="AL45" s="1" t="e">
        <f t="shared" si="41"/>
        <v>#DIV/0!</v>
      </c>
      <c r="AM45" s="1" t="e">
        <f t="shared" si="42"/>
        <v>#DIV/0!</v>
      </c>
      <c r="AN45" s="1">
        <v>0</v>
      </c>
      <c r="AO45" s="1" t="e">
        <f t="shared" si="43"/>
        <v>#DIV/0!</v>
      </c>
      <c r="AQ45" s="9">
        <f t="shared" si="44"/>
        <v>3.1428571428571428</v>
      </c>
      <c r="AR45" s="10">
        <f t="shared" si="45"/>
        <v>0.24396818518379501</v>
      </c>
      <c r="AS45" s="10">
        <v>3.1429328999999999</v>
      </c>
      <c r="AT45" s="9">
        <f t="shared" si="46"/>
        <v>0.182890835326593</v>
      </c>
      <c r="AV45" s="10" t="e">
        <f t="shared" si="47"/>
        <v>#DIV/0!</v>
      </c>
      <c r="AX45" s="10">
        <f t="shared" si="48"/>
        <v>3.1428571428571428</v>
      </c>
      <c r="AY45" s="10" t="e">
        <f t="shared" si="49"/>
        <v>#DIV/0!</v>
      </c>
      <c r="AZ45" s="10" t="e">
        <f t="shared" si="50"/>
        <v>#DIV/0!</v>
      </c>
      <c r="BA45" s="10">
        <f t="shared" si="51"/>
        <v>3.1743622289999998</v>
      </c>
      <c r="BB45" s="10" t="e">
        <f t="shared" si="52"/>
        <v>#DIV/0!</v>
      </c>
      <c r="BD45" s="10" t="e">
        <f t="shared" si="53"/>
        <v>#DIV/0!</v>
      </c>
    </row>
    <row r="46" spans="2:56" x14ac:dyDescent="0.2">
      <c r="B46" s="13"/>
      <c r="C46" s="12" t="s">
        <v>56</v>
      </c>
      <c r="D46" s="12">
        <v>0.9</v>
      </c>
      <c r="E46" s="12"/>
      <c r="F46" s="12"/>
      <c r="G46" s="12"/>
      <c r="H46" s="12"/>
      <c r="I46" s="12"/>
      <c r="J46" s="12"/>
      <c r="K46" s="12"/>
      <c r="L46" s="12"/>
      <c r="M46" s="12"/>
      <c r="N46" s="24">
        <v>1.01</v>
      </c>
      <c r="P46" s="15"/>
      <c r="Q46" s="15"/>
      <c r="R46" s="15"/>
      <c r="S46" s="15"/>
      <c r="T46" s="16"/>
      <c r="U46" s="15"/>
      <c r="W46" s="1">
        <f t="shared" si="27"/>
        <v>0</v>
      </c>
      <c r="X46" s="1" t="str">
        <f t="shared" si="28"/>
        <v>CO2Captured</v>
      </c>
      <c r="Y46" s="11" t="e">
        <f t="shared" si="29"/>
        <v>#DIV/0!</v>
      </c>
      <c r="Z46" s="11" t="e">
        <f t="shared" si="30"/>
        <v>#DIV/0!</v>
      </c>
      <c r="AA46" s="5" t="e">
        <f t="shared" si="31"/>
        <v>#DIV/0!</v>
      </c>
      <c r="AB46" s="5" t="e">
        <f t="shared" si="32"/>
        <v>#DIV/0!</v>
      </c>
      <c r="AC46" s="1" t="e">
        <f t="shared" si="33"/>
        <v>#DIV/0!</v>
      </c>
      <c r="AD46" s="1" t="e">
        <f t="shared" si="34"/>
        <v>#DIV/0!</v>
      </c>
      <c r="AE46" s="1" t="e">
        <f t="shared" si="35"/>
        <v>#DIV/0!</v>
      </c>
      <c r="AF46" s="1" t="e">
        <f t="shared" si="36"/>
        <v>#DIV/0!</v>
      </c>
      <c r="AG46" s="1" t="e">
        <f t="shared" si="37"/>
        <v>#DIV/0!</v>
      </c>
      <c r="AH46" s="1" t="e">
        <f t="shared" si="38"/>
        <v>#DIV/0!</v>
      </c>
      <c r="AI46" s="1">
        <f t="shared" si="39"/>
        <v>0</v>
      </c>
      <c r="AJ46" s="1" t="e">
        <f t="shared" si="40"/>
        <v>#DIV/0!</v>
      </c>
      <c r="AK46" s="1">
        <v>0</v>
      </c>
      <c r="AL46" s="1" t="e">
        <f t="shared" si="41"/>
        <v>#DIV/0!</v>
      </c>
      <c r="AM46" s="1" t="e">
        <f t="shared" si="42"/>
        <v>#DIV/0!</v>
      </c>
      <c r="AN46" s="1">
        <v>0</v>
      </c>
      <c r="AO46" s="1" t="e">
        <f t="shared" si="43"/>
        <v>#DIV/0!</v>
      </c>
      <c r="AQ46" s="9">
        <f t="shared" si="44"/>
        <v>3.1428571428571428</v>
      </c>
      <c r="AR46" s="10">
        <f t="shared" si="45"/>
        <v>0.24396818518379501</v>
      </c>
      <c r="AS46" s="10">
        <v>3.1429328999999999</v>
      </c>
      <c r="AT46" s="9">
        <f t="shared" si="46"/>
        <v>0.182890835326593</v>
      </c>
      <c r="AV46" s="10" t="e">
        <f t="shared" si="47"/>
        <v>#DIV/0!</v>
      </c>
      <c r="AX46" s="10">
        <f t="shared" si="48"/>
        <v>3.1428571428571428</v>
      </c>
      <c r="AY46" s="10" t="e">
        <f t="shared" si="49"/>
        <v>#DIV/0!</v>
      </c>
      <c r="AZ46" s="10" t="e">
        <f t="shared" si="50"/>
        <v>#DIV/0!</v>
      </c>
      <c r="BA46" s="10">
        <f t="shared" si="51"/>
        <v>3.1743622289999998</v>
      </c>
      <c r="BB46" s="10" t="e">
        <f t="shared" si="52"/>
        <v>#DIV/0!</v>
      </c>
      <c r="BD46" s="10" t="e">
        <f t="shared" si="53"/>
        <v>#DIV/0!</v>
      </c>
    </row>
    <row r="47" spans="2:56" x14ac:dyDescent="0.2">
      <c r="B47" s="13"/>
      <c r="C47" s="12" t="s">
        <v>56</v>
      </c>
      <c r="D47" s="12">
        <v>0.9</v>
      </c>
      <c r="E47" s="12"/>
      <c r="F47" s="12"/>
      <c r="G47" s="12"/>
      <c r="H47" s="12"/>
      <c r="I47" s="12"/>
      <c r="J47" s="12"/>
      <c r="K47" s="12"/>
      <c r="L47" s="12"/>
      <c r="M47" s="12"/>
      <c r="N47" s="24">
        <v>1.01</v>
      </c>
      <c r="P47" s="15"/>
      <c r="Q47" s="15"/>
      <c r="R47" s="15"/>
      <c r="S47" s="15"/>
      <c r="T47" s="16"/>
      <c r="U47" s="15"/>
      <c r="W47" s="1">
        <f t="shared" si="27"/>
        <v>0</v>
      </c>
      <c r="X47" s="1" t="str">
        <f t="shared" si="28"/>
        <v>CO2Captured</v>
      </c>
      <c r="Y47" s="11" t="e">
        <f t="shared" si="29"/>
        <v>#DIV/0!</v>
      </c>
      <c r="Z47" s="11" t="e">
        <f t="shared" si="30"/>
        <v>#DIV/0!</v>
      </c>
      <c r="AA47" s="5" t="e">
        <f t="shared" si="31"/>
        <v>#DIV/0!</v>
      </c>
      <c r="AB47" s="5" t="e">
        <f t="shared" si="32"/>
        <v>#DIV/0!</v>
      </c>
      <c r="AC47" s="1" t="e">
        <f t="shared" si="33"/>
        <v>#DIV/0!</v>
      </c>
      <c r="AD47" s="1" t="e">
        <f t="shared" si="34"/>
        <v>#DIV/0!</v>
      </c>
      <c r="AE47" s="1" t="e">
        <f t="shared" si="35"/>
        <v>#DIV/0!</v>
      </c>
      <c r="AF47" s="1" t="e">
        <f t="shared" si="36"/>
        <v>#DIV/0!</v>
      </c>
      <c r="AG47" s="1" t="e">
        <f t="shared" si="37"/>
        <v>#DIV/0!</v>
      </c>
      <c r="AH47" s="1" t="e">
        <f t="shared" si="38"/>
        <v>#DIV/0!</v>
      </c>
      <c r="AI47" s="1">
        <f t="shared" si="39"/>
        <v>0</v>
      </c>
      <c r="AJ47" s="1" t="e">
        <f t="shared" si="40"/>
        <v>#DIV/0!</v>
      </c>
      <c r="AK47" s="1">
        <v>0</v>
      </c>
      <c r="AL47" s="1" t="e">
        <f t="shared" si="41"/>
        <v>#DIV/0!</v>
      </c>
      <c r="AM47" s="1" t="e">
        <f t="shared" si="42"/>
        <v>#DIV/0!</v>
      </c>
      <c r="AN47" s="1">
        <v>0</v>
      </c>
      <c r="AO47" s="1" t="e">
        <f t="shared" si="43"/>
        <v>#DIV/0!</v>
      </c>
      <c r="AQ47" s="9">
        <f t="shared" si="44"/>
        <v>3.1428571428571428</v>
      </c>
      <c r="AR47" s="10">
        <f t="shared" si="45"/>
        <v>0.24396818518379501</v>
      </c>
      <c r="AS47" s="10">
        <v>3.1429328999999999</v>
      </c>
      <c r="AT47" s="9">
        <f t="shared" si="46"/>
        <v>0.182890835326593</v>
      </c>
      <c r="AV47" s="10" t="e">
        <f t="shared" si="47"/>
        <v>#DIV/0!</v>
      </c>
      <c r="AX47" s="10">
        <f t="shared" si="48"/>
        <v>3.1428571428571428</v>
      </c>
      <c r="AY47" s="10" t="e">
        <f t="shared" si="49"/>
        <v>#DIV/0!</v>
      </c>
      <c r="AZ47" s="10" t="e">
        <f t="shared" si="50"/>
        <v>#DIV/0!</v>
      </c>
      <c r="BA47" s="10">
        <f t="shared" si="51"/>
        <v>3.1743622289999998</v>
      </c>
      <c r="BB47" s="10" t="e">
        <f t="shared" si="52"/>
        <v>#DIV/0!</v>
      </c>
      <c r="BD47" s="10" t="e">
        <f t="shared" si="53"/>
        <v>#DIV/0!</v>
      </c>
    </row>
    <row r="48" spans="2:56" x14ac:dyDescent="0.2">
      <c r="B48" s="13"/>
      <c r="C48" s="12" t="s">
        <v>56</v>
      </c>
      <c r="D48" s="12">
        <v>0.9</v>
      </c>
      <c r="E48" s="12"/>
      <c r="F48" s="12"/>
      <c r="G48" s="12"/>
      <c r="H48" s="12"/>
      <c r="I48" s="12"/>
      <c r="J48" s="12"/>
      <c r="K48" s="12"/>
      <c r="L48" s="12"/>
      <c r="M48" s="12"/>
      <c r="N48" s="24">
        <v>1.01</v>
      </c>
      <c r="P48" s="15"/>
      <c r="Q48" s="15"/>
      <c r="R48" s="15"/>
      <c r="S48" s="15"/>
      <c r="T48" s="16"/>
      <c r="U48" s="15"/>
      <c r="W48" s="1">
        <f t="shared" si="27"/>
        <v>0</v>
      </c>
      <c r="X48" s="1" t="str">
        <f t="shared" si="28"/>
        <v>CO2Captured</v>
      </c>
      <c r="Y48" s="11" t="e">
        <f t="shared" si="29"/>
        <v>#DIV/0!</v>
      </c>
      <c r="Z48" s="11" t="e">
        <f t="shared" si="30"/>
        <v>#DIV/0!</v>
      </c>
      <c r="AA48" s="5" t="e">
        <f t="shared" si="31"/>
        <v>#DIV/0!</v>
      </c>
      <c r="AB48" s="5" t="e">
        <f t="shared" si="32"/>
        <v>#DIV/0!</v>
      </c>
      <c r="AC48" s="1" t="e">
        <f t="shared" si="33"/>
        <v>#DIV/0!</v>
      </c>
      <c r="AD48" s="1" t="e">
        <f t="shared" si="34"/>
        <v>#DIV/0!</v>
      </c>
      <c r="AE48" s="1" t="e">
        <f t="shared" si="35"/>
        <v>#DIV/0!</v>
      </c>
      <c r="AF48" s="1" t="e">
        <f t="shared" si="36"/>
        <v>#DIV/0!</v>
      </c>
      <c r="AG48" s="1" t="e">
        <f t="shared" si="37"/>
        <v>#DIV/0!</v>
      </c>
      <c r="AH48" s="1" t="e">
        <f t="shared" si="38"/>
        <v>#DIV/0!</v>
      </c>
      <c r="AI48" s="1">
        <f t="shared" si="39"/>
        <v>0</v>
      </c>
      <c r="AJ48" s="1" t="e">
        <f t="shared" si="40"/>
        <v>#DIV/0!</v>
      </c>
      <c r="AK48" s="1">
        <v>0</v>
      </c>
      <c r="AL48" s="1" t="e">
        <f t="shared" si="41"/>
        <v>#DIV/0!</v>
      </c>
      <c r="AM48" s="1" t="e">
        <f t="shared" si="42"/>
        <v>#DIV/0!</v>
      </c>
      <c r="AN48" s="1">
        <v>0</v>
      </c>
      <c r="AO48" s="1" t="e">
        <f t="shared" si="43"/>
        <v>#DIV/0!</v>
      </c>
      <c r="AQ48" s="9">
        <f t="shared" si="44"/>
        <v>3.1428571428571428</v>
      </c>
      <c r="AR48" s="10">
        <f t="shared" si="45"/>
        <v>0.24396818518379501</v>
      </c>
      <c r="AS48" s="10">
        <v>3.1429328999999999</v>
      </c>
      <c r="AT48" s="9">
        <f t="shared" si="46"/>
        <v>0.182890835326593</v>
      </c>
      <c r="AV48" s="10" t="e">
        <f t="shared" si="47"/>
        <v>#DIV/0!</v>
      </c>
      <c r="AX48" s="10">
        <f t="shared" si="48"/>
        <v>3.1428571428571428</v>
      </c>
      <c r="AY48" s="10" t="e">
        <f t="shared" si="49"/>
        <v>#DIV/0!</v>
      </c>
      <c r="AZ48" s="10" t="e">
        <f t="shared" si="50"/>
        <v>#DIV/0!</v>
      </c>
      <c r="BA48" s="10">
        <f t="shared" si="51"/>
        <v>3.1743622289999998</v>
      </c>
      <c r="BB48" s="10" t="e">
        <f t="shared" si="52"/>
        <v>#DIV/0!</v>
      </c>
      <c r="BD48" s="10" t="e">
        <f t="shared" si="53"/>
        <v>#DIV/0!</v>
      </c>
    </row>
    <row r="49" spans="2:56" x14ac:dyDescent="0.2">
      <c r="B49" s="13"/>
      <c r="C49" s="12" t="s">
        <v>56</v>
      </c>
      <c r="D49" s="12">
        <v>0.9</v>
      </c>
      <c r="E49" s="12"/>
      <c r="F49" s="12"/>
      <c r="G49" s="12"/>
      <c r="H49" s="12"/>
      <c r="I49" s="12"/>
      <c r="J49" s="12"/>
      <c r="K49" s="12"/>
      <c r="L49" s="12"/>
      <c r="M49" s="12"/>
      <c r="N49" s="24">
        <v>1.01</v>
      </c>
      <c r="P49" s="15"/>
      <c r="Q49" s="15"/>
      <c r="R49" s="15"/>
      <c r="S49" s="15"/>
      <c r="T49" s="16"/>
      <c r="U49" s="15"/>
      <c r="W49" s="1">
        <f t="shared" si="27"/>
        <v>0</v>
      </c>
      <c r="X49" s="1" t="str">
        <f t="shared" si="28"/>
        <v>CO2Captured</v>
      </c>
      <c r="Y49" s="11" t="e">
        <f t="shared" si="29"/>
        <v>#DIV/0!</v>
      </c>
      <c r="Z49" s="11" t="e">
        <f t="shared" si="30"/>
        <v>#DIV/0!</v>
      </c>
      <c r="AA49" s="5" t="e">
        <f t="shared" si="31"/>
        <v>#DIV/0!</v>
      </c>
      <c r="AB49" s="5" t="e">
        <f t="shared" si="32"/>
        <v>#DIV/0!</v>
      </c>
      <c r="AC49" s="1" t="e">
        <f t="shared" si="33"/>
        <v>#DIV/0!</v>
      </c>
      <c r="AD49" s="1" t="e">
        <f t="shared" si="34"/>
        <v>#DIV/0!</v>
      </c>
      <c r="AE49" s="1" t="e">
        <f t="shared" si="35"/>
        <v>#DIV/0!</v>
      </c>
      <c r="AF49" s="1" t="e">
        <f t="shared" si="36"/>
        <v>#DIV/0!</v>
      </c>
      <c r="AG49" s="1" t="e">
        <f t="shared" si="37"/>
        <v>#DIV/0!</v>
      </c>
      <c r="AH49" s="1" t="e">
        <f t="shared" si="38"/>
        <v>#DIV/0!</v>
      </c>
      <c r="AI49" s="1">
        <f t="shared" si="39"/>
        <v>0</v>
      </c>
      <c r="AJ49" s="1" t="e">
        <f t="shared" si="40"/>
        <v>#DIV/0!</v>
      </c>
      <c r="AK49" s="1">
        <v>0</v>
      </c>
      <c r="AL49" s="1" t="e">
        <f t="shared" si="41"/>
        <v>#DIV/0!</v>
      </c>
      <c r="AM49" s="1" t="e">
        <f t="shared" si="42"/>
        <v>#DIV/0!</v>
      </c>
      <c r="AN49" s="1">
        <v>0</v>
      </c>
      <c r="AO49" s="1" t="e">
        <f t="shared" si="43"/>
        <v>#DIV/0!</v>
      </c>
      <c r="AQ49" s="9">
        <f t="shared" si="44"/>
        <v>3.1428571428571428</v>
      </c>
      <c r="AR49" s="10">
        <f t="shared" si="45"/>
        <v>0.24396818518379501</v>
      </c>
      <c r="AS49" s="10">
        <v>3.1429328999999999</v>
      </c>
      <c r="AT49" s="9">
        <f t="shared" si="46"/>
        <v>0.182890835326593</v>
      </c>
      <c r="AV49" s="10" t="e">
        <f t="shared" si="47"/>
        <v>#DIV/0!</v>
      </c>
      <c r="AX49" s="10">
        <f t="shared" si="48"/>
        <v>3.1428571428571428</v>
      </c>
      <c r="AY49" s="10" t="e">
        <f t="shared" si="49"/>
        <v>#DIV/0!</v>
      </c>
      <c r="AZ49" s="10" t="e">
        <f t="shared" si="50"/>
        <v>#DIV/0!</v>
      </c>
      <c r="BA49" s="10">
        <f t="shared" si="51"/>
        <v>3.1743622289999998</v>
      </c>
      <c r="BB49" s="10" t="e">
        <f t="shared" si="52"/>
        <v>#DIV/0!</v>
      </c>
      <c r="BD49" s="10" t="e">
        <f t="shared" si="53"/>
        <v>#DIV/0!</v>
      </c>
    </row>
    <row r="50" spans="2:56" x14ac:dyDescent="0.2">
      <c r="B50" s="13"/>
      <c r="C50" s="12" t="s">
        <v>56</v>
      </c>
      <c r="D50" s="12">
        <v>0.9</v>
      </c>
      <c r="E50" s="12"/>
      <c r="F50" s="12"/>
      <c r="G50" s="12"/>
      <c r="H50" s="12"/>
      <c r="I50" s="12"/>
      <c r="J50" s="12"/>
      <c r="K50" s="12"/>
      <c r="L50" s="12"/>
      <c r="M50" s="12"/>
      <c r="N50" s="24">
        <v>1.01</v>
      </c>
      <c r="P50" s="15"/>
      <c r="Q50" s="15"/>
      <c r="R50" s="15"/>
      <c r="S50" s="15"/>
      <c r="T50" s="16"/>
      <c r="U50" s="15"/>
      <c r="W50" s="1">
        <f t="shared" si="27"/>
        <v>0</v>
      </c>
      <c r="X50" s="1" t="str">
        <f t="shared" si="28"/>
        <v>CO2Captured</v>
      </c>
      <c r="Y50" s="11" t="e">
        <f t="shared" si="29"/>
        <v>#DIV/0!</v>
      </c>
      <c r="Z50" s="11" t="e">
        <f t="shared" si="30"/>
        <v>#DIV/0!</v>
      </c>
      <c r="AA50" s="5" t="e">
        <f t="shared" si="31"/>
        <v>#DIV/0!</v>
      </c>
      <c r="AB50" s="5" t="e">
        <f t="shared" si="32"/>
        <v>#DIV/0!</v>
      </c>
      <c r="AC50" s="1" t="e">
        <f t="shared" si="33"/>
        <v>#DIV/0!</v>
      </c>
      <c r="AD50" s="1" t="e">
        <f t="shared" si="34"/>
        <v>#DIV/0!</v>
      </c>
      <c r="AE50" s="1" t="e">
        <f t="shared" si="35"/>
        <v>#DIV/0!</v>
      </c>
      <c r="AF50" s="1" t="e">
        <f t="shared" si="36"/>
        <v>#DIV/0!</v>
      </c>
      <c r="AG50" s="1" t="e">
        <f t="shared" si="37"/>
        <v>#DIV/0!</v>
      </c>
      <c r="AH50" s="1" t="e">
        <f t="shared" si="38"/>
        <v>#DIV/0!</v>
      </c>
      <c r="AI50" s="1">
        <f t="shared" si="39"/>
        <v>0</v>
      </c>
      <c r="AJ50" s="1" t="e">
        <f t="shared" si="40"/>
        <v>#DIV/0!</v>
      </c>
      <c r="AK50" s="1">
        <v>0</v>
      </c>
      <c r="AL50" s="1" t="e">
        <f t="shared" si="41"/>
        <v>#DIV/0!</v>
      </c>
      <c r="AM50" s="1" t="e">
        <f t="shared" si="42"/>
        <v>#DIV/0!</v>
      </c>
      <c r="AN50" s="1">
        <v>0</v>
      </c>
      <c r="AO50" s="1" t="e">
        <f t="shared" si="43"/>
        <v>#DIV/0!</v>
      </c>
      <c r="AQ50" s="9">
        <f t="shared" si="44"/>
        <v>3.1428571428571428</v>
      </c>
      <c r="AR50" s="10">
        <f t="shared" si="45"/>
        <v>0.24396818518379501</v>
      </c>
      <c r="AS50" s="10">
        <v>3.1429328999999999</v>
      </c>
      <c r="AT50" s="9">
        <f t="shared" si="46"/>
        <v>0.182890835326593</v>
      </c>
      <c r="AV50" s="10" t="e">
        <f t="shared" si="47"/>
        <v>#DIV/0!</v>
      </c>
      <c r="AX50" s="10">
        <f t="shared" si="48"/>
        <v>3.1428571428571428</v>
      </c>
      <c r="AY50" s="10" t="e">
        <f t="shared" si="49"/>
        <v>#DIV/0!</v>
      </c>
      <c r="AZ50" s="10" t="e">
        <f t="shared" si="50"/>
        <v>#DIV/0!</v>
      </c>
      <c r="BA50" s="10">
        <f t="shared" si="51"/>
        <v>3.1743622289999998</v>
      </c>
      <c r="BB50" s="10" t="e">
        <f t="shared" si="52"/>
        <v>#DIV/0!</v>
      </c>
      <c r="BD50" s="10" t="e">
        <f t="shared" si="53"/>
        <v>#DIV/0!</v>
      </c>
    </row>
    <row r="51" spans="2:56" x14ac:dyDescent="0.2">
      <c r="B51" s="13"/>
      <c r="C51" s="12" t="s">
        <v>56</v>
      </c>
      <c r="D51" s="12">
        <v>0.9</v>
      </c>
      <c r="E51" s="12"/>
      <c r="F51" s="12"/>
      <c r="G51" s="12"/>
      <c r="H51" s="12"/>
      <c r="I51" s="12"/>
      <c r="J51" s="12"/>
      <c r="K51" s="12"/>
      <c r="L51" s="12"/>
      <c r="M51" s="12"/>
      <c r="N51" s="24">
        <v>1.01</v>
      </c>
      <c r="P51" s="15"/>
      <c r="Q51" s="15"/>
      <c r="R51" s="15"/>
      <c r="S51" s="15"/>
      <c r="T51" s="16"/>
      <c r="U51" s="15"/>
      <c r="W51" s="1">
        <f t="shared" si="27"/>
        <v>0</v>
      </c>
      <c r="X51" s="1" t="str">
        <f t="shared" si="28"/>
        <v>CO2Captured</v>
      </c>
      <c r="Y51" s="11" t="e">
        <f t="shared" si="29"/>
        <v>#DIV/0!</v>
      </c>
      <c r="Z51" s="11" t="e">
        <f t="shared" si="30"/>
        <v>#DIV/0!</v>
      </c>
      <c r="AA51" s="5" t="e">
        <f t="shared" si="31"/>
        <v>#DIV/0!</v>
      </c>
      <c r="AB51" s="5" t="e">
        <f t="shared" si="32"/>
        <v>#DIV/0!</v>
      </c>
      <c r="AC51" s="1" t="e">
        <f t="shared" si="33"/>
        <v>#DIV/0!</v>
      </c>
      <c r="AD51" s="1" t="e">
        <f t="shared" si="34"/>
        <v>#DIV/0!</v>
      </c>
      <c r="AE51" s="1" t="e">
        <f t="shared" si="35"/>
        <v>#DIV/0!</v>
      </c>
      <c r="AF51" s="1" t="e">
        <f t="shared" si="36"/>
        <v>#DIV/0!</v>
      </c>
      <c r="AG51" s="1" t="e">
        <f t="shared" si="37"/>
        <v>#DIV/0!</v>
      </c>
      <c r="AH51" s="1" t="e">
        <f t="shared" si="38"/>
        <v>#DIV/0!</v>
      </c>
      <c r="AI51" s="1">
        <f t="shared" si="39"/>
        <v>0</v>
      </c>
      <c r="AJ51" s="1" t="e">
        <f t="shared" si="40"/>
        <v>#DIV/0!</v>
      </c>
      <c r="AK51" s="1">
        <v>0</v>
      </c>
      <c r="AL51" s="1" t="e">
        <f t="shared" si="41"/>
        <v>#DIV/0!</v>
      </c>
      <c r="AM51" s="1" t="e">
        <f t="shared" si="42"/>
        <v>#DIV/0!</v>
      </c>
      <c r="AN51" s="1">
        <v>0</v>
      </c>
      <c r="AO51" s="1" t="e">
        <f t="shared" si="43"/>
        <v>#DIV/0!</v>
      </c>
      <c r="AQ51" s="9">
        <f t="shared" si="44"/>
        <v>3.1428571428571428</v>
      </c>
      <c r="AR51" s="10">
        <f t="shared" si="45"/>
        <v>0.24396818518379501</v>
      </c>
      <c r="AS51" s="10">
        <v>3.1429328999999999</v>
      </c>
      <c r="AT51" s="9">
        <f t="shared" si="46"/>
        <v>0.182890835326593</v>
      </c>
      <c r="AV51" s="10" t="e">
        <f t="shared" si="47"/>
        <v>#DIV/0!</v>
      </c>
      <c r="AX51" s="10">
        <f t="shared" si="48"/>
        <v>3.1428571428571428</v>
      </c>
      <c r="AY51" s="10" t="e">
        <f t="shared" si="49"/>
        <v>#DIV/0!</v>
      </c>
      <c r="AZ51" s="10" t="e">
        <f t="shared" si="50"/>
        <v>#DIV/0!</v>
      </c>
      <c r="BA51" s="10">
        <f t="shared" si="51"/>
        <v>3.1743622289999998</v>
      </c>
      <c r="BB51" s="10" t="e">
        <f t="shared" si="52"/>
        <v>#DIV/0!</v>
      </c>
      <c r="BD51" s="10" t="e">
        <f t="shared" si="53"/>
        <v>#DIV/0!</v>
      </c>
    </row>
    <row r="52" spans="2:56" x14ac:dyDescent="0.2">
      <c r="B52" s="13"/>
      <c r="C52" s="12" t="s">
        <v>56</v>
      </c>
      <c r="D52" s="12">
        <v>0.9</v>
      </c>
      <c r="E52" s="12"/>
      <c r="F52" s="12"/>
      <c r="G52" s="12"/>
      <c r="H52" s="12"/>
      <c r="I52" s="12"/>
      <c r="J52" s="12"/>
      <c r="K52" s="12"/>
      <c r="L52" s="12"/>
      <c r="M52" s="12"/>
      <c r="N52" s="24">
        <v>1.01</v>
      </c>
      <c r="P52" s="15"/>
      <c r="Q52" s="15"/>
      <c r="R52" s="15"/>
      <c r="S52" s="15"/>
      <c r="T52" s="16"/>
      <c r="U52" s="15"/>
      <c r="W52" s="1">
        <f t="shared" si="27"/>
        <v>0</v>
      </c>
      <c r="X52" s="1" t="str">
        <f t="shared" si="28"/>
        <v>CO2Captured</v>
      </c>
      <c r="Y52" s="11" t="e">
        <f t="shared" si="29"/>
        <v>#DIV/0!</v>
      </c>
      <c r="Z52" s="11" t="e">
        <f t="shared" si="30"/>
        <v>#DIV/0!</v>
      </c>
      <c r="AA52" s="5" t="e">
        <f t="shared" si="31"/>
        <v>#DIV/0!</v>
      </c>
      <c r="AB52" s="5" t="e">
        <f t="shared" si="32"/>
        <v>#DIV/0!</v>
      </c>
      <c r="AC52" s="1" t="e">
        <f t="shared" si="33"/>
        <v>#DIV/0!</v>
      </c>
      <c r="AD52" s="1" t="e">
        <f t="shared" si="34"/>
        <v>#DIV/0!</v>
      </c>
      <c r="AE52" s="1" t="e">
        <f t="shared" si="35"/>
        <v>#DIV/0!</v>
      </c>
      <c r="AF52" s="1" t="e">
        <f t="shared" si="36"/>
        <v>#DIV/0!</v>
      </c>
      <c r="AG52" s="1" t="e">
        <f t="shared" si="37"/>
        <v>#DIV/0!</v>
      </c>
      <c r="AH52" s="1" t="e">
        <f t="shared" si="38"/>
        <v>#DIV/0!</v>
      </c>
      <c r="AI52" s="1">
        <f t="shared" si="39"/>
        <v>0</v>
      </c>
      <c r="AJ52" s="1" t="e">
        <f t="shared" si="40"/>
        <v>#DIV/0!</v>
      </c>
      <c r="AK52" s="1">
        <v>0</v>
      </c>
      <c r="AL52" s="1" t="e">
        <f t="shared" si="41"/>
        <v>#DIV/0!</v>
      </c>
      <c r="AM52" s="1" t="e">
        <f t="shared" si="42"/>
        <v>#DIV/0!</v>
      </c>
      <c r="AN52" s="1">
        <v>0</v>
      </c>
      <c r="AO52" s="1" t="e">
        <f t="shared" si="43"/>
        <v>#DIV/0!</v>
      </c>
      <c r="AQ52" s="9">
        <f t="shared" si="44"/>
        <v>3.1428571428571428</v>
      </c>
      <c r="AR52" s="10">
        <f t="shared" si="45"/>
        <v>0.24396818518379501</v>
      </c>
      <c r="AS52" s="10">
        <v>3.1429328999999999</v>
      </c>
      <c r="AT52" s="9">
        <f t="shared" si="46"/>
        <v>0.182890835326593</v>
      </c>
      <c r="AV52" s="10" t="e">
        <f t="shared" si="47"/>
        <v>#DIV/0!</v>
      </c>
      <c r="AX52" s="10">
        <f t="shared" si="48"/>
        <v>3.1428571428571428</v>
      </c>
      <c r="AY52" s="10" t="e">
        <f t="shared" si="49"/>
        <v>#DIV/0!</v>
      </c>
      <c r="AZ52" s="10" t="e">
        <f t="shared" si="50"/>
        <v>#DIV/0!</v>
      </c>
      <c r="BA52" s="10">
        <f t="shared" si="51"/>
        <v>3.1743622289999998</v>
      </c>
      <c r="BB52" s="10" t="e">
        <f t="shared" si="52"/>
        <v>#DIV/0!</v>
      </c>
      <c r="BD52" s="10" t="e">
        <f t="shared" si="53"/>
        <v>#DIV/0!</v>
      </c>
    </row>
    <row r="53" spans="2:56" x14ac:dyDescent="0.2">
      <c r="B53" s="13"/>
      <c r="C53" s="12" t="s">
        <v>56</v>
      </c>
      <c r="D53" s="12">
        <v>0.9</v>
      </c>
      <c r="E53" s="12"/>
      <c r="F53" s="12"/>
      <c r="G53" s="12"/>
      <c r="H53" s="12"/>
      <c r="I53" s="12"/>
      <c r="J53" s="12"/>
      <c r="K53" s="12"/>
      <c r="L53" s="12"/>
      <c r="M53" s="12"/>
      <c r="N53" s="24">
        <v>1.01</v>
      </c>
      <c r="P53" s="15"/>
      <c r="Q53" s="15"/>
      <c r="R53" s="15"/>
      <c r="S53" s="15"/>
      <c r="T53" s="16"/>
      <c r="U53" s="15"/>
      <c r="W53" s="1">
        <f t="shared" si="27"/>
        <v>0</v>
      </c>
      <c r="X53" s="1" t="str">
        <f t="shared" si="28"/>
        <v>CO2Captured</v>
      </c>
      <c r="Y53" s="11" t="e">
        <f t="shared" si="29"/>
        <v>#DIV/0!</v>
      </c>
      <c r="Z53" s="11" t="e">
        <f t="shared" si="30"/>
        <v>#DIV/0!</v>
      </c>
      <c r="AA53" s="5" t="e">
        <f t="shared" si="31"/>
        <v>#DIV/0!</v>
      </c>
      <c r="AB53" s="5" t="e">
        <f t="shared" si="32"/>
        <v>#DIV/0!</v>
      </c>
      <c r="AC53" s="1" t="e">
        <f t="shared" si="33"/>
        <v>#DIV/0!</v>
      </c>
      <c r="AD53" s="1" t="e">
        <f t="shared" si="34"/>
        <v>#DIV/0!</v>
      </c>
      <c r="AE53" s="1" t="e">
        <f t="shared" si="35"/>
        <v>#DIV/0!</v>
      </c>
      <c r="AF53" s="1" t="e">
        <f t="shared" si="36"/>
        <v>#DIV/0!</v>
      </c>
      <c r="AG53" s="1" t="e">
        <f t="shared" si="37"/>
        <v>#DIV/0!</v>
      </c>
      <c r="AH53" s="1" t="e">
        <f t="shared" si="38"/>
        <v>#DIV/0!</v>
      </c>
      <c r="AI53" s="1">
        <f t="shared" si="39"/>
        <v>0</v>
      </c>
      <c r="AJ53" s="1" t="e">
        <f t="shared" si="40"/>
        <v>#DIV/0!</v>
      </c>
      <c r="AK53" s="1">
        <v>0</v>
      </c>
      <c r="AL53" s="1" t="e">
        <f t="shared" si="41"/>
        <v>#DIV/0!</v>
      </c>
      <c r="AM53" s="1" t="e">
        <f t="shared" si="42"/>
        <v>#DIV/0!</v>
      </c>
      <c r="AN53" s="1">
        <v>0</v>
      </c>
      <c r="AO53" s="1" t="e">
        <f t="shared" si="43"/>
        <v>#DIV/0!</v>
      </c>
      <c r="AQ53" s="9">
        <f t="shared" si="44"/>
        <v>3.1428571428571428</v>
      </c>
      <c r="AR53" s="10">
        <f t="shared" si="45"/>
        <v>0.24396818518379501</v>
      </c>
      <c r="AS53" s="10">
        <v>3.1429328999999999</v>
      </c>
      <c r="AT53" s="9">
        <f t="shared" si="46"/>
        <v>0.182890835326593</v>
      </c>
      <c r="AV53" s="10" t="e">
        <f t="shared" si="47"/>
        <v>#DIV/0!</v>
      </c>
      <c r="AX53" s="10">
        <f t="shared" si="48"/>
        <v>3.1428571428571428</v>
      </c>
      <c r="AY53" s="10" t="e">
        <f t="shared" si="49"/>
        <v>#DIV/0!</v>
      </c>
      <c r="AZ53" s="10" t="e">
        <f t="shared" si="50"/>
        <v>#DIV/0!</v>
      </c>
      <c r="BA53" s="10">
        <f t="shared" si="51"/>
        <v>3.1743622289999998</v>
      </c>
      <c r="BB53" s="10" t="e">
        <f t="shared" si="52"/>
        <v>#DIV/0!</v>
      </c>
      <c r="BD53" s="10" t="e">
        <f t="shared" si="53"/>
        <v>#DIV/0!</v>
      </c>
    </row>
    <row r="54" spans="2:56" x14ac:dyDescent="0.2">
      <c r="B54" s="13"/>
      <c r="C54" s="12" t="s">
        <v>56</v>
      </c>
      <c r="D54" s="12">
        <v>0.9</v>
      </c>
      <c r="E54" s="12"/>
      <c r="F54" s="12"/>
      <c r="G54" s="12"/>
      <c r="H54" s="12"/>
      <c r="I54" s="12"/>
      <c r="J54" s="12"/>
      <c r="K54" s="12"/>
      <c r="L54" s="12"/>
      <c r="M54" s="12"/>
      <c r="N54" s="24">
        <v>1.01</v>
      </c>
      <c r="P54" s="15"/>
      <c r="Q54" s="15"/>
      <c r="R54" s="15"/>
      <c r="S54" s="15"/>
      <c r="T54" s="16"/>
      <c r="U54" s="15"/>
      <c r="W54" s="1">
        <f t="shared" si="27"/>
        <v>0</v>
      </c>
      <c r="X54" s="1" t="str">
        <f t="shared" si="28"/>
        <v>CO2Captured</v>
      </c>
      <c r="Y54" s="11" t="e">
        <f t="shared" si="29"/>
        <v>#DIV/0!</v>
      </c>
      <c r="Z54" s="11" t="e">
        <f t="shared" si="30"/>
        <v>#DIV/0!</v>
      </c>
      <c r="AA54" s="5" t="e">
        <f t="shared" si="31"/>
        <v>#DIV/0!</v>
      </c>
      <c r="AB54" s="5" t="e">
        <f t="shared" si="32"/>
        <v>#DIV/0!</v>
      </c>
      <c r="AC54" s="1" t="e">
        <f t="shared" si="33"/>
        <v>#DIV/0!</v>
      </c>
      <c r="AD54" s="1" t="e">
        <f t="shared" si="34"/>
        <v>#DIV/0!</v>
      </c>
      <c r="AE54" s="1" t="e">
        <f t="shared" si="35"/>
        <v>#DIV/0!</v>
      </c>
      <c r="AF54" s="1" t="e">
        <f t="shared" si="36"/>
        <v>#DIV/0!</v>
      </c>
      <c r="AG54" s="1" t="e">
        <f t="shared" si="37"/>
        <v>#DIV/0!</v>
      </c>
      <c r="AH54" s="1" t="e">
        <f t="shared" si="38"/>
        <v>#DIV/0!</v>
      </c>
      <c r="AI54" s="1">
        <f t="shared" si="39"/>
        <v>0</v>
      </c>
      <c r="AJ54" s="1" t="e">
        <f t="shared" si="40"/>
        <v>#DIV/0!</v>
      </c>
      <c r="AK54" s="1">
        <v>0</v>
      </c>
      <c r="AL54" s="1" t="e">
        <f t="shared" si="41"/>
        <v>#DIV/0!</v>
      </c>
      <c r="AM54" s="1" t="e">
        <f t="shared" si="42"/>
        <v>#DIV/0!</v>
      </c>
      <c r="AN54" s="1">
        <v>0</v>
      </c>
      <c r="AO54" s="1" t="e">
        <f t="shared" si="43"/>
        <v>#DIV/0!</v>
      </c>
      <c r="AQ54" s="9">
        <f t="shared" si="44"/>
        <v>3.1428571428571428</v>
      </c>
      <c r="AR54" s="10">
        <f t="shared" si="45"/>
        <v>0.24396818518379501</v>
      </c>
      <c r="AS54" s="10">
        <v>3.1429328999999999</v>
      </c>
      <c r="AT54" s="9">
        <f t="shared" si="46"/>
        <v>0.182890835326593</v>
      </c>
      <c r="AV54" s="10" t="e">
        <f t="shared" si="47"/>
        <v>#DIV/0!</v>
      </c>
      <c r="AX54" s="10">
        <f t="shared" si="48"/>
        <v>3.1428571428571428</v>
      </c>
      <c r="AY54" s="10" t="e">
        <f t="shared" si="49"/>
        <v>#DIV/0!</v>
      </c>
      <c r="AZ54" s="10" t="e">
        <f t="shared" si="50"/>
        <v>#DIV/0!</v>
      </c>
      <c r="BA54" s="10">
        <f t="shared" si="51"/>
        <v>3.1743622289999998</v>
      </c>
      <c r="BB54" s="10" t="e">
        <f t="shared" si="52"/>
        <v>#DIV/0!</v>
      </c>
      <c r="BD54" s="10" t="e">
        <f t="shared" si="53"/>
        <v>#DIV/0!</v>
      </c>
    </row>
    <row r="55" spans="2:56" x14ac:dyDescent="0.2">
      <c r="B55" s="13"/>
      <c r="C55" s="12" t="s">
        <v>56</v>
      </c>
      <c r="D55" s="12">
        <v>0.9</v>
      </c>
      <c r="E55" s="12"/>
      <c r="F55" s="12"/>
      <c r="G55" s="12"/>
      <c r="H55" s="12"/>
      <c r="I55" s="12"/>
      <c r="J55" s="12"/>
      <c r="K55" s="12"/>
      <c r="L55" s="12"/>
      <c r="M55" s="12"/>
      <c r="N55" s="24">
        <v>1.01</v>
      </c>
      <c r="P55" s="15"/>
      <c r="Q55" s="15"/>
      <c r="R55" s="15"/>
      <c r="S55" s="15"/>
      <c r="T55" s="16"/>
      <c r="U55" s="15"/>
      <c r="W55" s="1">
        <f t="shared" si="27"/>
        <v>0</v>
      </c>
      <c r="X55" s="1" t="str">
        <f t="shared" si="28"/>
        <v>CO2Captured</v>
      </c>
      <c r="Y55" s="11" t="e">
        <f t="shared" si="29"/>
        <v>#DIV/0!</v>
      </c>
      <c r="Z55" s="11" t="e">
        <f t="shared" si="30"/>
        <v>#DIV/0!</v>
      </c>
      <c r="AA55" s="5" t="e">
        <f t="shared" si="31"/>
        <v>#DIV/0!</v>
      </c>
      <c r="AB55" s="5" t="e">
        <f t="shared" si="32"/>
        <v>#DIV/0!</v>
      </c>
      <c r="AC55" s="1" t="e">
        <f t="shared" si="33"/>
        <v>#DIV/0!</v>
      </c>
      <c r="AD55" s="1" t="e">
        <f t="shared" si="34"/>
        <v>#DIV/0!</v>
      </c>
      <c r="AE55" s="1" t="e">
        <f t="shared" si="35"/>
        <v>#DIV/0!</v>
      </c>
      <c r="AF55" s="1" t="e">
        <f t="shared" si="36"/>
        <v>#DIV/0!</v>
      </c>
      <c r="AG55" s="1" t="e">
        <f t="shared" si="37"/>
        <v>#DIV/0!</v>
      </c>
      <c r="AH55" s="1" t="e">
        <f t="shared" si="38"/>
        <v>#DIV/0!</v>
      </c>
      <c r="AI55" s="1">
        <f t="shared" si="39"/>
        <v>0</v>
      </c>
      <c r="AJ55" s="1" t="e">
        <f t="shared" si="40"/>
        <v>#DIV/0!</v>
      </c>
      <c r="AK55" s="1">
        <v>0</v>
      </c>
      <c r="AL55" s="1" t="e">
        <f t="shared" si="41"/>
        <v>#DIV/0!</v>
      </c>
      <c r="AM55" s="1" t="e">
        <f t="shared" si="42"/>
        <v>#DIV/0!</v>
      </c>
      <c r="AN55" s="1">
        <v>0</v>
      </c>
      <c r="AO55" s="1" t="e">
        <f t="shared" si="43"/>
        <v>#DIV/0!</v>
      </c>
      <c r="AQ55" s="9">
        <f t="shared" si="44"/>
        <v>3.1428571428571428</v>
      </c>
      <c r="AR55" s="10">
        <f t="shared" si="45"/>
        <v>0.24396818518379501</v>
      </c>
      <c r="AS55" s="10">
        <v>3.1429328999999999</v>
      </c>
      <c r="AT55" s="9">
        <f t="shared" si="46"/>
        <v>0.182890835326593</v>
      </c>
      <c r="AV55" s="10" t="e">
        <f t="shared" si="47"/>
        <v>#DIV/0!</v>
      </c>
      <c r="AX55" s="10">
        <f t="shared" si="48"/>
        <v>3.1428571428571428</v>
      </c>
      <c r="AY55" s="10" t="e">
        <f t="shared" si="49"/>
        <v>#DIV/0!</v>
      </c>
      <c r="AZ55" s="10" t="e">
        <f t="shared" si="50"/>
        <v>#DIV/0!</v>
      </c>
      <c r="BA55" s="10">
        <f t="shared" si="51"/>
        <v>3.1743622289999998</v>
      </c>
      <c r="BB55" s="10" t="e">
        <f t="shared" si="52"/>
        <v>#DIV/0!</v>
      </c>
      <c r="BD55" s="10" t="e">
        <f t="shared" si="53"/>
        <v>#DIV/0!</v>
      </c>
    </row>
    <row r="56" spans="2:56" x14ac:dyDescent="0.2">
      <c r="B56" s="13"/>
      <c r="C56" s="12" t="s">
        <v>56</v>
      </c>
      <c r="D56" s="12">
        <v>0.9</v>
      </c>
      <c r="E56" s="12"/>
      <c r="F56" s="12"/>
      <c r="G56" s="12"/>
      <c r="H56" s="12"/>
      <c r="I56" s="12"/>
      <c r="J56" s="12"/>
      <c r="K56" s="12"/>
      <c r="L56" s="12"/>
      <c r="M56" s="12"/>
      <c r="N56" s="24">
        <v>1.01</v>
      </c>
      <c r="P56" s="15"/>
      <c r="Q56" s="15"/>
      <c r="R56" s="15"/>
      <c r="S56" s="15"/>
      <c r="T56" s="16"/>
      <c r="U56" s="15"/>
      <c r="W56" s="1">
        <f t="shared" si="27"/>
        <v>0</v>
      </c>
      <c r="X56" s="1" t="str">
        <f t="shared" si="28"/>
        <v>CO2Captured</v>
      </c>
      <c r="Y56" s="11" t="e">
        <f t="shared" si="29"/>
        <v>#DIV/0!</v>
      </c>
      <c r="Z56" s="11" t="e">
        <f t="shared" si="30"/>
        <v>#DIV/0!</v>
      </c>
      <c r="AA56" s="5" t="e">
        <f t="shared" si="31"/>
        <v>#DIV/0!</v>
      </c>
      <c r="AB56" s="5" t="e">
        <f t="shared" si="32"/>
        <v>#DIV/0!</v>
      </c>
      <c r="AC56" s="1" t="e">
        <f t="shared" si="33"/>
        <v>#DIV/0!</v>
      </c>
      <c r="AD56" s="1" t="e">
        <f t="shared" si="34"/>
        <v>#DIV/0!</v>
      </c>
      <c r="AE56" s="1" t="e">
        <f t="shared" si="35"/>
        <v>#DIV/0!</v>
      </c>
      <c r="AF56" s="1" t="e">
        <f t="shared" si="36"/>
        <v>#DIV/0!</v>
      </c>
      <c r="AG56" s="1" t="e">
        <f t="shared" si="37"/>
        <v>#DIV/0!</v>
      </c>
      <c r="AH56" s="1" t="e">
        <f t="shared" si="38"/>
        <v>#DIV/0!</v>
      </c>
      <c r="AI56" s="1">
        <f t="shared" si="39"/>
        <v>0</v>
      </c>
      <c r="AJ56" s="1" t="e">
        <f t="shared" si="40"/>
        <v>#DIV/0!</v>
      </c>
      <c r="AK56" s="1">
        <v>0</v>
      </c>
      <c r="AL56" s="1" t="e">
        <f t="shared" si="41"/>
        <v>#DIV/0!</v>
      </c>
      <c r="AM56" s="1" t="e">
        <f t="shared" si="42"/>
        <v>#DIV/0!</v>
      </c>
      <c r="AN56" s="1">
        <v>0</v>
      </c>
      <c r="AO56" s="1" t="e">
        <f t="shared" si="43"/>
        <v>#DIV/0!</v>
      </c>
      <c r="AQ56" s="9">
        <f t="shared" si="44"/>
        <v>3.1428571428571428</v>
      </c>
      <c r="AR56" s="10">
        <f t="shared" si="45"/>
        <v>0.24396818518379501</v>
      </c>
      <c r="AS56" s="10">
        <v>3.1429328999999999</v>
      </c>
      <c r="AT56" s="9">
        <f t="shared" si="46"/>
        <v>0.182890835326593</v>
      </c>
      <c r="AV56" s="10" t="e">
        <f t="shared" si="47"/>
        <v>#DIV/0!</v>
      </c>
      <c r="AX56" s="10">
        <f t="shared" si="48"/>
        <v>3.1428571428571428</v>
      </c>
      <c r="AY56" s="10" t="e">
        <f t="shared" si="49"/>
        <v>#DIV/0!</v>
      </c>
      <c r="AZ56" s="10" t="e">
        <f t="shared" si="50"/>
        <v>#DIV/0!</v>
      </c>
      <c r="BA56" s="10">
        <f t="shared" si="51"/>
        <v>3.1743622289999998</v>
      </c>
      <c r="BB56" s="10" t="e">
        <f t="shared" si="52"/>
        <v>#DIV/0!</v>
      </c>
      <c r="BD56" s="10" t="e">
        <f t="shared" si="53"/>
        <v>#DIV/0!</v>
      </c>
    </row>
    <row r="57" spans="2:56" x14ac:dyDescent="0.2">
      <c r="B57" s="13"/>
      <c r="C57" s="12" t="s">
        <v>56</v>
      </c>
      <c r="D57" s="12">
        <v>0.9</v>
      </c>
      <c r="E57" s="12"/>
      <c r="F57" s="12"/>
      <c r="G57" s="12"/>
      <c r="H57" s="12"/>
      <c r="I57" s="12"/>
      <c r="J57" s="12"/>
      <c r="K57" s="12"/>
      <c r="L57" s="12"/>
      <c r="M57" s="12"/>
      <c r="N57" s="24">
        <v>1.01</v>
      </c>
      <c r="P57" s="15"/>
      <c r="Q57" s="15"/>
      <c r="R57" s="15"/>
      <c r="S57" s="15"/>
      <c r="T57" s="16"/>
      <c r="U57" s="15"/>
      <c r="W57" s="1">
        <f t="shared" si="27"/>
        <v>0</v>
      </c>
      <c r="X57" s="1" t="str">
        <f t="shared" si="28"/>
        <v>CO2Captured</v>
      </c>
      <c r="Y57" s="11" t="e">
        <f t="shared" si="29"/>
        <v>#DIV/0!</v>
      </c>
      <c r="Z57" s="11" t="e">
        <f t="shared" si="30"/>
        <v>#DIV/0!</v>
      </c>
      <c r="AA57" s="5" t="e">
        <f t="shared" si="31"/>
        <v>#DIV/0!</v>
      </c>
      <c r="AB57" s="5" t="e">
        <f t="shared" si="32"/>
        <v>#DIV/0!</v>
      </c>
      <c r="AC57" s="1" t="e">
        <f t="shared" si="33"/>
        <v>#DIV/0!</v>
      </c>
      <c r="AD57" s="1" t="e">
        <f t="shared" si="34"/>
        <v>#DIV/0!</v>
      </c>
      <c r="AE57" s="1" t="e">
        <f t="shared" si="35"/>
        <v>#DIV/0!</v>
      </c>
      <c r="AF57" s="1" t="e">
        <f t="shared" si="36"/>
        <v>#DIV/0!</v>
      </c>
      <c r="AG57" s="1" t="e">
        <f t="shared" si="37"/>
        <v>#DIV/0!</v>
      </c>
      <c r="AH57" s="1" t="e">
        <f t="shared" si="38"/>
        <v>#DIV/0!</v>
      </c>
      <c r="AI57" s="1">
        <f t="shared" si="39"/>
        <v>0</v>
      </c>
      <c r="AJ57" s="1" t="e">
        <f t="shared" si="40"/>
        <v>#DIV/0!</v>
      </c>
      <c r="AK57" s="1">
        <v>0</v>
      </c>
      <c r="AL57" s="1" t="e">
        <f t="shared" si="41"/>
        <v>#DIV/0!</v>
      </c>
      <c r="AM57" s="1" t="e">
        <f t="shared" si="42"/>
        <v>#DIV/0!</v>
      </c>
      <c r="AN57" s="1">
        <v>0</v>
      </c>
      <c r="AO57" s="1" t="e">
        <f t="shared" si="43"/>
        <v>#DIV/0!</v>
      </c>
      <c r="AQ57" s="9">
        <f t="shared" si="44"/>
        <v>3.1428571428571428</v>
      </c>
      <c r="AR57" s="10">
        <f t="shared" si="45"/>
        <v>0.24396818518379501</v>
      </c>
      <c r="AS57" s="10">
        <v>3.1429328999999999</v>
      </c>
      <c r="AT57" s="9">
        <f t="shared" si="46"/>
        <v>0.182890835326593</v>
      </c>
      <c r="AV57" s="10" t="e">
        <f t="shared" si="47"/>
        <v>#DIV/0!</v>
      </c>
      <c r="AX57" s="10">
        <f t="shared" si="48"/>
        <v>3.1428571428571428</v>
      </c>
      <c r="AY57" s="10" t="e">
        <f t="shared" si="49"/>
        <v>#DIV/0!</v>
      </c>
      <c r="AZ57" s="10" t="e">
        <f t="shared" si="50"/>
        <v>#DIV/0!</v>
      </c>
      <c r="BA57" s="10">
        <f t="shared" si="51"/>
        <v>3.1743622289999998</v>
      </c>
      <c r="BB57" s="10" t="e">
        <f t="shared" si="52"/>
        <v>#DIV/0!</v>
      </c>
      <c r="BD57" s="10" t="e">
        <f t="shared" si="53"/>
        <v>#DIV/0!</v>
      </c>
    </row>
    <row r="58" spans="2:56" x14ac:dyDescent="0.2">
      <c r="B58" s="13"/>
      <c r="C58" s="12" t="s">
        <v>56</v>
      </c>
      <c r="D58" s="12">
        <v>0.9</v>
      </c>
      <c r="E58" s="12"/>
      <c r="F58" s="12"/>
      <c r="G58" s="12"/>
      <c r="H58" s="12"/>
      <c r="I58" s="12"/>
      <c r="J58" s="12"/>
      <c r="K58" s="12"/>
      <c r="L58" s="12"/>
      <c r="M58" s="12"/>
      <c r="N58" s="24">
        <v>1.01</v>
      </c>
      <c r="P58" s="15"/>
      <c r="Q58" s="15"/>
      <c r="R58" s="15"/>
      <c r="S58" s="15"/>
      <c r="T58" s="16"/>
      <c r="U58" s="15"/>
      <c r="W58" s="1">
        <f t="shared" si="27"/>
        <v>0</v>
      </c>
      <c r="X58" s="1" t="str">
        <f t="shared" si="28"/>
        <v>CO2Captured</v>
      </c>
      <c r="Y58" s="11" t="e">
        <f t="shared" si="29"/>
        <v>#DIV/0!</v>
      </c>
      <c r="Z58" s="11" t="e">
        <f t="shared" si="30"/>
        <v>#DIV/0!</v>
      </c>
      <c r="AA58" s="5" t="e">
        <f t="shared" si="31"/>
        <v>#DIV/0!</v>
      </c>
      <c r="AB58" s="5" t="e">
        <f t="shared" si="32"/>
        <v>#DIV/0!</v>
      </c>
      <c r="AC58" s="1" t="e">
        <f t="shared" si="33"/>
        <v>#DIV/0!</v>
      </c>
      <c r="AD58" s="1" t="e">
        <f t="shared" si="34"/>
        <v>#DIV/0!</v>
      </c>
      <c r="AE58" s="1" t="e">
        <f t="shared" si="35"/>
        <v>#DIV/0!</v>
      </c>
      <c r="AF58" s="1" t="e">
        <f t="shared" si="36"/>
        <v>#DIV/0!</v>
      </c>
      <c r="AG58" s="1" t="e">
        <f t="shared" si="37"/>
        <v>#DIV/0!</v>
      </c>
      <c r="AH58" s="1" t="e">
        <f t="shared" si="38"/>
        <v>#DIV/0!</v>
      </c>
      <c r="AI58" s="1">
        <f t="shared" si="39"/>
        <v>0</v>
      </c>
      <c r="AJ58" s="1" t="e">
        <f t="shared" si="40"/>
        <v>#DIV/0!</v>
      </c>
      <c r="AK58" s="1">
        <v>0</v>
      </c>
      <c r="AL58" s="1" t="e">
        <f t="shared" si="41"/>
        <v>#DIV/0!</v>
      </c>
      <c r="AM58" s="1" t="e">
        <f t="shared" si="42"/>
        <v>#DIV/0!</v>
      </c>
      <c r="AN58" s="1">
        <v>0</v>
      </c>
      <c r="AO58" s="1" t="e">
        <f t="shared" si="43"/>
        <v>#DIV/0!</v>
      </c>
      <c r="AQ58" s="9">
        <f t="shared" si="44"/>
        <v>3.1428571428571428</v>
      </c>
      <c r="AR58" s="10">
        <f t="shared" si="45"/>
        <v>0.24396818518379501</v>
      </c>
      <c r="AS58" s="10">
        <v>3.1429328999999999</v>
      </c>
      <c r="AT58" s="9">
        <f t="shared" si="46"/>
        <v>0.182890835326593</v>
      </c>
      <c r="AV58" s="10" t="e">
        <f t="shared" si="47"/>
        <v>#DIV/0!</v>
      </c>
      <c r="AX58" s="10">
        <f t="shared" si="48"/>
        <v>3.1428571428571428</v>
      </c>
      <c r="AY58" s="10" t="e">
        <f t="shared" si="49"/>
        <v>#DIV/0!</v>
      </c>
      <c r="AZ58" s="10" t="e">
        <f t="shared" si="50"/>
        <v>#DIV/0!</v>
      </c>
      <c r="BA58" s="10">
        <f t="shared" si="51"/>
        <v>3.1743622289999998</v>
      </c>
      <c r="BB58" s="10" t="e">
        <f t="shared" si="52"/>
        <v>#DIV/0!</v>
      </c>
      <c r="BD58" s="10" t="e">
        <f t="shared" si="53"/>
        <v>#DIV/0!</v>
      </c>
    </row>
    <row r="59" spans="2:56" x14ac:dyDescent="0.2">
      <c r="B59" s="13"/>
      <c r="C59" s="12" t="s">
        <v>56</v>
      </c>
      <c r="D59" s="12">
        <v>0.9</v>
      </c>
      <c r="E59" s="12"/>
      <c r="F59" s="12"/>
      <c r="G59" s="12"/>
      <c r="H59" s="12"/>
      <c r="I59" s="12"/>
      <c r="J59" s="12"/>
      <c r="K59" s="12"/>
      <c r="L59" s="12"/>
      <c r="M59" s="12"/>
      <c r="N59" s="24">
        <v>1.01</v>
      </c>
      <c r="P59" s="15"/>
      <c r="Q59" s="15"/>
      <c r="R59" s="15"/>
      <c r="S59" s="15"/>
      <c r="T59" s="16"/>
      <c r="U59" s="15"/>
      <c r="W59" s="1">
        <f t="shared" si="27"/>
        <v>0</v>
      </c>
      <c r="X59" s="1" t="str">
        <f t="shared" si="28"/>
        <v>CO2Captured</v>
      </c>
      <c r="Y59" s="11" t="e">
        <f t="shared" si="29"/>
        <v>#DIV/0!</v>
      </c>
      <c r="Z59" s="11" t="e">
        <f t="shared" si="30"/>
        <v>#DIV/0!</v>
      </c>
      <c r="AA59" s="5" t="e">
        <f t="shared" si="31"/>
        <v>#DIV/0!</v>
      </c>
      <c r="AB59" s="5" t="e">
        <f t="shared" si="32"/>
        <v>#DIV/0!</v>
      </c>
      <c r="AC59" s="1" t="e">
        <f t="shared" si="33"/>
        <v>#DIV/0!</v>
      </c>
      <c r="AD59" s="1" t="e">
        <f t="shared" si="34"/>
        <v>#DIV/0!</v>
      </c>
      <c r="AE59" s="1" t="e">
        <f t="shared" si="35"/>
        <v>#DIV/0!</v>
      </c>
      <c r="AF59" s="1" t="e">
        <f t="shared" si="36"/>
        <v>#DIV/0!</v>
      </c>
      <c r="AG59" s="1" t="e">
        <f t="shared" si="37"/>
        <v>#DIV/0!</v>
      </c>
      <c r="AH59" s="1" t="e">
        <f t="shared" si="38"/>
        <v>#DIV/0!</v>
      </c>
      <c r="AI59" s="1">
        <f t="shared" si="39"/>
        <v>0</v>
      </c>
      <c r="AJ59" s="1" t="e">
        <f t="shared" si="40"/>
        <v>#DIV/0!</v>
      </c>
      <c r="AK59" s="1">
        <v>0</v>
      </c>
      <c r="AL59" s="1" t="e">
        <f t="shared" si="41"/>
        <v>#DIV/0!</v>
      </c>
      <c r="AM59" s="1" t="e">
        <f t="shared" si="42"/>
        <v>#DIV/0!</v>
      </c>
      <c r="AN59" s="1">
        <v>0</v>
      </c>
      <c r="AO59" s="1" t="e">
        <f t="shared" si="43"/>
        <v>#DIV/0!</v>
      </c>
      <c r="AQ59" s="9">
        <f t="shared" si="44"/>
        <v>3.1428571428571428</v>
      </c>
      <c r="AR59" s="10">
        <f t="shared" si="45"/>
        <v>0.24396818518379501</v>
      </c>
      <c r="AS59" s="10">
        <v>3.1429328999999999</v>
      </c>
      <c r="AT59" s="9">
        <f t="shared" si="46"/>
        <v>0.182890835326593</v>
      </c>
      <c r="AV59" s="10" t="e">
        <f t="shared" si="47"/>
        <v>#DIV/0!</v>
      </c>
      <c r="AX59" s="10">
        <f t="shared" si="48"/>
        <v>3.1428571428571428</v>
      </c>
      <c r="AY59" s="10" t="e">
        <f t="shared" si="49"/>
        <v>#DIV/0!</v>
      </c>
      <c r="AZ59" s="10" t="e">
        <f t="shared" si="50"/>
        <v>#DIV/0!</v>
      </c>
      <c r="BA59" s="10">
        <f t="shared" si="51"/>
        <v>3.1743622289999998</v>
      </c>
      <c r="BB59" s="10" t="e">
        <f t="shared" si="52"/>
        <v>#DIV/0!</v>
      </c>
      <c r="BD59" s="10" t="e">
        <f t="shared" si="53"/>
        <v>#DIV/0!</v>
      </c>
    </row>
    <row r="60" spans="2:56" x14ac:dyDescent="0.2">
      <c r="B60" s="13"/>
      <c r="C60" s="12" t="s">
        <v>56</v>
      </c>
      <c r="D60" s="12">
        <v>0.9</v>
      </c>
      <c r="E60" s="12"/>
      <c r="F60" s="12"/>
      <c r="G60" s="12"/>
      <c r="H60" s="12"/>
      <c r="I60" s="12"/>
      <c r="J60" s="12"/>
      <c r="K60" s="12"/>
      <c r="L60" s="12"/>
      <c r="M60" s="12"/>
      <c r="N60" s="24">
        <v>1.01</v>
      </c>
      <c r="P60" s="15"/>
      <c r="Q60" s="15"/>
      <c r="R60" s="15"/>
      <c r="S60" s="15"/>
      <c r="T60" s="16"/>
      <c r="U60" s="15"/>
      <c r="W60" s="1">
        <f t="shared" si="27"/>
        <v>0</v>
      </c>
      <c r="X60" s="1" t="str">
        <f t="shared" si="28"/>
        <v>CO2Captured</v>
      </c>
      <c r="Y60" s="11" t="e">
        <f t="shared" si="29"/>
        <v>#DIV/0!</v>
      </c>
      <c r="Z60" s="11" t="e">
        <f t="shared" si="30"/>
        <v>#DIV/0!</v>
      </c>
      <c r="AA60" s="5" t="e">
        <f t="shared" si="31"/>
        <v>#DIV/0!</v>
      </c>
      <c r="AB60" s="5" t="e">
        <f t="shared" si="32"/>
        <v>#DIV/0!</v>
      </c>
      <c r="AC60" s="1" t="e">
        <f t="shared" si="33"/>
        <v>#DIV/0!</v>
      </c>
      <c r="AD60" s="1" t="e">
        <f t="shared" si="34"/>
        <v>#DIV/0!</v>
      </c>
      <c r="AE60" s="1" t="e">
        <f t="shared" si="35"/>
        <v>#DIV/0!</v>
      </c>
      <c r="AF60" s="1" t="e">
        <f t="shared" si="36"/>
        <v>#DIV/0!</v>
      </c>
      <c r="AG60" s="1" t="e">
        <f t="shared" si="37"/>
        <v>#DIV/0!</v>
      </c>
      <c r="AH60" s="1" t="e">
        <f t="shared" si="38"/>
        <v>#DIV/0!</v>
      </c>
      <c r="AI60" s="1">
        <f t="shared" si="39"/>
        <v>0</v>
      </c>
      <c r="AJ60" s="1" t="e">
        <f t="shared" si="40"/>
        <v>#DIV/0!</v>
      </c>
      <c r="AK60" s="1">
        <v>0</v>
      </c>
      <c r="AL60" s="1" t="e">
        <f t="shared" si="41"/>
        <v>#DIV/0!</v>
      </c>
      <c r="AM60" s="1" t="e">
        <f t="shared" si="42"/>
        <v>#DIV/0!</v>
      </c>
      <c r="AN60" s="1">
        <v>0</v>
      </c>
      <c r="AO60" s="1" t="e">
        <f t="shared" si="43"/>
        <v>#DIV/0!</v>
      </c>
      <c r="AQ60" s="9">
        <f t="shared" si="44"/>
        <v>3.1428571428571428</v>
      </c>
      <c r="AR60" s="10">
        <f t="shared" si="45"/>
        <v>0.24396818518379501</v>
      </c>
      <c r="AS60" s="10">
        <v>3.1429328999999999</v>
      </c>
      <c r="AT60" s="9">
        <f t="shared" si="46"/>
        <v>0.182890835326593</v>
      </c>
      <c r="AV60" s="10" t="e">
        <f t="shared" si="47"/>
        <v>#DIV/0!</v>
      </c>
      <c r="AX60" s="10">
        <f t="shared" si="48"/>
        <v>3.1428571428571428</v>
      </c>
      <c r="AY60" s="10" t="e">
        <f t="shared" si="49"/>
        <v>#DIV/0!</v>
      </c>
      <c r="AZ60" s="10" t="e">
        <f t="shared" si="50"/>
        <v>#DIV/0!</v>
      </c>
      <c r="BA60" s="10">
        <f t="shared" si="51"/>
        <v>3.1743622289999998</v>
      </c>
      <c r="BB60" s="10" t="e">
        <f t="shared" si="52"/>
        <v>#DIV/0!</v>
      </c>
      <c r="BD60" s="10" t="e">
        <f t="shared" si="53"/>
        <v>#DIV/0!</v>
      </c>
    </row>
    <row r="61" spans="2:56" x14ac:dyDescent="0.2">
      <c r="B61" s="13"/>
      <c r="C61" s="12" t="s">
        <v>56</v>
      </c>
      <c r="D61" s="12">
        <v>0.9</v>
      </c>
      <c r="E61" s="12"/>
      <c r="F61" s="12"/>
      <c r="G61" s="12"/>
      <c r="H61" s="12"/>
      <c r="I61" s="12"/>
      <c r="J61" s="12"/>
      <c r="K61" s="12"/>
      <c r="L61" s="12"/>
      <c r="M61" s="12"/>
      <c r="N61" s="24">
        <v>1.01</v>
      </c>
      <c r="P61" s="15"/>
      <c r="Q61" s="15"/>
      <c r="R61" s="15"/>
      <c r="S61" s="15"/>
      <c r="T61" s="16"/>
      <c r="U61" s="15"/>
      <c r="W61" s="1">
        <f t="shared" si="27"/>
        <v>0</v>
      </c>
      <c r="X61" s="1" t="str">
        <f t="shared" si="28"/>
        <v>CO2Captured</v>
      </c>
      <c r="Y61" s="11" t="e">
        <f t="shared" si="29"/>
        <v>#DIV/0!</v>
      </c>
      <c r="Z61" s="11" t="e">
        <f t="shared" si="30"/>
        <v>#DIV/0!</v>
      </c>
      <c r="AA61" s="5" t="e">
        <f t="shared" si="31"/>
        <v>#DIV/0!</v>
      </c>
      <c r="AB61" s="5" t="e">
        <f t="shared" si="32"/>
        <v>#DIV/0!</v>
      </c>
      <c r="AC61" s="1" t="e">
        <f t="shared" si="33"/>
        <v>#DIV/0!</v>
      </c>
      <c r="AD61" s="1" t="e">
        <f t="shared" si="34"/>
        <v>#DIV/0!</v>
      </c>
      <c r="AE61" s="1" t="e">
        <f t="shared" si="35"/>
        <v>#DIV/0!</v>
      </c>
      <c r="AF61" s="1" t="e">
        <f t="shared" si="36"/>
        <v>#DIV/0!</v>
      </c>
      <c r="AG61" s="1" t="e">
        <f t="shared" si="37"/>
        <v>#DIV/0!</v>
      </c>
      <c r="AH61" s="1" t="e">
        <f t="shared" si="38"/>
        <v>#DIV/0!</v>
      </c>
      <c r="AI61" s="1">
        <f t="shared" si="39"/>
        <v>0</v>
      </c>
      <c r="AJ61" s="1" t="e">
        <f t="shared" si="40"/>
        <v>#DIV/0!</v>
      </c>
      <c r="AK61" s="1">
        <v>0</v>
      </c>
      <c r="AL61" s="1" t="e">
        <f t="shared" si="41"/>
        <v>#DIV/0!</v>
      </c>
      <c r="AM61" s="1" t="e">
        <f t="shared" si="42"/>
        <v>#DIV/0!</v>
      </c>
      <c r="AN61" s="1">
        <v>0</v>
      </c>
      <c r="AO61" s="1" t="e">
        <f t="shared" si="43"/>
        <v>#DIV/0!</v>
      </c>
      <c r="AQ61" s="9">
        <f t="shared" si="44"/>
        <v>3.1428571428571428</v>
      </c>
      <c r="AR61" s="10">
        <f t="shared" si="45"/>
        <v>0.24396818518379501</v>
      </c>
      <c r="AS61" s="10">
        <v>3.1429328999999999</v>
      </c>
      <c r="AT61" s="9">
        <f t="shared" si="46"/>
        <v>0.182890835326593</v>
      </c>
      <c r="AV61" s="10" t="e">
        <f t="shared" si="47"/>
        <v>#DIV/0!</v>
      </c>
      <c r="AX61" s="10">
        <f t="shared" si="48"/>
        <v>3.1428571428571428</v>
      </c>
      <c r="AY61" s="10" t="e">
        <f t="shared" si="49"/>
        <v>#DIV/0!</v>
      </c>
      <c r="AZ61" s="10" t="e">
        <f t="shared" si="50"/>
        <v>#DIV/0!</v>
      </c>
      <c r="BA61" s="10">
        <f t="shared" si="51"/>
        <v>3.1743622289999998</v>
      </c>
      <c r="BB61" s="10" t="e">
        <f t="shared" si="52"/>
        <v>#DIV/0!</v>
      </c>
      <c r="BD61" s="10" t="e">
        <f t="shared" si="53"/>
        <v>#DIV/0!</v>
      </c>
    </row>
    <row r="62" spans="2:56" x14ac:dyDescent="0.2">
      <c r="B62" s="13"/>
      <c r="C62" s="12" t="s">
        <v>56</v>
      </c>
      <c r="D62" s="12">
        <v>0.9</v>
      </c>
      <c r="E62" s="12"/>
      <c r="F62" s="12"/>
      <c r="G62" s="12"/>
      <c r="H62" s="12"/>
      <c r="I62" s="12"/>
      <c r="J62" s="12"/>
      <c r="K62" s="12"/>
      <c r="L62" s="12"/>
      <c r="M62" s="12"/>
      <c r="N62" s="24">
        <v>1.01</v>
      </c>
      <c r="P62" s="15"/>
      <c r="Q62" s="15"/>
      <c r="R62" s="15"/>
      <c r="S62" s="15"/>
      <c r="T62" s="16"/>
      <c r="U62" s="15"/>
      <c r="W62" s="1">
        <f t="shared" si="27"/>
        <v>0</v>
      </c>
      <c r="X62" s="1" t="str">
        <f t="shared" si="28"/>
        <v>CO2Captured</v>
      </c>
      <c r="Y62" s="11" t="e">
        <f t="shared" si="29"/>
        <v>#DIV/0!</v>
      </c>
      <c r="Z62" s="11" t="e">
        <f t="shared" si="30"/>
        <v>#DIV/0!</v>
      </c>
      <c r="AA62" s="5" t="e">
        <f t="shared" si="31"/>
        <v>#DIV/0!</v>
      </c>
      <c r="AB62" s="5" t="e">
        <f t="shared" si="32"/>
        <v>#DIV/0!</v>
      </c>
      <c r="AC62" s="1" t="e">
        <f t="shared" si="33"/>
        <v>#DIV/0!</v>
      </c>
      <c r="AD62" s="1" t="e">
        <f t="shared" si="34"/>
        <v>#DIV/0!</v>
      </c>
      <c r="AE62" s="1" t="e">
        <f t="shared" si="35"/>
        <v>#DIV/0!</v>
      </c>
      <c r="AF62" s="1" t="e">
        <f t="shared" si="36"/>
        <v>#DIV/0!</v>
      </c>
      <c r="AG62" s="1" t="e">
        <f t="shared" si="37"/>
        <v>#DIV/0!</v>
      </c>
      <c r="AH62" s="1" t="e">
        <f t="shared" si="38"/>
        <v>#DIV/0!</v>
      </c>
      <c r="AI62" s="1">
        <f t="shared" si="39"/>
        <v>0</v>
      </c>
      <c r="AJ62" s="1" t="e">
        <f t="shared" si="40"/>
        <v>#DIV/0!</v>
      </c>
      <c r="AK62" s="1">
        <v>0</v>
      </c>
      <c r="AL62" s="1" t="e">
        <f t="shared" si="41"/>
        <v>#DIV/0!</v>
      </c>
      <c r="AM62" s="1" t="e">
        <f t="shared" si="42"/>
        <v>#DIV/0!</v>
      </c>
      <c r="AN62" s="1">
        <v>0</v>
      </c>
      <c r="AO62" s="1" t="e">
        <f t="shared" si="43"/>
        <v>#DIV/0!</v>
      </c>
      <c r="AQ62" s="9">
        <f t="shared" si="44"/>
        <v>3.1428571428571428</v>
      </c>
      <c r="AR62" s="10">
        <f t="shared" si="45"/>
        <v>0.24396818518379501</v>
      </c>
      <c r="AS62" s="10">
        <v>3.1429328999999999</v>
      </c>
      <c r="AT62" s="9">
        <f t="shared" si="46"/>
        <v>0.182890835326593</v>
      </c>
      <c r="AV62" s="10" t="e">
        <f t="shared" si="47"/>
        <v>#DIV/0!</v>
      </c>
      <c r="AX62" s="10">
        <f t="shared" si="48"/>
        <v>3.1428571428571428</v>
      </c>
      <c r="AY62" s="10" t="e">
        <f t="shared" si="49"/>
        <v>#DIV/0!</v>
      </c>
      <c r="AZ62" s="10" t="e">
        <f t="shared" si="50"/>
        <v>#DIV/0!</v>
      </c>
      <c r="BA62" s="10">
        <f t="shared" si="51"/>
        <v>3.1743622289999998</v>
      </c>
      <c r="BB62" s="10" t="e">
        <f t="shared" si="52"/>
        <v>#DIV/0!</v>
      </c>
      <c r="BD62" s="10" t="e">
        <f t="shared" si="53"/>
        <v>#DIV/0!</v>
      </c>
    </row>
    <row r="63" spans="2:56" x14ac:dyDescent="0.2">
      <c r="B63" s="13"/>
      <c r="C63" s="12" t="s">
        <v>56</v>
      </c>
      <c r="D63" s="12">
        <v>0.9</v>
      </c>
      <c r="E63" s="12"/>
      <c r="F63" s="12"/>
      <c r="G63" s="12"/>
      <c r="H63" s="12"/>
      <c r="I63" s="12"/>
      <c r="J63" s="12"/>
      <c r="K63" s="12"/>
      <c r="L63" s="12"/>
      <c r="M63" s="12"/>
      <c r="N63" s="24">
        <v>1.01</v>
      </c>
      <c r="P63" s="15"/>
      <c r="Q63" s="15"/>
      <c r="R63" s="15"/>
      <c r="S63" s="15"/>
      <c r="T63" s="16"/>
      <c r="U63" s="15"/>
      <c r="W63" s="1">
        <f t="shared" si="27"/>
        <v>0</v>
      </c>
      <c r="X63" s="1" t="str">
        <f t="shared" si="28"/>
        <v>CO2Captured</v>
      </c>
      <c r="Y63" s="11" t="e">
        <f t="shared" si="29"/>
        <v>#DIV/0!</v>
      </c>
      <c r="Z63" s="11" t="e">
        <f t="shared" si="30"/>
        <v>#DIV/0!</v>
      </c>
      <c r="AA63" s="5" t="e">
        <f t="shared" si="31"/>
        <v>#DIV/0!</v>
      </c>
      <c r="AB63" s="5" t="e">
        <f t="shared" si="32"/>
        <v>#DIV/0!</v>
      </c>
      <c r="AC63" s="1" t="e">
        <f t="shared" si="33"/>
        <v>#DIV/0!</v>
      </c>
      <c r="AD63" s="1" t="e">
        <f t="shared" si="34"/>
        <v>#DIV/0!</v>
      </c>
      <c r="AE63" s="1" t="e">
        <f t="shared" si="35"/>
        <v>#DIV/0!</v>
      </c>
      <c r="AF63" s="1" t="e">
        <f t="shared" si="36"/>
        <v>#DIV/0!</v>
      </c>
      <c r="AG63" s="1" t="e">
        <f t="shared" si="37"/>
        <v>#DIV/0!</v>
      </c>
      <c r="AH63" s="1" t="e">
        <f t="shared" si="38"/>
        <v>#DIV/0!</v>
      </c>
      <c r="AI63" s="1">
        <f t="shared" si="39"/>
        <v>0</v>
      </c>
      <c r="AJ63" s="1" t="e">
        <f t="shared" si="40"/>
        <v>#DIV/0!</v>
      </c>
      <c r="AK63" s="1">
        <v>0</v>
      </c>
      <c r="AL63" s="1" t="e">
        <f t="shared" si="41"/>
        <v>#DIV/0!</v>
      </c>
      <c r="AM63" s="1" t="e">
        <f t="shared" si="42"/>
        <v>#DIV/0!</v>
      </c>
      <c r="AN63" s="1">
        <v>0</v>
      </c>
      <c r="AO63" s="1" t="e">
        <f t="shared" si="43"/>
        <v>#DIV/0!</v>
      </c>
      <c r="AQ63" s="9">
        <f t="shared" si="44"/>
        <v>3.1428571428571428</v>
      </c>
      <c r="AR63" s="10">
        <f t="shared" si="45"/>
        <v>0.24396818518379501</v>
      </c>
      <c r="AS63" s="10">
        <v>3.1429328999999999</v>
      </c>
      <c r="AT63" s="9">
        <f t="shared" si="46"/>
        <v>0.182890835326593</v>
      </c>
      <c r="AV63" s="10" t="e">
        <f t="shared" si="47"/>
        <v>#DIV/0!</v>
      </c>
      <c r="AX63" s="10">
        <f t="shared" si="48"/>
        <v>3.1428571428571428</v>
      </c>
      <c r="AY63" s="10" t="e">
        <f t="shared" si="49"/>
        <v>#DIV/0!</v>
      </c>
      <c r="AZ63" s="10" t="e">
        <f t="shared" si="50"/>
        <v>#DIV/0!</v>
      </c>
      <c r="BA63" s="10">
        <f t="shared" si="51"/>
        <v>3.1743622289999998</v>
      </c>
      <c r="BB63" s="10" t="e">
        <f t="shared" si="52"/>
        <v>#DIV/0!</v>
      </c>
      <c r="BD63" s="10" t="e">
        <f t="shared" si="53"/>
        <v>#DIV/0!</v>
      </c>
    </row>
    <row r="64" spans="2:56" x14ac:dyDescent="0.2">
      <c r="B64" s="13"/>
      <c r="C64" s="12" t="s">
        <v>56</v>
      </c>
      <c r="D64" s="12">
        <v>0.9</v>
      </c>
      <c r="E64" s="12"/>
      <c r="F64" s="12"/>
      <c r="G64" s="12"/>
      <c r="H64" s="12"/>
      <c r="I64" s="12"/>
      <c r="J64" s="12"/>
      <c r="K64" s="12"/>
      <c r="L64" s="12"/>
      <c r="M64" s="12"/>
      <c r="N64" s="24">
        <v>1.01</v>
      </c>
      <c r="P64" s="15"/>
      <c r="Q64" s="15"/>
      <c r="R64" s="15"/>
      <c r="S64" s="15"/>
      <c r="T64" s="16"/>
      <c r="U64" s="15"/>
      <c r="W64" s="1">
        <f t="shared" si="27"/>
        <v>0</v>
      </c>
      <c r="X64" s="1" t="str">
        <f t="shared" si="28"/>
        <v>CO2Captured</v>
      </c>
      <c r="Y64" s="11" t="e">
        <f t="shared" si="29"/>
        <v>#DIV/0!</v>
      </c>
      <c r="Z64" s="11" t="e">
        <f t="shared" si="30"/>
        <v>#DIV/0!</v>
      </c>
      <c r="AA64" s="5" t="e">
        <f t="shared" si="31"/>
        <v>#DIV/0!</v>
      </c>
      <c r="AB64" s="5" t="e">
        <f t="shared" si="32"/>
        <v>#DIV/0!</v>
      </c>
      <c r="AC64" s="1" t="e">
        <f t="shared" si="33"/>
        <v>#DIV/0!</v>
      </c>
      <c r="AD64" s="1" t="e">
        <f t="shared" si="34"/>
        <v>#DIV/0!</v>
      </c>
      <c r="AE64" s="1" t="e">
        <f t="shared" si="35"/>
        <v>#DIV/0!</v>
      </c>
      <c r="AF64" s="1" t="e">
        <f t="shared" si="36"/>
        <v>#DIV/0!</v>
      </c>
      <c r="AG64" s="1" t="e">
        <f t="shared" si="37"/>
        <v>#DIV/0!</v>
      </c>
      <c r="AH64" s="1" t="e">
        <f t="shared" si="38"/>
        <v>#DIV/0!</v>
      </c>
      <c r="AI64" s="1">
        <f t="shared" si="39"/>
        <v>0</v>
      </c>
      <c r="AJ64" s="1" t="e">
        <f t="shared" si="40"/>
        <v>#DIV/0!</v>
      </c>
      <c r="AK64" s="1">
        <v>0</v>
      </c>
      <c r="AL64" s="1" t="e">
        <f t="shared" si="41"/>
        <v>#DIV/0!</v>
      </c>
      <c r="AM64" s="1" t="e">
        <f t="shared" si="42"/>
        <v>#DIV/0!</v>
      </c>
      <c r="AN64" s="1">
        <v>0</v>
      </c>
      <c r="AO64" s="1" t="e">
        <f t="shared" si="43"/>
        <v>#DIV/0!</v>
      </c>
      <c r="AQ64" s="9">
        <f t="shared" si="44"/>
        <v>3.1428571428571428</v>
      </c>
      <c r="AR64" s="10">
        <f t="shared" si="45"/>
        <v>0.24396818518379501</v>
      </c>
      <c r="AS64" s="10">
        <v>3.1429328999999999</v>
      </c>
      <c r="AT64" s="9">
        <f t="shared" si="46"/>
        <v>0.182890835326593</v>
      </c>
      <c r="AV64" s="10" t="e">
        <f t="shared" si="47"/>
        <v>#DIV/0!</v>
      </c>
      <c r="AX64" s="10">
        <f t="shared" si="48"/>
        <v>3.1428571428571428</v>
      </c>
      <c r="AY64" s="10" t="e">
        <f t="shared" si="49"/>
        <v>#DIV/0!</v>
      </c>
      <c r="AZ64" s="10" t="e">
        <f t="shared" si="50"/>
        <v>#DIV/0!</v>
      </c>
      <c r="BA64" s="10">
        <f t="shared" si="51"/>
        <v>3.1743622289999998</v>
      </c>
      <c r="BB64" s="10" t="e">
        <f t="shared" si="52"/>
        <v>#DIV/0!</v>
      </c>
      <c r="BD64" s="10" t="e">
        <f t="shared" si="53"/>
        <v>#DIV/0!</v>
      </c>
    </row>
    <row r="65" spans="2:56" x14ac:dyDescent="0.2">
      <c r="B65" s="13"/>
      <c r="C65" s="12" t="s">
        <v>56</v>
      </c>
      <c r="D65" s="12">
        <v>0.9</v>
      </c>
      <c r="E65" s="12"/>
      <c r="F65" s="12"/>
      <c r="G65" s="12"/>
      <c r="H65" s="12"/>
      <c r="I65" s="12"/>
      <c r="J65" s="12"/>
      <c r="K65" s="12"/>
      <c r="L65" s="12"/>
      <c r="M65" s="12"/>
      <c r="N65" s="24">
        <v>1.01</v>
      </c>
      <c r="P65" s="15"/>
      <c r="Q65" s="15"/>
      <c r="R65" s="15"/>
      <c r="S65" s="15"/>
      <c r="T65" s="16"/>
      <c r="U65" s="15"/>
      <c r="W65" s="1">
        <f t="shared" si="27"/>
        <v>0</v>
      </c>
      <c r="X65" s="1" t="str">
        <f t="shared" si="28"/>
        <v>CO2Captured</v>
      </c>
      <c r="Y65" s="11" t="e">
        <f t="shared" si="29"/>
        <v>#DIV/0!</v>
      </c>
      <c r="Z65" s="11" t="e">
        <f t="shared" si="30"/>
        <v>#DIV/0!</v>
      </c>
      <c r="AA65" s="5" t="e">
        <f t="shared" si="31"/>
        <v>#DIV/0!</v>
      </c>
      <c r="AB65" s="5" t="e">
        <f t="shared" si="32"/>
        <v>#DIV/0!</v>
      </c>
      <c r="AC65" s="1" t="e">
        <f t="shared" si="33"/>
        <v>#DIV/0!</v>
      </c>
      <c r="AD65" s="1" t="e">
        <f t="shared" si="34"/>
        <v>#DIV/0!</v>
      </c>
      <c r="AE65" s="1" t="e">
        <f t="shared" si="35"/>
        <v>#DIV/0!</v>
      </c>
      <c r="AF65" s="1" t="e">
        <f t="shared" si="36"/>
        <v>#DIV/0!</v>
      </c>
      <c r="AG65" s="1" t="e">
        <f t="shared" si="37"/>
        <v>#DIV/0!</v>
      </c>
      <c r="AH65" s="1" t="e">
        <f t="shared" si="38"/>
        <v>#DIV/0!</v>
      </c>
      <c r="AI65" s="1">
        <f t="shared" si="39"/>
        <v>0</v>
      </c>
      <c r="AJ65" s="1" t="e">
        <f t="shared" si="40"/>
        <v>#DIV/0!</v>
      </c>
      <c r="AK65" s="1">
        <v>0</v>
      </c>
      <c r="AL65" s="1" t="e">
        <f t="shared" si="41"/>
        <v>#DIV/0!</v>
      </c>
      <c r="AM65" s="1" t="e">
        <f t="shared" si="42"/>
        <v>#DIV/0!</v>
      </c>
      <c r="AN65" s="1">
        <v>0</v>
      </c>
      <c r="AO65" s="1" t="e">
        <f t="shared" si="43"/>
        <v>#DIV/0!</v>
      </c>
      <c r="AQ65" s="9">
        <f t="shared" si="44"/>
        <v>3.1428571428571428</v>
      </c>
      <c r="AR65" s="10">
        <f t="shared" si="45"/>
        <v>0.24396818518379501</v>
      </c>
      <c r="AS65" s="10">
        <v>3.1429328999999999</v>
      </c>
      <c r="AT65" s="9">
        <f t="shared" si="46"/>
        <v>0.182890835326593</v>
      </c>
      <c r="AV65" s="10" t="e">
        <f t="shared" si="47"/>
        <v>#DIV/0!</v>
      </c>
      <c r="AX65" s="10">
        <f t="shared" si="48"/>
        <v>3.1428571428571428</v>
      </c>
      <c r="AY65" s="10" t="e">
        <f t="shared" si="49"/>
        <v>#DIV/0!</v>
      </c>
      <c r="AZ65" s="10" t="e">
        <f t="shared" si="50"/>
        <v>#DIV/0!</v>
      </c>
      <c r="BA65" s="10">
        <f t="shared" si="51"/>
        <v>3.1743622289999998</v>
      </c>
      <c r="BB65" s="10" t="e">
        <f t="shared" si="52"/>
        <v>#DIV/0!</v>
      </c>
      <c r="BD65" s="10" t="e">
        <f t="shared" si="53"/>
        <v>#DIV/0!</v>
      </c>
    </row>
    <row r="66" spans="2:56" x14ac:dyDescent="0.2">
      <c r="B66" s="13"/>
      <c r="C66" s="12" t="s">
        <v>56</v>
      </c>
      <c r="D66" s="12">
        <v>0.9</v>
      </c>
      <c r="E66" s="12"/>
      <c r="F66" s="12"/>
      <c r="G66" s="12"/>
      <c r="H66" s="12"/>
      <c r="I66" s="12"/>
      <c r="J66" s="12"/>
      <c r="K66" s="12"/>
      <c r="L66" s="12"/>
      <c r="M66" s="12"/>
      <c r="N66" s="24">
        <v>1.01</v>
      </c>
      <c r="P66" s="15"/>
      <c r="Q66" s="15"/>
      <c r="R66" s="15"/>
      <c r="S66" s="15"/>
      <c r="T66" s="16"/>
      <c r="U66" s="15"/>
      <c r="W66" s="1">
        <f t="shared" si="27"/>
        <v>0</v>
      </c>
      <c r="X66" s="1" t="str">
        <f t="shared" si="28"/>
        <v>CO2Captured</v>
      </c>
      <c r="Y66" s="11" t="e">
        <f t="shared" si="29"/>
        <v>#DIV/0!</v>
      </c>
      <c r="Z66" s="11" t="e">
        <f t="shared" si="30"/>
        <v>#DIV/0!</v>
      </c>
      <c r="AA66" s="5" t="e">
        <f t="shared" si="31"/>
        <v>#DIV/0!</v>
      </c>
      <c r="AB66" s="5" t="e">
        <f t="shared" si="32"/>
        <v>#DIV/0!</v>
      </c>
      <c r="AC66" s="1" t="e">
        <f t="shared" si="33"/>
        <v>#DIV/0!</v>
      </c>
      <c r="AD66" s="1" t="e">
        <f t="shared" si="34"/>
        <v>#DIV/0!</v>
      </c>
      <c r="AE66" s="1" t="e">
        <f t="shared" si="35"/>
        <v>#DIV/0!</v>
      </c>
      <c r="AF66" s="1" t="e">
        <f t="shared" si="36"/>
        <v>#DIV/0!</v>
      </c>
      <c r="AG66" s="1" t="e">
        <f t="shared" si="37"/>
        <v>#DIV/0!</v>
      </c>
      <c r="AH66" s="1" t="e">
        <f t="shared" si="38"/>
        <v>#DIV/0!</v>
      </c>
      <c r="AI66" s="1">
        <f t="shared" si="39"/>
        <v>0</v>
      </c>
      <c r="AJ66" s="1" t="e">
        <f t="shared" si="40"/>
        <v>#DIV/0!</v>
      </c>
      <c r="AK66" s="1">
        <v>0</v>
      </c>
      <c r="AL66" s="1" t="e">
        <f t="shared" si="41"/>
        <v>#DIV/0!</v>
      </c>
      <c r="AM66" s="1" t="e">
        <f t="shared" si="42"/>
        <v>#DIV/0!</v>
      </c>
      <c r="AN66" s="1">
        <v>0</v>
      </c>
      <c r="AO66" s="1" t="e">
        <f t="shared" si="43"/>
        <v>#DIV/0!</v>
      </c>
      <c r="AQ66" s="9">
        <f t="shared" si="44"/>
        <v>3.1428571428571428</v>
      </c>
      <c r="AR66" s="10">
        <f t="shared" si="45"/>
        <v>0.24396818518379501</v>
      </c>
      <c r="AS66" s="10">
        <v>3.1429328999999999</v>
      </c>
      <c r="AT66" s="9">
        <f t="shared" si="46"/>
        <v>0.182890835326593</v>
      </c>
      <c r="AV66" s="10" t="e">
        <f t="shared" si="47"/>
        <v>#DIV/0!</v>
      </c>
      <c r="AX66" s="10">
        <f t="shared" si="48"/>
        <v>3.1428571428571428</v>
      </c>
      <c r="AY66" s="10" t="e">
        <f t="shared" si="49"/>
        <v>#DIV/0!</v>
      </c>
      <c r="AZ66" s="10" t="e">
        <f t="shared" si="50"/>
        <v>#DIV/0!</v>
      </c>
      <c r="BA66" s="10">
        <f t="shared" si="51"/>
        <v>3.1743622289999998</v>
      </c>
      <c r="BB66" s="10" t="e">
        <f t="shared" si="52"/>
        <v>#DIV/0!</v>
      </c>
      <c r="BD66" s="10" t="e">
        <f t="shared" si="53"/>
        <v>#DIV/0!</v>
      </c>
    </row>
    <row r="67" spans="2:56" x14ac:dyDescent="0.2">
      <c r="Y67" s="5"/>
      <c r="Z67" s="5"/>
      <c r="AA67" s="5"/>
      <c r="AB67" s="5"/>
      <c r="AQ67" s="8"/>
      <c r="AT67" s="8"/>
    </row>
    <row r="68" spans="2:56" x14ac:dyDescent="0.2">
      <c r="Y68" s="5"/>
      <c r="Z68" s="5"/>
      <c r="AA68" s="5"/>
      <c r="AB68" s="5"/>
      <c r="AQ68" s="8"/>
      <c r="AT68" s="8"/>
    </row>
    <row r="69" spans="2:56" x14ac:dyDescent="0.2">
      <c r="Y69" s="5"/>
      <c r="Z69" s="5"/>
      <c r="AA69" s="5"/>
      <c r="AB69" s="5"/>
      <c r="AQ69" s="8"/>
      <c r="AT69" s="8"/>
    </row>
    <row r="70" spans="2:56" x14ac:dyDescent="0.2">
      <c r="Y70" s="5"/>
      <c r="Z70" s="5"/>
      <c r="AA70" s="5"/>
      <c r="AB70" s="5"/>
      <c r="AQ70" s="8"/>
      <c r="AT70" s="8"/>
    </row>
    <row r="71" spans="2:56" x14ac:dyDescent="0.2">
      <c r="Y71" s="5"/>
      <c r="Z71" s="5"/>
      <c r="AA71" s="5"/>
      <c r="AB71" s="5"/>
      <c r="AQ71" s="8"/>
      <c r="AT71" s="8"/>
    </row>
    <row r="72" spans="2:56" x14ac:dyDescent="0.2">
      <c r="Y72" s="5"/>
      <c r="Z72" s="5"/>
      <c r="AA72" s="5"/>
      <c r="AB72" s="5"/>
      <c r="AQ72" s="8"/>
      <c r="AT72" s="8"/>
    </row>
    <row r="73" spans="2:56" x14ac:dyDescent="0.2">
      <c r="Y73" s="5"/>
      <c r="Z73" s="5"/>
      <c r="AA73" s="5"/>
      <c r="AB73" s="5"/>
      <c r="AQ73" s="8"/>
      <c r="AT73" s="8"/>
    </row>
    <row r="74" spans="2:56" x14ac:dyDescent="0.2">
      <c r="Y74" s="5"/>
      <c r="Z74" s="5"/>
      <c r="AA74" s="5"/>
      <c r="AB74" s="5"/>
      <c r="AQ74" s="8"/>
      <c r="AT74" s="8"/>
    </row>
    <row r="75" spans="2:56" x14ac:dyDescent="0.2">
      <c r="Y75" s="5"/>
      <c r="Z75" s="5"/>
      <c r="AA75" s="5"/>
      <c r="AB75" s="5"/>
      <c r="AQ75" s="8"/>
      <c r="AT75" s="8"/>
    </row>
    <row r="76" spans="2:56" x14ac:dyDescent="0.2">
      <c r="Y76" s="5"/>
      <c r="Z76" s="5"/>
      <c r="AA76" s="5"/>
      <c r="AB76" s="5"/>
      <c r="AQ76" s="8"/>
      <c r="AT76" s="8"/>
    </row>
    <row r="77" spans="2:56" x14ac:dyDescent="0.2">
      <c r="Y77" s="5"/>
      <c r="Z77" s="5"/>
      <c r="AA77" s="5"/>
      <c r="AB77" s="5"/>
      <c r="AQ77" s="8"/>
      <c r="AT77" s="8"/>
    </row>
    <row r="78" spans="2:56" x14ac:dyDescent="0.2">
      <c r="Y78" s="5"/>
      <c r="Z78" s="5"/>
      <c r="AA78" s="5"/>
      <c r="AB78" s="5"/>
      <c r="AQ78" s="8"/>
      <c r="AT78" s="8"/>
    </row>
    <row r="79" spans="2:56" x14ac:dyDescent="0.2">
      <c r="Y79" s="5"/>
      <c r="Z79" s="5"/>
      <c r="AA79" s="5"/>
      <c r="AB79" s="5"/>
      <c r="AQ79" s="8"/>
      <c r="AT79" s="8"/>
    </row>
    <row r="80" spans="2:56" x14ac:dyDescent="0.2">
      <c r="Y80" s="5"/>
      <c r="Z80" s="5"/>
      <c r="AA80" s="5"/>
      <c r="AB80" s="5"/>
      <c r="AQ80" s="8"/>
      <c r="AT80" s="8"/>
    </row>
    <row r="81" spans="25:46" x14ac:dyDescent="0.2">
      <c r="Y81" s="5"/>
      <c r="Z81" s="5"/>
      <c r="AA81" s="5"/>
      <c r="AB81" s="5"/>
      <c r="AQ81" s="8"/>
      <c r="AT81" s="8"/>
    </row>
    <row r="82" spans="25:46" x14ac:dyDescent="0.2">
      <c r="Y82" s="5"/>
      <c r="Z82" s="5"/>
      <c r="AA82" s="5"/>
      <c r="AB82" s="5"/>
      <c r="AQ82" s="8"/>
      <c r="AT82" s="8"/>
    </row>
    <row r="83" spans="25:46" x14ac:dyDescent="0.2">
      <c r="Y83" s="5"/>
      <c r="Z83" s="5"/>
      <c r="AA83" s="5"/>
      <c r="AB83" s="5"/>
      <c r="AQ83" s="8"/>
      <c r="AT83" s="8"/>
    </row>
    <row r="84" spans="25:46" x14ac:dyDescent="0.2">
      <c r="Y84" s="5"/>
      <c r="Z84" s="5"/>
      <c r="AA84" s="5"/>
      <c r="AB84" s="5"/>
      <c r="AQ84" s="8"/>
      <c r="AT84" s="8"/>
    </row>
    <row r="85" spans="25:46" x14ac:dyDescent="0.2">
      <c r="Y85" s="5"/>
      <c r="Z85" s="5"/>
      <c r="AA85" s="5"/>
      <c r="AB85" s="5"/>
      <c r="AQ85" s="8"/>
      <c r="AT85" s="8"/>
    </row>
    <row r="86" spans="25:46" x14ac:dyDescent="0.2">
      <c r="Y86" s="5"/>
      <c r="Z86" s="5"/>
      <c r="AA86" s="5"/>
      <c r="AB86" s="5"/>
      <c r="AQ86" s="8"/>
      <c r="AT86" s="8"/>
    </row>
    <row r="87" spans="25:46" x14ac:dyDescent="0.2">
      <c r="Y87" s="5"/>
      <c r="Z87" s="5"/>
      <c r="AA87" s="5"/>
      <c r="AB87" s="5"/>
      <c r="AQ87" s="8"/>
      <c r="AT87" s="8"/>
    </row>
    <row r="88" spans="25:46" x14ac:dyDescent="0.2">
      <c r="Y88" s="5"/>
      <c r="Z88" s="5"/>
      <c r="AA88" s="5"/>
      <c r="AB88" s="5"/>
      <c r="AQ88" s="8"/>
      <c r="AT88" s="8"/>
    </row>
    <row r="89" spans="25:46" x14ac:dyDescent="0.2">
      <c r="Y89" s="5"/>
      <c r="Z89" s="5"/>
      <c r="AA89" s="5"/>
      <c r="AB89" s="5"/>
      <c r="AQ89" s="8"/>
      <c r="AT89" s="8"/>
    </row>
    <row r="90" spans="25:46" x14ac:dyDescent="0.2">
      <c r="Y90" s="5"/>
      <c r="Z90" s="5"/>
      <c r="AA90" s="5"/>
      <c r="AB90" s="5"/>
      <c r="AQ90" s="8"/>
      <c r="AT90" s="8"/>
    </row>
    <row r="91" spans="25:46" x14ac:dyDescent="0.2">
      <c r="Y91" s="5"/>
      <c r="Z91" s="5"/>
      <c r="AA91" s="5"/>
      <c r="AB91" s="5"/>
      <c r="AQ91" s="8"/>
      <c r="AT91" s="8"/>
    </row>
    <row r="92" spans="25:46" x14ac:dyDescent="0.2">
      <c r="Y92" s="5"/>
      <c r="Z92" s="5"/>
      <c r="AA92" s="5"/>
      <c r="AB92" s="5"/>
      <c r="AQ92" s="8"/>
      <c r="AT92" s="8"/>
    </row>
    <row r="93" spans="25:46" x14ac:dyDescent="0.2">
      <c r="Y93" s="5"/>
      <c r="Z93" s="5"/>
      <c r="AA93" s="5"/>
      <c r="AB93" s="5"/>
      <c r="AQ93" s="8"/>
      <c r="AT93" s="8"/>
    </row>
    <row r="94" spans="25:46" x14ac:dyDescent="0.2">
      <c r="Y94" s="5"/>
      <c r="Z94" s="5"/>
      <c r="AA94" s="5"/>
      <c r="AB94" s="5"/>
      <c r="AQ94" s="8"/>
      <c r="AT94" s="8"/>
    </row>
    <row r="95" spans="25:46" x14ac:dyDescent="0.2">
      <c r="Y95" s="5"/>
      <c r="Z95" s="5"/>
      <c r="AA95" s="5"/>
      <c r="AB95" s="5"/>
      <c r="AQ95" s="8"/>
      <c r="AT95" s="8"/>
    </row>
    <row r="96" spans="25:46" x14ac:dyDescent="0.2">
      <c r="Y96" s="5"/>
      <c r="Z96" s="5"/>
      <c r="AA96" s="5"/>
      <c r="AB96" s="5"/>
      <c r="AQ96" s="8"/>
      <c r="AT96" s="8"/>
    </row>
    <row r="97" spans="25:46" x14ac:dyDescent="0.2">
      <c r="Y97" s="5"/>
      <c r="Z97" s="5"/>
      <c r="AA97" s="5"/>
      <c r="AB97" s="5"/>
      <c r="AQ97" s="8"/>
      <c r="AT97" s="8"/>
    </row>
    <row r="98" spans="25:46" x14ac:dyDescent="0.2">
      <c r="Y98" s="5"/>
      <c r="Z98" s="5"/>
      <c r="AA98" s="5"/>
      <c r="AB98" s="5"/>
      <c r="AQ98" s="8"/>
      <c r="AT98" s="8"/>
    </row>
    <row r="99" spans="25:46" x14ac:dyDescent="0.2">
      <c r="Y99" s="5"/>
      <c r="Z99" s="5"/>
      <c r="AA99" s="5"/>
      <c r="AB99" s="5"/>
      <c r="AQ99" s="8"/>
      <c r="AT99" s="8"/>
    </row>
    <row r="100" spans="25:46" x14ac:dyDescent="0.2">
      <c r="Y100" s="5"/>
      <c r="Z100" s="5"/>
      <c r="AA100" s="5"/>
      <c r="AB100" s="5"/>
      <c r="AQ100" s="8"/>
      <c r="AT100" s="8"/>
    </row>
    <row r="101" spans="25:46" x14ac:dyDescent="0.2">
      <c r="Y101" s="5"/>
      <c r="Z101" s="5"/>
      <c r="AA101" s="5"/>
      <c r="AB101" s="5"/>
      <c r="AQ101" s="8"/>
      <c r="AT101" s="8"/>
    </row>
    <row r="102" spans="25:46" x14ac:dyDescent="0.2">
      <c r="Y102" s="5"/>
      <c r="Z102" s="5"/>
      <c r="AA102" s="5"/>
      <c r="AB102" s="5"/>
      <c r="AQ102" s="8"/>
      <c r="AT102" s="8"/>
    </row>
    <row r="103" spans="25:46" x14ac:dyDescent="0.2">
      <c r="Y103" s="5"/>
      <c r="Z103" s="5"/>
      <c r="AA103" s="5"/>
      <c r="AB103" s="5"/>
      <c r="AQ103" s="8"/>
      <c r="AT103" s="8"/>
    </row>
    <row r="104" spans="25:46" x14ac:dyDescent="0.2">
      <c r="Y104" s="5"/>
      <c r="Z104" s="5"/>
      <c r="AA104" s="5"/>
      <c r="AB104" s="5"/>
      <c r="AQ104" s="8"/>
      <c r="AT104" s="8"/>
    </row>
    <row r="105" spans="25:46" x14ac:dyDescent="0.2">
      <c r="Y105" s="5"/>
      <c r="Z105" s="5"/>
      <c r="AA105" s="5"/>
      <c r="AB105" s="5"/>
    </row>
    <row r="106" spans="25:46" x14ac:dyDescent="0.2">
      <c r="Y106" s="5"/>
      <c r="Z106" s="5"/>
      <c r="AA106" s="5"/>
      <c r="AB106" s="5"/>
    </row>
    <row r="107" spans="25:46" x14ac:dyDescent="0.2">
      <c r="Y107" s="5"/>
      <c r="Z107" s="5"/>
      <c r="AA107" s="5"/>
      <c r="AB107" s="5"/>
    </row>
    <row r="108" spans="25:46" x14ac:dyDescent="0.2">
      <c r="AB108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44"/>
  <sheetViews>
    <sheetView topLeftCell="G1" zoomScale="75" workbookViewId="0">
      <selection activeCell="N3" sqref="N3"/>
    </sheetView>
  </sheetViews>
  <sheetFormatPr baseColWidth="10" defaultRowHeight="16" x14ac:dyDescent="0.2"/>
  <cols>
    <col min="1" max="1" width="13.5" customWidth="1"/>
    <col min="2" max="2" width="14.33203125" bestFit="1" customWidth="1"/>
    <col min="3" max="3" width="15.33203125" bestFit="1" customWidth="1"/>
    <col min="4" max="4" width="17.6640625" bestFit="1" customWidth="1"/>
    <col min="5" max="5" width="15.6640625" bestFit="1" customWidth="1"/>
    <col min="6" max="6" width="17.1640625" bestFit="1" customWidth="1"/>
    <col min="7" max="7" width="13.83203125" bestFit="1" customWidth="1"/>
    <col min="8" max="8" width="12.33203125" bestFit="1" customWidth="1"/>
    <col min="9" max="9" width="14.6640625" bestFit="1" customWidth="1"/>
    <col min="10" max="10" width="11" bestFit="1" customWidth="1"/>
    <col min="11" max="11" width="15.83203125" bestFit="1" customWidth="1"/>
    <col min="12" max="12" width="13" bestFit="1" customWidth="1"/>
    <col min="13" max="13" width="2.33203125" customWidth="1"/>
    <col min="14" max="14" width="34.83203125" customWidth="1"/>
  </cols>
  <sheetData>
    <row r="1" spans="1:25" x14ac:dyDescent="0.2">
      <c r="A1" s="20" t="s">
        <v>82</v>
      </c>
      <c r="N1" s="20"/>
    </row>
    <row r="2" spans="1:25" ht="48" customHeight="1" x14ac:dyDescent="0.2">
      <c r="A2" s="4" t="s">
        <v>29</v>
      </c>
      <c r="B2" s="4" t="s">
        <v>33</v>
      </c>
      <c r="C2" s="4" t="s">
        <v>34</v>
      </c>
      <c r="D2" s="4" t="s">
        <v>35</v>
      </c>
      <c r="E2" s="4" t="s">
        <v>36</v>
      </c>
      <c r="F2" s="4" t="s">
        <v>37</v>
      </c>
      <c r="G2" s="4" t="s">
        <v>38</v>
      </c>
      <c r="H2" s="4" t="s">
        <v>39</v>
      </c>
      <c r="I2" s="4" t="s">
        <v>40</v>
      </c>
      <c r="J2" s="21" t="s">
        <v>41</v>
      </c>
      <c r="K2" s="21" t="s">
        <v>42</v>
      </c>
      <c r="L2" s="22" t="s">
        <v>31</v>
      </c>
      <c r="N2" s="4" t="s">
        <v>29</v>
      </c>
      <c r="O2" s="4" t="s">
        <v>33</v>
      </c>
      <c r="P2" s="4" t="s">
        <v>34</v>
      </c>
      <c r="Q2" s="4" t="s">
        <v>35</v>
      </c>
      <c r="R2" s="4" t="s">
        <v>36</v>
      </c>
      <c r="S2" s="4" t="s">
        <v>37</v>
      </c>
      <c r="T2" s="4" t="s">
        <v>38</v>
      </c>
      <c r="U2" s="4" t="s">
        <v>39</v>
      </c>
      <c r="V2" s="4" t="s">
        <v>40</v>
      </c>
      <c r="W2" s="21" t="s">
        <v>41</v>
      </c>
      <c r="X2" s="21" t="s">
        <v>42</v>
      </c>
      <c r="Y2" s="22" t="s">
        <v>31</v>
      </c>
    </row>
    <row r="3" spans="1:25" x14ac:dyDescent="0.2">
      <c r="A3" t="str">
        <f>lc_detailed!W4</f>
        <v>CA_S-H2in</v>
      </c>
      <c r="B3" s="23">
        <f>lc_detailed!AB4</f>
        <v>0</v>
      </c>
      <c r="C3" s="23">
        <f>lc_detailed!AC4</f>
        <v>56.545696050546049</v>
      </c>
      <c r="D3" s="23">
        <f>lc_detailed!AD4</f>
        <v>868.44136410000067</v>
      </c>
      <c r="E3" s="23">
        <f>lc_detailed!AE4</f>
        <v>-18.935202524983783</v>
      </c>
      <c r="F3" s="23">
        <f>lc_detailed!AF4</f>
        <v>502.99519101863098</v>
      </c>
      <c r="G3" s="23">
        <f>lc_detailed!AG4</f>
        <v>194.2604047945207</v>
      </c>
      <c r="H3" s="23">
        <f>lc_detailed!AH4</f>
        <v>106.85541647640798</v>
      </c>
      <c r="I3" s="23">
        <f>lc_detailed!AI4</f>
        <v>-43.02</v>
      </c>
      <c r="J3" s="23">
        <f>lc_detailed!AK4</f>
        <v>0</v>
      </c>
      <c r="K3" s="23">
        <f>lc_detailed!AL4</f>
        <v>260.16373123642865</v>
      </c>
      <c r="L3" s="23">
        <f>lc_detailed!Y4</f>
        <v>1927.3066011515514</v>
      </c>
      <c r="N3">
        <f t="array" ref="N3:Y70">_xlfn._xlws.SORT(A3:L70, 12, 1)</f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">
      <c r="A4" t="str">
        <f>lc_detailed!W5</f>
        <v>NW_S-H2in</v>
      </c>
      <c r="B4" s="23">
        <f>lc_detailed!AB5</f>
        <v>0</v>
      </c>
      <c r="C4" s="23">
        <f>lc_detailed!AC5</f>
        <v>41.512535170251034</v>
      </c>
      <c r="D4" s="23">
        <f>lc_detailed!AD5</f>
        <v>859.93751376000057</v>
      </c>
      <c r="E4" s="23">
        <f>lc_detailed!AE5</f>
        <v>-18.936403351760681</v>
      </c>
      <c r="F4" s="23">
        <f>lc_detailed!AF5</f>
        <v>502.99519101863098</v>
      </c>
      <c r="G4" s="23">
        <f>lc_detailed!AG5</f>
        <v>194.2604047945207</v>
      </c>
      <c r="H4" s="23">
        <f>lc_detailed!AH5</f>
        <v>106.85541647640798</v>
      </c>
      <c r="I4" s="23">
        <f>lc_detailed!AI5</f>
        <v>-43.02</v>
      </c>
      <c r="J4" s="23">
        <f>lc_detailed!AK5</f>
        <v>0</v>
      </c>
      <c r="K4" s="23">
        <f>lc_detailed!AL5</f>
        <v>260.16373123642865</v>
      </c>
      <c r="L4" s="23">
        <f>lc_detailed!Y5</f>
        <v>1903.7683891044792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">
      <c r="A5" t="str">
        <f>lc_detailed!W6</f>
        <v>SW_S-H2in</v>
      </c>
      <c r="B5" s="23">
        <f>lc_detailed!AB6</f>
        <v>0</v>
      </c>
      <c r="C5" s="23">
        <f>lc_detailed!AC6</f>
        <v>43.325167562319038</v>
      </c>
      <c r="D5" s="23">
        <f>lc_detailed!AD6</f>
        <v>796.75711215000058</v>
      </c>
      <c r="E5" s="23">
        <f>lc_detailed!AE6</f>
        <v>-18.936280508561662</v>
      </c>
      <c r="F5" s="23">
        <f>lc_detailed!AF6</f>
        <v>502.99519101863098</v>
      </c>
      <c r="G5" s="23">
        <f>lc_detailed!AG6</f>
        <v>194.2604047945207</v>
      </c>
      <c r="H5" s="23">
        <f>lc_detailed!AH6</f>
        <v>106.85541647640798</v>
      </c>
      <c r="I5" s="23">
        <f>lc_detailed!AI6</f>
        <v>-43.02</v>
      </c>
      <c r="J5" s="23">
        <f>lc_detailed!AK6</f>
        <v>0</v>
      </c>
      <c r="K5" s="23">
        <f>lc_detailed!AL6</f>
        <v>260.16373123642865</v>
      </c>
      <c r="L5" s="23">
        <f>lc_detailed!Y6</f>
        <v>1842.4007427297463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">
      <c r="A6" t="str">
        <f>lc_detailed!W7</f>
        <v>TX_S-H2in</v>
      </c>
      <c r="B6" s="23">
        <f>lc_detailed!AB7</f>
        <v>0</v>
      </c>
      <c r="C6" s="23">
        <f>lc_detailed!AC7</f>
        <v>31.264691633721029</v>
      </c>
      <c r="D6" s="23">
        <f>lc_detailed!AD7</f>
        <v>753.59411601000056</v>
      </c>
      <c r="E6" s="23">
        <f>lc_detailed!AE7</f>
        <v>-18.393397764811834</v>
      </c>
      <c r="F6" s="23">
        <f>lc_detailed!AF7</f>
        <v>502.99519101863098</v>
      </c>
      <c r="G6" s="23">
        <f>lc_detailed!AG7</f>
        <v>194.2604047945207</v>
      </c>
      <c r="H6" s="23">
        <f>lc_detailed!AH7</f>
        <v>106.85541647640798</v>
      </c>
      <c r="I6" s="23">
        <f>lc_detailed!AI7</f>
        <v>-43.02</v>
      </c>
      <c r="J6" s="23">
        <f>lc_detailed!AK7</f>
        <v>0</v>
      </c>
      <c r="K6" s="23">
        <f>lc_detailed!AL7</f>
        <v>260.16373123642865</v>
      </c>
      <c r="L6" s="23">
        <f>lc_detailed!Y7</f>
        <v>1787.7201534048979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">
      <c r="A7" t="str">
        <f>lc_detailed!W8</f>
        <v>NCEN_S-H2in</v>
      </c>
      <c r="B7" s="23">
        <f>lc_detailed!AB8</f>
        <v>0</v>
      </c>
      <c r="C7" s="23">
        <f>lc_detailed!AC8</f>
        <v>47.596701894150044</v>
      </c>
      <c r="D7" s="23">
        <f>lc_detailed!AD8</f>
        <v>575.96070660000044</v>
      </c>
      <c r="E7" s="23">
        <f>lc_detailed!AE8</f>
        <v>-18.531272002448894</v>
      </c>
      <c r="F7" s="23">
        <f>lc_detailed!AF8</f>
        <v>502.99519101863098</v>
      </c>
      <c r="G7" s="23">
        <f>lc_detailed!AG8</f>
        <v>194.2604047945207</v>
      </c>
      <c r="H7" s="23">
        <f>lc_detailed!AH8</f>
        <v>106.85541647640798</v>
      </c>
      <c r="I7" s="23">
        <f>lc_detailed!AI8</f>
        <v>-43.02</v>
      </c>
      <c r="J7" s="23">
        <f>lc_detailed!AK8</f>
        <v>0</v>
      </c>
      <c r="K7" s="23">
        <f>lc_detailed!AL8</f>
        <v>260.16373123642865</v>
      </c>
      <c r="L7" s="23">
        <f>lc_detailed!Y8</f>
        <v>1626.2808800176897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">
      <c r="A8" t="str">
        <f>lc_detailed!W9</f>
        <v>CEN_S-H2in</v>
      </c>
      <c r="B8" s="23">
        <f>lc_detailed!AB9</f>
        <v>0</v>
      </c>
      <c r="C8" s="23">
        <f>lc_detailed!AC9</f>
        <v>38.925025536258033</v>
      </c>
      <c r="D8" s="23">
        <f>lc_detailed!AD9</f>
        <v>663.98750235000057</v>
      </c>
      <c r="E8" s="23">
        <f>lc_detailed!AE9</f>
        <v>-18.53119884863375</v>
      </c>
      <c r="F8" s="23">
        <f>lc_detailed!AF9</f>
        <v>502.99519101863098</v>
      </c>
      <c r="G8" s="23">
        <f>lc_detailed!AG9</f>
        <v>194.2604047945207</v>
      </c>
      <c r="H8" s="23">
        <f>lc_detailed!AH9</f>
        <v>106.85541647640798</v>
      </c>
      <c r="I8" s="23">
        <f>lc_detailed!AI9</f>
        <v>-43.02</v>
      </c>
      <c r="J8" s="23">
        <f>lc_detailed!AK9</f>
        <v>0</v>
      </c>
      <c r="K8" s="23">
        <f>lc_detailed!AL9</f>
        <v>260.16373123642865</v>
      </c>
      <c r="L8" s="23">
        <f>lc_detailed!Y9</f>
        <v>1705.6360725636134</v>
      </c>
      <c r="N8" t="str">
        <v>NE_S-CC90-H2in</v>
      </c>
      <c r="O8">
        <v>0</v>
      </c>
      <c r="P8">
        <v>93.587155713009039</v>
      </c>
      <c r="Q8">
        <v>384.70210905000027</v>
      </c>
      <c r="R8">
        <v>-18.531764755505609</v>
      </c>
      <c r="S8">
        <v>502.99519101863086</v>
      </c>
      <c r="T8">
        <v>214.57391107305949</v>
      </c>
      <c r="U8">
        <v>117.95601525875196</v>
      </c>
      <c r="V8">
        <v>-45.26</v>
      </c>
      <c r="W8">
        <v>0</v>
      </c>
      <c r="X8">
        <v>208.08428475142878</v>
      </c>
      <c r="Y8">
        <v>1458.1069021093749</v>
      </c>
    </row>
    <row r="9" spans="1:25" x14ac:dyDescent="0.2">
      <c r="A9" t="str">
        <f>lc_detailed!W10</f>
        <v>SE_S-H2in</v>
      </c>
      <c r="B9" s="23">
        <f>lc_detailed!AB10</f>
        <v>0</v>
      </c>
      <c r="C9" s="23">
        <f>lc_detailed!AC10</f>
        <v>59.041261798452041</v>
      </c>
      <c r="D9" s="23">
        <f>lc_detailed!AD10</f>
        <v>524.76878382000041</v>
      </c>
      <c r="E9" s="23">
        <f>lc_detailed!AE10</f>
        <v>-18.531190567069771</v>
      </c>
      <c r="F9" s="23">
        <f>lc_detailed!AF10</f>
        <v>502.99519101863098</v>
      </c>
      <c r="G9" s="23">
        <f>lc_detailed!AG10</f>
        <v>194.2604047945207</v>
      </c>
      <c r="H9" s="23">
        <f>lc_detailed!AH10</f>
        <v>106.85541647640798</v>
      </c>
      <c r="I9" s="23">
        <f>lc_detailed!AI10</f>
        <v>-43.02</v>
      </c>
      <c r="J9" s="23">
        <f>lc_detailed!AK10</f>
        <v>0</v>
      </c>
      <c r="K9" s="23">
        <f>lc_detailed!AL10</f>
        <v>260.16373123642865</v>
      </c>
      <c r="L9" s="23">
        <f>lc_detailed!Y10</f>
        <v>1586.5335985773711</v>
      </c>
      <c r="N9" t="str">
        <v>NE_S-H2in</v>
      </c>
      <c r="O9">
        <v>0</v>
      </c>
      <c r="P9">
        <v>73.400545635297064</v>
      </c>
      <c r="Q9">
        <v>407.65901610000031</v>
      </c>
      <c r="R9">
        <v>-18.53176475550562</v>
      </c>
      <c r="S9">
        <v>502.99519101863098</v>
      </c>
      <c r="T9">
        <v>194.2604047945207</v>
      </c>
      <c r="U9">
        <v>106.85541647640798</v>
      </c>
      <c r="V9">
        <v>-43.02</v>
      </c>
      <c r="W9">
        <v>0</v>
      </c>
      <c r="X9">
        <v>260.16373123642865</v>
      </c>
      <c r="Y9">
        <v>1483.7825405057802</v>
      </c>
    </row>
    <row r="10" spans="1:25" x14ac:dyDescent="0.2">
      <c r="A10" t="str">
        <f>lc_detailed!W11</f>
        <v>MIDAT_S-H2in</v>
      </c>
      <c r="B10" s="23">
        <f>lc_detailed!AB11</f>
        <v>0</v>
      </c>
      <c r="C10" s="23">
        <f>lc_detailed!AC11</f>
        <v>60.900307016670048</v>
      </c>
      <c r="D10" s="23">
        <f>lc_detailed!AD11</f>
        <v>482.36432952000035</v>
      </c>
      <c r="E10" s="23">
        <f>lc_detailed!AE11</f>
        <v>-18.531973174865747</v>
      </c>
      <c r="F10" s="23">
        <f>lc_detailed!AF11</f>
        <v>502.99519101863098</v>
      </c>
      <c r="G10" s="23">
        <f>lc_detailed!AG11</f>
        <v>194.2604047945207</v>
      </c>
      <c r="H10" s="23">
        <f>lc_detailed!AH11</f>
        <v>106.85541647640798</v>
      </c>
      <c r="I10" s="23">
        <f>lc_detailed!AI11</f>
        <v>-43.02</v>
      </c>
      <c r="J10" s="23">
        <f>lc_detailed!AK11</f>
        <v>0</v>
      </c>
      <c r="K10" s="23">
        <f>lc_detailed!AL11</f>
        <v>260.16373123642865</v>
      </c>
      <c r="L10" s="23">
        <f>lc_detailed!Y11</f>
        <v>1545.9874068877932</v>
      </c>
      <c r="N10" t="str">
        <v>MIDAT_S-CC90-H2in</v>
      </c>
      <c r="O10">
        <v>0</v>
      </c>
      <c r="P10">
        <v>77.649102828990038</v>
      </c>
      <c r="Q10">
        <v>455.20046796000031</v>
      </c>
      <c r="R10">
        <v>-18.531973174865737</v>
      </c>
      <c r="S10">
        <v>502.99519101863086</v>
      </c>
      <c r="T10">
        <v>214.57391107305949</v>
      </c>
      <c r="U10">
        <v>117.95601525875196</v>
      </c>
      <c r="V10">
        <v>-45.26</v>
      </c>
      <c r="W10">
        <v>0</v>
      </c>
      <c r="X10">
        <v>208.08428475142878</v>
      </c>
      <c r="Y10">
        <v>1512.6669997159959</v>
      </c>
    </row>
    <row r="11" spans="1:25" x14ac:dyDescent="0.2">
      <c r="A11" t="str">
        <f>lc_detailed!W12</f>
        <v>NE_S-H2in</v>
      </c>
      <c r="B11" s="23">
        <f>lc_detailed!AB12</f>
        <v>0</v>
      </c>
      <c r="C11" s="23">
        <f>lc_detailed!AC12</f>
        <v>73.400545635297064</v>
      </c>
      <c r="D11" s="23">
        <f>lc_detailed!AD12</f>
        <v>407.65901610000031</v>
      </c>
      <c r="E11" s="23">
        <f>lc_detailed!AE12</f>
        <v>-18.53176475550562</v>
      </c>
      <c r="F11" s="23">
        <f>lc_detailed!AF12</f>
        <v>502.99519101863098</v>
      </c>
      <c r="G11" s="23">
        <f>lc_detailed!AG12</f>
        <v>194.2604047945207</v>
      </c>
      <c r="H11" s="23">
        <f>lc_detailed!AH12</f>
        <v>106.85541647640798</v>
      </c>
      <c r="I11" s="23">
        <f>lc_detailed!AI12</f>
        <v>-43.02</v>
      </c>
      <c r="J11" s="23">
        <f>lc_detailed!AK12</f>
        <v>0</v>
      </c>
      <c r="K11" s="23">
        <f>lc_detailed!AL12</f>
        <v>260.16373123642865</v>
      </c>
      <c r="L11" s="23">
        <f>lc_detailed!Y12</f>
        <v>1483.7825405057802</v>
      </c>
      <c r="N11" t="str">
        <v>MIDAT_S-H2in</v>
      </c>
      <c r="O11">
        <v>0</v>
      </c>
      <c r="P11">
        <v>60.900307016670048</v>
      </c>
      <c r="Q11">
        <v>482.36432952000035</v>
      </c>
      <c r="R11">
        <v>-18.531973174865747</v>
      </c>
      <c r="S11">
        <v>502.99519101863098</v>
      </c>
      <c r="T11">
        <v>194.2604047945207</v>
      </c>
      <c r="U11">
        <v>106.85541647640798</v>
      </c>
      <c r="V11">
        <v>-43.02</v>
      </c>
      <c r="W11">
        <v>0</v>
      </c>
      <c r="X11">
        <v>260.16373123642865</v>
      </c>
      <c r="Y11">
        <v>1545.9874068877932</v>
      </c>
    </row>
    <row r="12" spans="1:25" x14ac:dyDescent="0.2">
      <c r="A12" t="str">
        <f>lc_detailed!W13</f>
        <v>CA_S-CC90-H2in</v>
      </c>
      <c r="B12" s="23">
        <f>lc_detailed!AB13</f>
        <v>0</v>
      </c>
      <c r="C12" s="23">
        <f>lc_detailed!AC13</f>
        <v>72.096887228562039</v>
      </c>
      <c r="D12" s="23">
        <f>lc_detailed!AD13</f>
        <v>819.53596305000065</v>
      </c>
      <c r="E12" s="23">
        <f>lc_detailed!AE13</f>
        <v>-18.935202524983769</v>
      </c>
      <c r="F12" s="23">
        <f>lc_detailed!AF13</f>
        <v>502.99519101863086</v>
      </c>
      <c r="G12" s="23">
        <f>lc_detailed!AG13</f>
        <v>214.57391107305949</v>
      </c>
      <c r="H12" s="23">
        <f>lc_detailed!AH13</f>
        <v>117.95601525875196</v>
      </c>
      <c r="I12" s="23">
        <f>lc_detailed!AI13</f>
        <v>-45.26</v>
      </c>
      <c r="J12" s="23">
        <f>lc_detailed!AK13</f>
        <v>0</v>
      </c>
      <c r="K12" s="23">
        <f>lc_detailed!AL13</f>
        <v>208.08428475142878</v>
      </c>
      <c r="L12" s="23">
        <f>lc_detailed!Y13</f>
        <v>1871.04704985545</v>
      </c>
      <c r="N12" t="str">
        <v>SE_S-CC90-H2in</v>
      </c>
      <c r="O12">
        <v>0</v>
      </c>
      <c r="P12">
        <v>75.278783197044035</v>
      </c>
      <c r="Q12">
        <v>495.21695811000035</v>
      </c>
      <c r="R12">
        <v>-18.531190567069757</v>
      </c>
      <c r="S12">
        <v>502.99519101863086</v>
      </c>
      <c r="T12">
        <v>214.57391107305949</v>
      </c>
      <c r="U12">
        <v>117.95601525875196</v>
      </c>
      <c r="V12">
        <v>-45.26</v>
      </c>
      <c r="W12">
        <v>0</v>
      </c>
      <c r="X12">
        <v>208.08428475142878</v>
      </c>
      <c r="Y12">
        <v>1550.3139528418458</v>
      </c>
    </row>
    <row r="13" spans="1:25" x14ac:dyDescent="0.2">
      <c r="A13" t="str">
        <f>lc_detailed!W14</f>
        <v>NW_S-CC90-H2in</v>
      </c>
      <c r="B13" s="23">
        <f>lc_detailed!AB14</f>
        <v>0</v>
      </c>
      <c r="C13" s="23">
        <f>lc_detailed!AC14</f>
        <v>52.929308077947027</v>
      </c>
      <c r="D13" s="23">
        <f>lc_detailed!AD14</f>
        <v>811.51099848000058</v>
      </c>
      <c r="E13" s="23">
        <f>lc_detailed!AE14</f>
        <v>-18.936403351760667</v>
      </c>
      <c r="F13" s="23">
        <f>lc_detailed!AF14</f>
        <v>502.99519101863086</v>
      </c>
      <c r="G13" s="23">
        <f>lc_detailed!AG14</f>
        <v>214.57391107305949</v>
      </c>
      <c r="H13" s="23">
        <f>lc_detailed!AH14</f>
        <v>117.95601525875196</v>
      </c>
      <c r="I13" s="23">
        <f>lc_detailed!AI14</f>
        <v>-45.26</v>
      </c>
      <c r="J13" s="23">
        <f>lc_detailed!AK14</f>
        <v>0</v>
      </c>
      <c r="K13" s="23">
        <f>lc_detailed!AL14</f>
        <v>208.08428475142878</v>
      </c>
      <c r="L13" s="23">
        <f>lc_detailed!Y14</f>
        <v>1843.853305308058</v>
      </c>
      <c r="N13" t="str">
        <v>NCEN_S-CC90-H2in</v>
      </c>
      <c r="O13">
        <v>0</v>
      </c>
      <c r="P13">
        <v>60.686741672550035</v>
      </c>
      <c r="Q13">
        <v>543.52605930000038</v>
      </c>
      <c r="R13">
        <v>-18.531272002448883</v>
      </c>
      <c r="S13">
        <v>502.99519101863086</v>
      </c>
      <c r="T13">
        <v>214.57391107305949</v>
      </c>
      <c r="U13">
        <v>117.95601525875196</v>
      </c>
      <c r="V13">
        <v>-45.26</v>
      </c>
      <c r="W13">
        <v>0</v>
      </c>
      <c r="X13">
        <v>208.08428475142878</v>
      </c>
      <c r="Y13">
        <v>1584.0309310719726</v>
      </c>
    </row>
    <row r="14" spans="1:25" x14ac:dyDescent="0.2">
      <c r="A14" t="str">
        <f>lc_detailed!W15</f>
        <v>SW_S-CC90-H2in</v>
      </c>
      <c r="B14" s="23">
        <f>lc_detailed!AB15</f>
        <v>0</v>
      </c>
      <c r="C14" s="23">
        <f>lc_detailed!AC15</f>
        <v>55.240450433343028</v>
      </c>
      <c r="D14" s="23">
        <f>lc_detailed!AD15</f>
        <v>751.88853757500044</v>
      </c>
      <c r="E14" s="23">
        <f>lc_detailed!AE15</f>
        <v>-18.936280508561651</v>
      </c>
      <c r="F14" s="23">
        <f>lc_detailed!AF15</f>
        <v>502.99519101863086</v>
      </c>
      <c r="G14" s="23">
        <f>lc_detailed!AG15</f>
        <v>214.57391107305949</v>
      </c>
      <c r="H14" s="23">
        <f>lc_detailed!AH15</f>
        <v>117.95601525875196</v>
      </c>
      <c r="I14" s="23">
        <f>lc_detailed!AI15</f>
        <v>-45.26</v>
      </c>
      <c r="J14" s="23">
        <f>lc_detailed!AK15</f>
        <v>0</v>
      </c>
      <c r="K14" s="23">
        <f>lc_detailed!AL15</f>
        <v>208.08428475142878</v>
      </c>
      <c r="L14" s="23">
        <f>lc_detailed!Y15</f>
        <v>1786.5421096016528</v>
      </c>
      <c r="N14" t="str">
        <v>SE_S-H2in</v>
      </c>
      <c r="O14">
        <v>0</v>
      </c>
      <c r="P14">
        <v>59.041261798452041</v>
      </c>
      <c r="Q14">
        <v>524.76878382000041</v>
      </c>
      <c r="R14">
        <v>-18.531190567069771</v>
      </c>
      <c r="S14">
        <v>502.99519101863098</v>
      </c>
      <c r="T14">
        <v>194.2604047945207</v>
      </c>
      <c r="U14">
        <v>106.85541647640798</v>
      </c>
      <c r="V14">
        <v>-43.02</v>
      </c>
      <c r="W14">
        <v>0</v>
      </c>
      <c r="X14">
        <v>260.16373123642865</v>
      </c>
      <c r="Y14">
        <v>1586.5335985773711</v>
      </c>
    </row>
    <row r="15" spans="1:25" x14ac:dyDescent="0.2">
      <c r="A15" t="str">
        <f>lc_detailed!W16</f>
        <v>TX_S-CC90-H2in</v>
      </c>
      <c r="B15" s="23">
        <f>lc_detailed!AB16</f>
        <v>0</v>
      </c>
      <c r="C15" s="23">
        <f>lc_detailed!AC16</f>
        <v>39.86310372653702</v>
      </c>
      <c r="D15" s="23">
        <f>lc_detailed!AD16</f>
        <v>711.15622210500044</v>
      </c>
      <c r="E15" s="23">
        <f>lc_detailed!AE16</f>
        <v>-18.393397764811823</v>
      </c>
      <c r="F15" s="23">
        <f>lc_detailed!AF16</f>
        <v>502.99519101863086</v>
      </c>
      <c r="G15" s="23">
        <f>lc_detailed!AG16</f>
        <v>214.57391107305949</v>
      </c>
      <c r="H15" s="23">
        <f>lc_detailed!AH16</f>
        <v>117.95601525875196</v>
      </c>
      <c r="I15" s="23">
        <f>lc_detailed!AI16</f>
        <v>-45.26</v>
      </c>
      <c r="J15" s="23">
        <f>lc_detailed!AK16</f>
        <v>0</v>
      </c>
      <c r="K15" s="23">
        <f>lc_detailed!AL16</f>
        <v>208.08428475142878</v>
      </c>
      <c r="L15" s="23">
        <f>lc_detailed!Y16</f>
        <v>1730.9753301685967</v>
      </c>
      <c r="N15" t="str">
        <v>NCEN_S-H2in</v>
      </c>
      <c r="O15">
        <v>0</v>
      </c>
      <c r="P15">
        <v>47.596701894150044</v>
      </c>
      <c r="Q15">
        <v>575.96070660000044</v>
      </c>
      <c r="R15">
        <v>-18.531272002448894</v>
      </c>
      <c r="S15">
        <v>502.99519101863098</v>
      </c>
      <c r="T15">
        <v>194.2604047945207</v>
      </c>
      <c r="U15">
        <v>106.85541647640798</v>
      </c>
      <c r="V15">
        <v>-43.02</v>
      </c>
      <c r="W15">
        <v>0</v>
      </c>
      <c r="X15">
        <v>260.16373123642865</v>
      </c>
      <c r="Y15">
        <v>1626.2808800176897</v>
      </c>
    </row>
    <row r="16" spans="1:25" x14ac:dyDescent="0.2">
      <c r="A16" t="str">
        <f>lc_detailed!W17</f>
        <v>NCEN_S-CC90-H2in</v>
      </c>
      <c r="B16" s="23">
        <f>lc_detailed!AB17</f>
        <v>0</v>
      </c>
      <c r="C16" s="23">
        <f>lc_detailed!AC17</f>
        <v>60.686741672550035</v>
      </c>
      <c r="D16" s="23">
        <f>lc_detailed!AD17</f>
        <v>543.52605930000038</v>
      </c>
      <c r="E16" s="23">
        <f>lc_detailed!AE17</f>
        <v>-18.531272002448883</v>
      </c>
      <c r="F16" s="23">
        <f>lc_detailed!AF17</f>
        <v>502.99519101863086</v>
      </c>
      <c r="G16" s="23">
        <f>lc_detailed!AG17</f>
        <v>214.57391107305949</v>
      </c>
      <c r="H16" s="23">
        <f>lc_detailed!AH17</f>
        <v>117.95601525875196</v>
      </c>
      <c r="I16" s="23">
        <f>lc_detailed!AI17</f>
        <v>-45.26</v>
      </c>
      <c r="J16" s="23">
        <f>lc_detailed!AK17</f>
        <v>0</v>
      </c>
      <c r="K16" s="23">
        <f>lc_detailed!AL17</f>
        <v>208.08428475142878</v>
      </c>
      <c r="L16" s="23">
        <f>lc_detailed!Y17</f>
        <v>1584.0309310719726</v>
      </c>
      <c r="N16" t="str">
        <v>CEN_S-CC90-H2in</v>
      </c>
      <c r="O16">
        <v>0</v>
      </c>
      <c r="P16">
        <v>49.630181825826028</v>
      </c>
      <c r="Q16">
        <v>626.59571467500041</v>
      </c>
      <c r="R16">
        <v>-18.531198848633739</v>
      </c>
      <c r="S16">
        <v>502.99519101863086</v>
      </c>
      <c r="T16">
        <v>214.57391107305949</v>
      </c>
      <c r="U16">
        <v>117.95601525875196</v>
      </c>
      <c r="V16">
        <v>-45.26</v>
      </c>
      <c r="W16">
        <v>0</v>
      </c>
      <c r="X16">
        <v>208.08428475142878</v>
      </c>
      <c r="Y16">
        <v>1656.0440997540638</v>
      </c>
    </row>
    <row r="17" spans="1:25" x14ac:dyDescent="0.2">
      <c r="A17" t="str">
        <f>lc_detailed!W18</f>
        <v>CEN_S-CC90-H2in</v>
      </c>
      <c r="B17" s="23">
        <f>lc_detailed!AB18</f>
        <v>0</v>
      </c>
      <c r="C17" s="23">
        <f>lc_detailed!AC18</f>
        <v>49.630181825826028</v>
      </c>
      <c r="D17" s="23">
        <f>lc_detailed!AD18</f>
        <v>626.59571467500041</v>
      </c>
      <c r="E17" s="23">
        <f>lc_detailed!AE18</f>
        <v>-18.531198848633739</v>
      </c>
      <c r="F17" s="23">
        <f>lc_detailed!AF18</f>
        <v>502.99519101863086</v>
      </c>
      <c r="G17" s="23">
        <f>lc_detailed!AG18</f>
        <v>214.57391107305949</v>
      </c>
      <c r="H17" s="23">
        <f>lc_detailed!AH18</f>
        <v>117.95601525875196</v>
      </c>
      <c r="I17" s="23">
        <f>lc_detailed!AI18</f>
        <v>-45.26</v>
      </c>
      <c r="J17" s="23">
        <f>lc_detailed!AK18</f>
        <v>0</v>
      </c>
      <c r="K17" s="23">
        <f>lc_detailed!AL18</f>
        <v>208.08428475142878</v>
      </c>
      <c r="L17" s="23">
        <f>lc_detailed!Y18</f>
        <v>1656.0440997540638</v>
      </c>
      <c r="N17" t="str">
        <v>CEN_S-H2in</v>
      </c>
      <c r="O17">
        <v>0</v>
      </c>
      <c r="P17">
        <v>38.925025536258033</v>
      </c>
      <c r="Q17">
        <v>663.98750235000057</v>
      </c>
      <c r="R17">
        <v>-18.53119884863375</v>
      </c>
      <c r="S17">
        <v>502.99519101863098</v>
      </c>
      <c r="T17">
        <v>194.2604047945207</v>
      </c>
      <c r="U17">
        <v>106.85541647640798</v>
      </c>
      <c r="V17">
        <v>-43.02</v>
      </c>
      <c r="W17">
        <v>0</v>
      </c>
      <c r="X17">
        <v>260.16373123642865</v>
      </c>
      <c r="Y17">
        <v>1705.6360725636134</v>
      </c>
    </row>
    <row r="18" spans="1:25" x14ac:dyDescent="0.2">
      <c r="A18" t="str">
        <f>lc_detailed!W19</f>
        <v>SE_S-CC90-H2in</v>
      </c>
      <c r="B18" s="23">
        <f>lc_detailed!AB19</f>
        <v>0</v>
      </c>
      <c r="C18" s="23">
        <f>lc_detailed!AC19</f>
        <v>75.278783197044035</v>
      </c>
      <c r="D18" s="23">
        <f>lc_detailed!AD19</f>
        <v>495.21695811000035</v>
      </c>
      <c r="E18" s="23">
        <f>lc_detailed!AE19</f>
        <v>-18.531190567069757</v>
      </c>
      <c r="F18" s="23">
        <f>lc_detailed!AF19</f>
        <v>502.99519101863086</v>
      </c>
      <c r="G18" s="23">
        <f>lc_detailed!AG19</f>
        <v>214.57391107305949</v>
      </c>
      <c r="H18" s="23">
        <f>lc_detailed!AH19</f>
        <v>117.95601525875196</v>
      </c>
      <c r="I18" s="23">
        <f>lc_detailed!AI19</f>
        <v>-45.26</v>
      </c>
      <c r="J18" s="23">
        <f>lc_detailed!AK19</f>
        <v>0</v>
      </c>
      <c r="K18" s="23">
        <f>lc_detailed!AL19</f>
        <v>208.08428475142878</v>
      </c>
      <c r="L18" s="23">
        <f>lc_detailed!Y19</f>
        <v>1550.3139528418458</v>
      </c>
      <c r="N18" t="str">
        <v>TX_S-CC90-H2in</v>
      </c>
      <c r="O18">
        <v>0</v>
      </c>
      <c r="P18">
        <v>39.86310372653702</v>
      </c>
      <c r="Q18">
        <v>711.15622210500044</v>
      </c>
      <c r="R18">
        <v>-18.393397764811823</v>
      </c>
      <c r="S18">
        <v>502.99519101863086</v>
      </c>
      <c r="T18">
        <v>214.57391107305949</v>
      </c>
      <c r="U18">
        <v>117.95601525875196</v>
      </c>
      <c r="V18">
        <v>-45.26</v>
      </c>
      <c r="W18">
        <v>0</v>
      </c>
      <c r="X18">
        <v>208.08428475142878</v>
      </c>
      <c r="Y18">
        <v>1730.9753301685967</v>
      </c>
    </row>
    <row r="19" spans="1:25" x14ac:dyDescent="0.2">
      <c r="A19" t="str">
        <f>lc_detailed!W20</f>
        <v>MIDAT_S-CC90-H2in</v>
      </c>
      <c r="B19" s="23">
        <f>lc_detailed!AB20</f>
        <v>0</v>
      </c>
      <c r="C19" s="23">
        <f>lc_detailed!AC20</f>
        <v>77.649102828990038</v>
      </c>
      <c r="D19" s="23">
        <f>lc_detailed!AD20</f>
        <v>455.20046796000031</v>
      </c>
      <c r="E19" s="23">
        <f>lc_detailed!AE20</f>
        <v>-18.531973174865737</v>
      </c>
      <c r="F19" s="23">
        <f>lc_detailed!AF20</f>
        <v>502.99519101863086</v>
      </c>
      <c r="G19" s="23">
        <f>lc_detailed!AG20</f>
        <v>214.57391107305949</v>
      </c>
      <c r="H19" s="23">
        <f>lc_detailed!AH20</f>
        <v>117.95601525875196</v>
      </c>
      <c r="I19" s="23">
        <f>lc_detailed!AI20</f>
        <v>-45.26</v>
      </c>
      <c r="J19" s="23">
        <f>lc_detailed!AK20</f>
        <v>0</v>
      </c>
      <c r="K19" s="23">
        <f>lc_detailed!AL20</f>
        <v>208.08428475142878</v>
      </c>
      <c r="L19" s="23">
        <f>lc_detailed!Y20</f>
        <v>1512.6669997159959</v>
      </c>
      <c r="N19" t="str">
        <v>SW_S-CC90-H2in</v>
      </c>
      <c r="O19">
        <v>0</v>
      </c>
      <c r="P19">
        <v>55.240450433343028</v>
      </c>
      <c r="Q19">
        <v>751.88853757500044</v>
      </c>
      <c r="R19">
        <v>-18.936280508561651</v>
      </c>
      <c r="S19">
        <v>502.99519101863086</v>
      </c>
      <c r="T19">
        <v>214.57391107305949</v>
      </c>
      <c r="U19">
        <v>117.95601525875196</v>
      </c>
      <c r="V19">
        <v>-45.26</v>
      </c>
      <c r="W19">
        <v>0</v>
      </c>
      <c r="X19">
        <v>208.08428475142878</v>
      </c>
      <c r="Y19">
        <v>1786.5421096016528</v>
      </c>
    </row>
    <row r="20" spans="1:25" x14ac:dyDescent="0.2">
      <c r="A20" t="str">
        <f>lc_detailed!W21</f>
        <v>NE_S-CC90-H2in</v>
      </c>
      <c r="B20" s="23">
        <f>lc_detailed!AB21</f>
        <v>0</v>
      </c>
      <c r="C20" s="23">
        <f>lc_detailed!AC21</f>
        <v>93.587155713009039</v>
      </c>
      <c r="D20" s="23">
        <f>lc_detailed!AD21</f>
        <v>384.70210905000027</v>
      </c>
      <c r="E20" s="23">
        <f>lc_detailed!AE21</f>
        <v>-18.531764755505609</v>
      </c>
      <c r="F20" s="23">
        <f>lc_detailed!AF21</f>
        <v>502.99519101863086</v>
      </c>
      <c r="G20" s="23">
        <f>lc_detailed!AG21</f>
        <v>214.57391107305949</v>
      </c>
      <c r="H20" s="23">
        <f>lc_detailed!AH21</f>
        <v>117.95601525875196</v>
      </c>
      <c r="I20" s="23">
        <f>lc_detailed!AI21</f>
        <v>-45.26</v>
      </c>
      <c r="J20" s="23">
        <f>lc_detailed!AK21</f>
        <v>0</v>
      </c>
      <c r="K20" s="23">
        <f>lc_detailed!AL21</f>
        <v>208.08428475142878</v>
      </c>
      <c r="L20" s="23">
        <f>lc_detailed!Y21</f>
        <v>1458.1069021093749</v>
      </c>
      <c r="N20" t="str">
        <v>TX_S-H2in</v>
      </c>
      <c r="O20">
        <v>0</v>
      </c>
      <c r="P20">
        <v>31.264691633721029</v>
      </c>
      <c r="Q20">
        <v>753.59411601000056</v>
      </c>
      <c r="R20">
        <v>-18.393397764811834</v>
      </c>
      <c r="S20">
        <v>502.99519101863098</v>
      </c>
      <c r="T20">
        <v>194.2604047945207</v>
      </c>
      <c r="U20">
        <v>106.85541647640798</v>
      </c>
      <c r="V20">
        <v>-43.02</v>
      </c>
      <c r="W20">
        <v>0</v>
      </c>
      <c r="X20">
        <v>260.16373123642865</v>
      </c>
      <c r="Y20">
        <v>1787.7201534048979</v>
      </c>
    </row>
    <row r="21" spans="1:25" x14ac:dyDescent="0.2">
      <c r="A21">
        <f>lc_detailed!W22</f>
        <v>0</v>
      </c>
      <c r="B21" s="23" t="e">
        <f>lc_detailed!AB22</f>
        <v>#DIV/0!</v>
      </c>
      <c r="C21" s="23" t="e">
        <f>lc_detailed!AC22</f>
        <v>#DIV/0!</v>
      </c>
      <c r="D21" s="23" t="e">
        <f>lc_detailed!AD22</f>
        <v>#DIV/0!</v>
      </c>
      <c r="E21" s="23" t="e">
        <f>lc_detailed!AE22</f>
        <v>#DIV/0!</v>
      </c>
      <c r="F21" s="23" t="e">
        <f>lc_detailed!AF22</f>
        <v>#DIV/0!</v>
      </c>
      <c r="G21" s="23" t="e">
        <f>lc_detailed!AG22</f>
        <v>#DIV/0!</v>
      </c>
      <c r="H21" s="23" t="e">
        <f>lc_detailed!AH22</f>
        <v>#DIV/0!</v>
      </c>
      <c r="I21" s="23">
        <f>lc_detailed!AI22</f>
        <v>0</v>
      </c>
      <c r="J21" s="23">
        <f>lc_detailed!AK22</f>
        <v>0</v>
      </c>
      <c r="K21" s="23" t="e">
        <f>lc_detailed!AL22</f>
        <v>#DIV/0!</v>
      </c>
      <c r="L21" s="23" t="e">
        <f>lc_detailed!Y22</f>
        <v>#DIV/0!</v>
      </c>
      <c r="N21" t="str">
        <v>SW_S-H2in</v>
      </c>
      <c r="O21">
        <v>0</v>
      </c>
      <c r="P21">
        <v>43.325167562319038</v>
      </c>
      <c r="Q21">
        <v>796.75711215000058</v>
      </c>
      <c r="R21">
        <v>-18.936280508561662</v>
      </c>
      <c r="S21">
        <v>502.99519101863098</v>
      </c>
      <c r="T21">
        <v>194.2604047945207</v>
      </c>
      <c r="U21">
        <v>106.85541647640798</v>
      </c>
      <c r="V21">
        <v>-43.02</v>
      </c>
      <c r="W21">
        <v>0</v>
      </c>
      <c r="X21">
        <v>260.16373123642865</v>
      </c>
      <c r="Y21">
        <v>1842.4007427297463</v>
      </c>
    </row>
    <row r="22" spans="1:25" x14ac:dyDescent="0.2">
      <c r="A22">
        <f>lc_detailed!W23</f>
        <v>0</v>
      </c>
      <c r="B22" s="23" t="e">
        <f>lc_detailed!AB23</f>
        <v>#DIV/0!</v>
      </c>
      <c r="C22" s="23" t="e">
        <f>lc_detailed!AC23</f>
        <v>#DIV/0!</v>
      </c>
      <c r="D22" s="23" t="e">
        <f>lc_detailed!AD23</f>
        <v>#DIV/0!</v>
      </c>
      <c r="E22" s="23" t="e">
        <f>lc_detailed!AE23</f>
        <v>#DIV/0!</v>
      </c>
      <c r="F22" s="23" t="e">
        <f>lc_detailed!AF23</f>
        <v>#DIV/0!</v>
      </c>
      <c r="G22" s="23" t="e">
        <f>lc_detailed!AG23</f>
        <v>#DIV/0!</v>
      </c>
      <c r="H22" s="23" t="e">
        <f>lc_detailed!AH23</f>
        <v>#DIV/0!</v>
      </c>
      <c r="I22" s="23">
        <f>lc_detailed!AI23</f>
        <v>0</v>
      </c>
      <c r="J22" s="23">
        <f>lc_detailed!AK23</f>
        <v>0</v>
      </c>
      <c r="K22" s="23" t="e">
        <f>lc_detailed!AL23</f>
        <v>#DIV/0!</v>
      </c>
      <c r="L22" s="23" t="e">
        <f>lc_detailed!Y23</f>
        <v>#DIV/0!</v>
      </c>
      <c r="N22" t="str">
        <v>NW_S-CC90-H2in</v>
      </c>
      <c r="O22">
        <v>0</v>
      </c>
      <c r="P22">
        <v>52.929308077947027</v>
      </c>
      <c r="Q22">
        <v>811.51099848000058</v>
      </c>
      <c r="R22">
        <v>-18.936403351760667</v>
      </c>
      <c r="S22">
        <v>502.99519101863086</v>
      </c>
      <c r="T22">
        <v>214.57391107305949</v>
      </c>
      <c r="U22">
        <v>117.95601525875196</v>
      </c>
      <c r="V22">
        <v>-45.26</v>
      </c>
      <c r="W22">
        <v>0</v>
      </c>
      <c r="X22">
        <v>208.08428475142878</v>
      </c>
      <c r="Y22">
        <v>1843.853305308058</v>
      </c>
    </row>
    <row r="23" spans="1:25" x14ac:dyDescent="0.2">
      <c r="A23">
        <f>lc_detailed!W24</f>
        <v>0</v>
      </c>
      <c r="B23" s="23" t="e">
        <f>lc_detailed!AB24</f>
        <v>#DIV/0!</v>
      </c>
      <c r="C23" s="23" t="e">
        <f>lc_detailed!AC24</f>
        <v>#DIV/0!</v>
      </c>
      <c r="D23" s="23" t="e">
        <f>lc_detailed!AD24</f>
        <v>#DIV/0!</v>
      </c>
      <c r="E23" s="23" t="e">
        <f>lc_detailed!AE24</f>
        <v>#DIV/0!</v>
      </c>
      <c r="F23" s="23" t="e">
        <f>lc_detailed!AF24</f>
        <v>#DIV/0!</v>
      </c>
      <c r="G23" s="23" t="e">
        <f>lc_detailed!AG24</f>
        <v>#DIV/0!</v>
      </c>
      <c r="H23" s="23" t="e">
        <f>lc_detailed!AH24</f>
        <v>#DIV/0!</v>
      </c>
      <c r="I23" s="23">
        <f>lc_detailed!AI24</f>
        <v>0</v>
      </c>
      <c r="J23" s="23">
        <f>lc_detailed!AK24</f>
        <v>0</v>
      </c>
      <c r="K23" s="23" t="e">
        <f>lc_detailed!AL24</f>
        <v>#DIV/0!</v>
      </c>
      <c r="L23" s="23" t="e">
        <f>lc_detailed!Y24</f>
        <v>#DIV/0!</v>
      </c>
      <c r="N23" t="str">
        <v>CA_S-CC90-H2in</v>
      </c>
      <c r="O23">
        <v>0</v>
      </c>
      <c r="P23">
        <v>72.096887228562039</v>
      </c>
      <c r="Q23">
        <v>819.53596305000065</v>
      </c>
      <c r="R23">
        <v>-18.935202524983769</v>
      </c>
      <c r="S23">
        <v>502.99519101863086</v>
      </c>
      <c r="T23">
        <v>214.57391107305949</v>
      </c>
      <c r="U23">
        <v>117.95601525875196</v>
      </c>
      <c r="V23">
        <v>-45.26</v>
      </c>
      <c r="W23">
        <v>0</v>
      </c>
      <c r="X23">
        <v>208.08428475142878</v>
      </c>
      <c r="Y23">
        <v>1871.04704985545</v>
      </c>
    </row>
    <row r="24" spans="1:25" x14ac:dyDescent="0.2">
      <c r="A24">
        <f>lc_detailed!W25</f>
        <v>0</v>
      </c>
      <c r="B24" s="23" t="e">
        <f>lc_detailed!AB25</f>
        <v>#DIV/0!</v>
      </c>
      <c r="C24" s="23" t="e">
        <f>lc_detailed!AC25</f>
        <v>#DIV/0!</v>
      </c>
      <c r="D24" s="23" t="e">
        <f>lc_detailed!AD25</f>
        <v>#DIV/0!</v>
      </c>
      <c r="E24" s="23" t="e">
        <f>lc_detailed!AE25</f>
        <v>#DIV/0!</v>
      </c>
      <c r="F24" s="23" t="e">
        <f>lc_detailed!AF25</f>
        <v>#DIV/0!</v>
      </c>
      <c r="G24" s="23" t="e">
        <f>lc_detailed!AG25</f>
        <v>#DIV/0!</v>
      </c>
      <c r="H24" s="23" t="e">
        <f>lc_detailed!AH25</f>
        <v>#DIV/0!</v>
      </c>
      <c r="I24" s="23">
        <f>lc_detailed!AI25</f>
        <v>0</v>
      </c>
      <c r="J24" s="23">
        <f>lc_detailed!AK25</f>
        <v>0</v>
      </c>
      <c r="K24" s="23" t="e">
        <f>lc_detailed!AL25</f>
        <v>#DIV/0!</v>
      </c>
      <c r="L24" s="23" t="e">
        <f>lc_detailed!Y25</f>
        <v>#DIV/0!</v>
      </c>
      <c r="N24" t="str">
        <v>NW_S-H2in</v>
      </c>
      <c r="O24">
        <v>0</v>
      </c>
      <c r="P24">
        <v>41.512535170251034</v>
      </c>
      <c r="Q24">
        <v>859.93751376000057</v>
      </c>
      <c r="R24">
        <v>-18.936403351760681</v>
      </c>
      <c r="S24">
        <v>502.99519101863098</v>
      </c>
      <c r="T24">
        <v>194.2604047945207</v>
      </c>
      <c r="U24">
        <v>106.85541647640798</v>
      </c>
      <c r="V24">
        <v>-43.02</v>
      </c>
      <c r="W24">
        <v>0</v>
      </c>
      <c r="X24">
        <v>260.16373123642865</v>
      </c>
      <c r="Y24">
        <v>1903.7683891044792</v>
      </c>
    </row>
    <row r="25" spans="1:25" x14ac:dyDescent="0.2">
      <c r="A25">
        <f>lc_detailed!W26</f>
        <v>0</v>
      </c>
      <c r="B25" s="23" t="e">
        <f>lc_detailed!AB26</f>
        <v>#DIV/0!</v>
      </c>
      <c r="C25" s="23" t="e">
        <f>lc_detailed!AC26</f>
        <v>#DIV/0!</v>
      </c>
      <c r="D25" s="23" t="e">
        <f>lc_detailed!AD26</f>
        <v>#DIV/0!</v>
      </c>
      <c r="E25" s="23" t="e">
        <f>lc_detailed!AE26</f>
        <v>#DIV/0!</v>
      </c>
      <c r="F25" s="23" t="e">
        <f>lc_detailed!AF26</f>
        <v>#DIV/0!</v>
      </c>
      <c r="G25" s="23" t="e">
        <f>lc_detailed!AG26</f>
        <v>#DIV/0!</v>
      </c>
      <c r="H25" s="23" t="e">
        <f>lc_detailed!AH26</f>
        <v>#DIV/0!</v>
      </c>
      <c r="I25" s="23">
        <f>lc_detailed!AI26</f>
        <v>0</v>
      </c>
      <c r="J25" s="23">
        <f>lc_detailed!AK26</f>
        <v>0</v>
      </c>
      <c r="K25" s="23" t="e">
        <f>lc_detailed!AL26</f>
        <v>#DIV/0!</v>
      </c>
      <c r="L25" s="23" t="e">
        <f>lc_detailed!Y26</f>
        <v>#DIV/0!</v>
      </c>
      <c r="N25" t="str">
        <v>CA_S-H2in</v>
      </c>
      <c r="O25">
        <v>0</v>
      </c>
      <c r="P25">
        <v>56.545696050546049</v>
      </c>
      <c r="Q25">
        <v>868.44136410000067</v>
      </c>
      <c r="R25">
        <v>-18.935202524983783</v>
      </c>
      <c r="S25">
        <v>502.99519101863098</v>
      </c>
      <c r="T25">
        <v>194.2604047945207</v>
      </c>
      <c r="U25">
        <v>106.85541647640798</v>
      </c>
      <c r="V25">
        <v>-43.02</v>
      </c>
      <c r="W25">
        <v>0</v>
      </c>
      <c r="X25">
        <v>260.16373123642865</v>
      </c>
      <c r="Y25">
        <v>1927.3066011515514</v>
      </c>
    </row>
    <row r="26" spans="1:25" x14ac:dyDescent="0.2">
      <c r="A26">
        <f>lc_detailed!W27</f>
        <v>0</v>
      </c>
      <c r="B26" s="23" t="e">
        <f>lc_detailed!AB27</f>
        <v>#DIV/0!</v>
      </c>
      <c r="C26" s="23" t="e">
        <f>lc_detailed!AC27</f>
        <v>#DIV/0!</v>
      </c>
      <c r="D26" s="23" t="e">
        <f>lc_detailed!AD27</f>
        <v>#DIV/0!</v>
      </c>
      <c r="E26" s="23" t="e">
        <f>lc_detailed!AE27</f>
        <v>#DIV/0!</v>
      </c>
      <c r="F26" s="23" t="e">
        <f>lc_detailed!AF27</f>
        <v>#DIV/0!</v>
      </c>
      <c r="G26" s="23" t="e">
        <f>lc_detailed!AG27</f>
        <v>#DIV/0!</v>
      </c>
      <c r="H26" s="23" t="e">
        <f>lc_detailed!AH27</f>
        <v>#DIV/0!</v>
      </c>
      <c r="I26" s="23">
        <f>lc_detailed!AI27</f>
        <v>0</v>
      </c>
      <c r="J26" s="23">
        <f>lc_detailed!AK27</f>
        <v>0</v>
      </c>
      <c r="K26" s="23" t="e">
        <f>lc_detailed!AL27</f>
        <v>#DIV/0!</v>
      </c>
      <c r="L26" s="23" t="e">
        <f>lc_detailed!Y27</f>
        <v>#DIV/0!</v>
      </c>
      <c r="N26">
        <v>0</v>
      </c>
      <c r="O26" t="e">
        <v>#DIV/0!</v>
      </c>
      <c r="P26" t="e">
        <v>#DIV/0!</v>
      </c>
      <c r="Q26" t="e">
        <v>#DIV/0!</v>
      </c>
      <c r="R26" t="e">
        <v>#DIV/0!</v>
      </c>
      <c r="S26" t="e">
        <v>#DIV/0!</v>
      </c>
      <c r="T26" t="e">
        <v>#DIV/0!</v>
      </c>
      <c r="U26" t="e">
        <v>#DIV/0!</v>
      </c>
      <c r="V26">
        <v>0</v>
      </c>
      <c r="W26">
        <v>0</v>
      </c>
      <c r="X26" t="e">
        <v>#DIV/0!</v>
      </c>
      <c r="Y26" t="e">
        <v>#DIV/0!</v>
      </c>
    </row>
    <row r="27" spans="1:25" x14ac:dyDescent="0.2">
      <c r="A27">
        <f>lc_detailed!W28</f>
        <v>0</v>
      </c>
      <c r="B27" s="23" t="e">
        <f>lc_detailed!AB28</f>
        <v>#DIV/0!</v>
      </c>
      <c r="C27" s="23" t="e">
        <f>lc_detailed!AC28</f>
        <v>#DIV/0!</v>
      </c>
      <c r="D27" s="23" t="e">
        <f>lc_detailed!AD28</f>
        <v>#DIV/0!</v>
      </c>
      <c r="E27" s="23" t="e">
        <f>lc_detailed!AE28</f>
        <v>#DIV/0!</v>
      </c>
      <c r="F27" s="23" t="e">
        <f>lc_detailed!AF28</f>
        <v>#DIV/0!</v>
      </c>
      <c r="G27" s="23" t="e">
        <f>lc_detailed!AG28</f>
        <v>#DIV/0!</v>
      </c>
      <c r="H27" s="23" t="e">
        <f>lc_detailed!AH28</f>
        <v>#DIV/0!</v>
      </c>
      <c r="I27" s="23">
        <f>lc_detailed!AI28</f>
        <v>0</v>
      </c>
      <c r="J27" s="23">
        <f>lc_detailed!AK28</f>
        <v>0</v>
      </c>
      <c r="K27" s="23" t="e">
        <f>lc_detailed!AL28</f>
        <v>#DIV/0!</v>
      </c>
      <c r="L27" s="23" t="e">
        <f>lc_detailed!Y28</f>
        <v>#DIV/0!</v>
      </c>
      <c r="N27">
        <v>0</v>
      </c>
      <c r="O27" t="e">
        <v>#DIV/0!</v>
      </c>
      <c r="P27" t="e">
        <v>#DIV/0!</v>
      </c>
      <c r="Q27" t="e">
        <v>#DIV/0!</v>
      </c>
      <c r="R27" t="e">
        <v>#DIV/0!</v>
      </c>
      <c r="S27" t="e">
        <v>#DIV/0!</v>
      </c>
      <c r="T27" t="e">
        <v>#DIV/0!</v>
      </c>
      <c r="U27" t="e">
        <v>#DIV/0!</v>
      </c>
      <c r="V27">
        <v>0</v>
      </c>
      <c r="W27">
        <v>0</v>
      </c>
      <c r="X27" t="e">
        <v>#DIV/0!</v>
      </c>
      <c r="Y27" t="e">
        <v>#DIV/0!</v>
      </c>
    </row>
    <row r="28" spans="1:25" x14ac:dyDescent="0.2">
      <c r="A28">
        <f>lc_detailed!W29</f>
        <v>0</v>
      </c>
      <c r="B28" s="23" t="e">
        <f>lc_detailed!AB29</f>
        <v>#DIV/0!</v>
      </c>
      <c r="C28" s="23" t="e">
        <f>lc_detailed!AC29</f>
        <v>#DIV/0!</v>
      </c>
      <c r="D28" s="23" t="e">
        <f>lc_detailed!AD29</f>
        <v>#DIV/0!</v>
      </c>
      <c r="E28" s="23" t="e">
        <f>lc_detailed!AE29</f>
        <v>#DIV/0!</v>
      </c>
      <c r="F28" s="23" t="e">
        <f>lc_detailed!AF29</f>
        <v>#DIV/0!</v>
      </c>
      <c r="G28" s="23" t="e">
        <f>lc_detailed!AG29</f>
        <v>#DIV/0!</v>
      </c>
      <c r="H28" s="23" t="e">
        <f>lc_detailed!AH29</f>
        <v>#DIV/0!</v>
      </c>
      <c r="I28" s="23">
        <f>lc_detailed!AI29</f>
        <v>0</v>
      </c>
      <c r="J28" s="23">
        <f>lc_detailed!AK29</f>
        <v>0</v>
      </c>
      <c r="K28" s="23" t="e">
        <f>lc_detailed!AL29</f>
        <v>#DIV/0!</v>
      </c>
      <c r="L28" s="23" t="e">
        <f>lc_detailed!Y29</f>
        <v>#DIV/0!</v>
      </c>
      <c r="N28">
        <v>0</v>
      </c>
      <c r="O28" t="e">
        <v>#DIV/0!</v>
      </c>
      <c r="P28" t="e">
        <v>#DIV/0!</v>
      </c>
      <c r="Q28" t="e">
        <v>#DIV/0!</v>
      </c>
      <c r="R28" t="e">
        <v>#DIV/0!</v>
      </c>
      <c r="S28" t="e">
        <v>#DIV/0!</v>
      </c>
      <c r="T28" t="e">
        <v>#DIV/0!</v>
      </c>
      <c r="U28" t="e">
        <v>#DIV/0!</v>
      </c>
      <c r="V28">
        <v>0</v>
      </c>
      <c r="W28">
        <v>0</v>
      </c>
      <c r="X28" t="e">
        <v>#DIV/0!</v>
      </c>
      <c r="Y28" t="e">
        <v>#DIV/0!</v>
      </c>
    </row>
    <row r="29" spans="1:25" x14ac:dyDescent="0.2">
      <c r="A29">
        <f>lc_detailed!W30</f>
        <v>0</v>
      </c>
      <c r="B29" s="23" t="e">
        <f>lc_detailed!AB30</f>
        <v>#DIV/0!</v>
      </c>
      <c r="C29" s="23" t="e">
        <f>lc_detailed!AC30</f>
        <v>#DIV/0!</v>
      </c>
      <c r="D29" s="23" t="e">
        <f>lc_detailed!AD30</f>
        <v>#DIV/0!</v>
      </c>
      <c r="E29" s="23" t="e">
        <f>lc_detailed!AE30</f>
        <v>#DIV/0!</v>
      </c>
      <c r="F29" s="23" t="e">
        <f>lc_detailed!AF30</f>
        <v>#DIV/0!</v>
      </c>
      <c r="G29" s="23" t="e">
        <f>lc_detailed!AG30</f>
        <v>#DIV/0!</v>
      </c>
      <c r="H29" s="23" t="e">
        <f>lc_detailed!AH30</f>
        <v>#DIV/0!</v>
      </c>
      <c r="I29" s="23">
        <f>lc_detailed!AI30</f>
        <v>0</v>
      </c>
      <c r="J29" s="23">
        <f>lc_detailed!AK30</f>
        <v>0</v>
      </c>
      <c r="K29" s="23" t="e">
        <f>lc_detailed!AL30</f>
        <v>#DIV/0!</v>
      </c>
      <c r="L29" s="23" t="e">
        <f>lc_detailed!Y30</f>
        <v>#DIV/0!</v>
      </c>
      <c r="N29">
        <v>0</v>
      </c>
      <c r="O29" t="e">
        <v>#DIV/0!</v>
      </c>
      <c r="P29" t="e">
        <v>#DIV/0!</v>
      </c>
      <c r="Q29" t="e">
        <v>#DIV/0!</v>
      </c>
      <c r="R29" t="e">
        <v>#DIV/0!</v>
      </c>
      <c r="S29" t="e">
        <v>#DIV/0!</v>
      </c>
      <c r="T29" t="e">
        <v>#DIV/0!</v>
      </c>
      <c r="U29" t="e">
        <v>#DIV/0!</v>
      </c>
      <c r="V29">
        <v>0</v>
      </c>
      <c r="W29">
        <v>0</v>
      </c>
      <c r="X29" t="e">
        <v>#DIV/0!</v>
      </c>
      <c r="Y29" t="e">
        <v>#DIV/0!</v>
      </c>
    </row>
    <row r="30" spans="1:25" x14ac:dyDescent="0.2">
      <c r="A30">
        <f>lc_detailed!W31</f>
        <v>0</v>
      </c>
      <c r="B30" s="23" t="e">
        <f>lc_detailed!AB31</f>
        <v>#DIV/0!</v>
      </c>
      <c r="C30" s="23" t="e">
        <f>lc_detailed!AC31</f>
        <v>#DIV/0!</v>
      </c>
      <c r="D30" s="23" t="e">
        <f>lc_detailed!AD31</f>
        <v>#DIV/0!</v>
      </c>
      <c r="E30" s="23" t="e">
        <f>lc_detailed!AE31</f>
        <v>#DIV/0!</v>
      </c>
      <c r="F30" s="23" t="e">
        <f>lc_detailed!AF31</f>
        <v>#DIV/0!</v>
      </c>
      <c r="G30" s="23" t="e">
        <f>lc_detailed!AG31</f>
        <v>#DIV/0!</v>
      </c>
      <c r="H30" s="23" t="e">
        <f>lc_detailed!AH31</f>
        <v>#DIV/0!</v>
      </c>
      <c r="I30" s="23">
        <f>lc_detailed!AI31</f>
        <v>0</v>
      </c>
      <c r="J30" s="23">
        <f>lc_detailed!AK31</f>
        <v>0</v>
      </c>
      <c r="K30" s="23" t="e">
        <f>lc_detailed!AL31</f>
        <v>#DIV/0!</v>
      </c>
      <c r="L30" s="23" t="e">
        <f>lc_detailed!Y31</f>
        <v>#DIV/0!</v>
      </c>
      <c r="N30">
        <v>0</v>
      </c>
      <c r="O30" t="e">
        <v>#DIV/0!</v>
      </c>
      <c r="P30" t="e">
        <v>#DIV/0!</v>
      </c>
      <c r="Q30" t="e">
        <v>#DIV/0!</v>
      </c>
      <c r="R30" t="e">
        <v>#DIV/0!</v>
      </c>
      <c r="S30" t="e">
        <v>#DIV/0!</v>
      </c>
      <c r="T30" t="e">
        <v>#DIV/0!</v>
      </c>
      <c r="U30" t="e">
        <v>#DIV/0!</v>
      </c>
      <c r="V30">
        <v>0</v>
      </c>
      <c r="W30">
        <v>0</v>
      </c>
      <c r="X30" t="e">
        <v>#DIV/0!</v>
      </c>
      <c r="Y30" t="e">
        <v>#DIV/0!</v>
      </c>
    </row>
    <row r="31" spans="1:25" x14ac:dyDescent="0.2">
      <c r="A31">
        <f>lc_detailed!W32</f>
        <v>0</v>
      </c>
      <c r="B31" s="23" t="e">
        <f>lc_detailed!AB32</f>
        <v>#DIV/0!</v>
      </c>
      <c r="C31" s="23" t="e">
        <f>lc_detailed!AC32</f>
        <v>#DIV/0!</v>
      </c>
      <c r="D31" s="23" t="e">
        <f>lc_detailed!AD32</f>
        <v>#DIV/0!</v>
      </c>
      <c r="E31" s="23" t="e">
        <f>lc_detailed!AE32</f>
        <v>#DIV/0!</v>
      </c>
      <c r="F31" s="23" t="e">
        <f>lc_detailed!AF32</f>
        <v>#DIV/0!</v>
      </c>
      <c r="G31" s="23" t="e">
        <f>lc_detailed!AG32</f>
        <v>#DIV/0!</v>
      </c>
      <c r="H31" s="23" t="e">
        <f>lc_detailed!AH32</f>
        <v>#DIV/0!</v>
      </c>
      <c r="I31" s="23">
        <f>lc_detailed!AI32</f>
        <v>0</v>
      </c>
      <c r="J31" s="23">
        <f>lc_detailed!AK32</f>
        <v>0</v>
      </c>
      <c r="K31" s="23" t="e">
        <f>lc_detailed!AL32</f>
        <v>#DIV/0!</v>
      </c>
      <c r="L31" s="23" t="e">
        <f>lc_detailed!Y32</f>
        <v>#DIV/0!</v>
      </c>
      <c r="N31">
        <v>0</v>
      </c>
      <c r="O31" t="e">
        <v>#DIV/0!</v>
      </c>
      <c r="P31" t="e">
        <v>#DIV/0!</v>
      </c>
      <c r="Q31" t="e">
        <v>#DIV/0!</v>
      </c>
      <c r="R31" t="e">
        <v>#DIV/0!</v>
      </c>
      <c r="S31" t="e">
        <v>#DIV/0!</v>
      </c>
      <c r="T31" t="e">
        <v>#DIV/0!</v>
      </c>
      <c r="U31" t="e">
        <v>#DIV/0!</v>
      </c>
      <c r="V31">
        <v>0</v>
      </c>
      <c r="W31">
        <v>0</v>
      </c>
      <c r="X31" t="e">
        <v>#DIV/0!</v>
      </c>
      <c r="Y31" t="e">
        <v>#DIV/0!</v>
      </c>
    </row>
    <row r="32" spans="1:25" x14ac:dyDescent="0.2">
      <c r="A32">
        <f>lc_detailed!W33</f>
        <v>0</v>
      </c>
      <c r="B32" s="23" t="e">
        <f>lc_detailed!AB33</f>
        <v>#DIV/0!</v>
      </c>
      <c r="C32" s="23" t="e">
        <f>lc_detailed!AC33</f>
        <v>#DIV/0!</v>
      </c>
      <c r="D32" s="23" t="e">
        <f>lc_detailed!AD33</f>
        <v>#DIV/0!</v>
      </c>
      <c r="E32" s="23" t="e">
        <f>lc_detailed!AE33</f>
        <v>#DIV/0!</v>
      </c>
      <c r="F32" s="23" t="e">
        <f>lc_detailed!AF33</f>
        <v>#DIV/0!</v>
      </c>
      <c r="G32" s="23" t="e">
        <f>lc_detailed!AG33</f>
        <v>#DIV/0!</v>
      </c>
      <c r="H32" s="23" t="e">
        <f>lc_detailed!AH33</f>
        <v>#DIV/0!</v>
      </c>
      <c r="I32" s="23">
        <f>lc_detailed!AI33</f>
        <v>0</v>
      </c>
      <c r="J32" s="23">
        <f>lc_detailed!AK33</f>
        <v>0</v>
      </c>
      <c r="K32" s="23" t="e">
        <f>lc_detailed!AL33</f>
        <v>#DIV/0!</v>
      </c>
      <c r="L32" s="23" t="e">
        <f>lc_detailed!Y33</f>
        <v>#DIV/0!</v>
      </c>
      <c r="N32">
        <v>0</v>
      </c>
      <c r="O32" t="e">
        <v>#DIV/0!</v>
      </c>
      <c r="P32" t="e">
        <v>#DIV/0!</v>
      </c>
      <c r="Q32" t="e">
        <v>#DIV/0!</v>
      </c>
      <c r="R32" t="e">
        <v>#DIV/0!</v>
      </c>
      <c r="S32" t="e">
        <v>#DIV/0!</v>
      </c>
      <c r="T32" t="e">
        <v>#DIV/0!</v>
      </c>
      <c r="U32" t="e">
        <v>#DIV/0!</v>
      </c>
      <c r="V32">
        <v>0</v>
      </c>
      <c r="W32">
        <v>0</v>
      </c>
      <c r="X32" t="e">
        <v>#DIV/0!</v>
      </c>
      <c r="Y32" t="e">
        <v>#DIV/0!</v>
      </c>
    </row>
    <row r="33" spans="1:25" x14ac:dyDescent="0.2">
      <c r="A33">
        <f>lc_detailed!W34</f>
        <v>0</v>
      </c>
      <c r="B33" s="23" t="e">
        <f>lc_detailed!AB34</f>
        <v>#DIV/0!</v>
      </c>
      <c r="C33" s="23" t="e">
        <f>lc_detailed!AC34</f>
        <v>#DIV/0!</v>
      </c>
      <c r="D33" s="23" t="e">
        <f>lc_detailed!AD34</f>
        <v>#DIV/0!</v>
      </c>
      <c r="E33" s="23" t="e">
        <f>lc_detailed!AE34</f>
        <v>#DIV/0!</v>
      </c>
      <c r="F33" s="23" t="e">
        <f>lc_detailed!AF34</f>
        <v>#DIV/0!</v>
      </c>
      <c r="G33" s="23" t="e">
        <f>lc_detailed!AG34</f>
        <v>#DIV/0!</v>
      </c>
      <c r="H33" s="23" t="e">
        <f>lc_detailed!AH34</f>
        <v>#DIV/0!</v>
      </c>
      <c r="I33" s="23">
        <f>lc_detailed!AI34</f>
        <v>0</v>
      </c>
      <c r="J33" s="23">
        <f>lc_detailed!AK34</f>
        <v>0</v>
      </c>
      <c r="K33" s="23" t="e">
        <f>lc_detailed!AL34</f>
        <v>#DIV/0!</v>
      </c>
      <c r="L33" s="23" t="e">
        <f>lc_detailed!Y34</f>
        <v>#DIV/0!</v>
      </c>
      <c r="N33">
        <v>0</v>
      </c>
      <c r="O33" t="e">
        <v>#DIV/0!</v>
      </c>
      <c r="P33" t="e">
        <v>#DIV/0!</v>
      </c>
      <c r="Q33" t="e">
        <v>#DIV/0!</v>
      </c>
      <c r="R33" t="e">
        <v>#DIV/0!</v>
      </c>
      <c r="S33" t="e">
        <v>#DIV/0!</v>
      </c>
      <c r="T33" t="e">
        <v>#DIV/0!</v>
      </c>
      <c r="U33" t="e">
        <v>#DIV/0!</v>
      </c>
      <c r="V33">
        <v>0</v>
      </c>
      <c r="W33">
        <v>0</v>
      </c>
      <c r="X33" t="e">
        <v>#DIV/0!</v>
      </c>
      <c r="Y33" t="e">
        <v>#DIV/0!</v>
      </c>
    </row>
    <row r="34" spans="1:25" x14ac:dyDescent="0.2">
      <c r="A34">
        <f>lc_detailed!W35</f>
        <v>0</v>
      </c>
      <c r="B34" s="23" t="e">
        <f>lc_detailed!AB35</f>
        <v>#DIV/0!</v>
      </c>
      <c r="C34" s="23" t="e">
        <f>lc_detailed!AC35</f>
        <v>#DIV/0!</v>
      </c>
      <c r="D34" s="23" t="e">
        <f>lc_detailed!AD35</f>
        <v>#DIV/0!</v>
      </c>
      <c r="E34" s="23" t="e">
        <f>lc_detailed!AE35</f>
        <v>#DIV/0!</v>
      </c>
      <c r="F34" s="23" t="e">
        <f>lc_detailed!AF35</f>
        <v>#DIV/0!</v>
      </c>
      <c r="G34" s="23" t="e">
        <f>lc_detailed!AG35</f>
        <v>#DIV/0!</v>
      </c>
      <c r="H34" s="23" t="e">
        <f>lc_detailed!AH35</f>
        <v>#DIV/0!</v>
      </c>
      <c r="I34" s="23">
        <f>lc_detailed!AI35</f>
        <v>0</v>
      </c>
      <c r="J34" s="23">
        <f>lc_detailed!AK35</f>
        <v>0</v>
      </c>
      <c r="K34" s="23" t="e">
        <f>lc_detailed!AL35</f>
        <v>#DIV/0!</v>
      </c>
      <c r="L34" s="23" t="e">
        <f>lc_detailed!Y35</f>
        <v>#DIV/0!</v>
      </c>
      <c r="N34">
        <v>0</v>
      </c>
      <c r="O34" t="e">
        <v>#DIV/0!</v>
      </c>
      <c r="P34" t="e">
        <v>#DIV/0!</v>
      </c>
      <c r="Q34" t="e">
        <v>#DIV/0!</v>
      </c>
      <c r="R34" t="e">
        <v>#DIV/0!</v>
      </c>
      <c r="S34" t="e">
        <v>#DIV/0!</v>
      </c>
      <c r="T34" t="e">
        <v>#DIV/0!</v>
      </c>
      <c r="U34" t="e">
        <v>#DIV/0!</v>
      </c>
      <c r="V34">
        <v>0</v>
      </c>
      <c r="W34">
        <v>0</v>
      </c>
      <c r="X34" t="e">
        <v>#DIV/0!</v>
      </c>
      <c r="Y34" t="e">
        <v>#DIV/0!</v>
      </c>
    </row>
    <row r="35" spans="1:25" x14ac:dyDescent="0.2">
      <c r="A35">
        <f>lc_detailed!W36</f>
        <v>0</v>
      </c>
      <c r="B35" s="23" t="e">
        <f>lc_detailed!AB36</f>
        <v>#DIV/0!</v>
      </c>
      <c r="C35" s="23" t="e">
        <f>lc_detailed!AC36</f>
        <v>#DIV/0!</v>
      </c>
      <c r="D35" s="23" t="e">
        <f>lc_detailed!AD36</f>
        <v>#DIV/0!</v>
      </c>
      <c r="E35" s="23" t="e">
        <f>lc_detailed!AE36</f>
        <v>#DIV/0!</v>
      </c>
      <c r="F35" s="23" t="e">
        <f>lc_detailed!AF36</f>
        <v>#DIV/0!</v>
      </c>
      <c r="G35" s="23" t="e">
        <f>lc_detailed!AG36</f>
        <v>#DIV/0!</v>
      </c>
      <c r="H35" s="23" t="e">
        <f>lc_detailed!AH36</f>
        <v>#DIV/0!</v>
      </c>
      <c r="I35" s="23">
        <f>lc_detailed!AI36</f>
        <v>0</v>
      </c>
      <c r="J35" s="23">
        <f>lc_detailed!AK36</f>
        <v>0</v>
      </c>
      <c r="K35" s="23" t="e">
        <f>lc_detailed!AL36</f>
        <v>#DIV/0!</v>
      </c>
      <c r="L35" s="23" t="e">
        <f>lc_detailed!Y36</f>
        <v>#DIV/0!</v>
      </c>
      <c r="N35">
        <v>0</v>
      </c>
      <c r="O35" t="e">
        <v>#DIV/0!</v>
      </c>
      <c r="P35" t="e">
        <v>#DIV/0!</v>
      </c>
      <c r="Q35" t="e">
        <v>#DIV/0!</v>
      </c>
      <c r="R35" t="e">
        <v>#DIV/0!</v>
      </c>
      <c r="S35" t="e">
        <v>#DIV/0!</v>
      </c>
      <c r="T35" t="e">
        <v>#DIV/0!</v>
      </c>
      <c r="U35" t="e">
        <v>#DIV/0!</v>
      </c>
      <c r="V35">
        <v>0</v>
      </c>
      <c r="W35">
        <v>0</v>
      </c>
      <c r="X35" t="e">
        <v>#DIV/0!</v>
      </c>
      <c r="Y35" t="e">
        <v>#DIV/0!</v>
      </c>
    </row>
    <row r="36" spans="1:25" x14ac:dyDescent="0.2">
      <c r="A36">
        <f>lc_detailed!W37</f>
        <v>0</v>
      </c>
      <c r="B36" s="23" t="e">
        <f>lc_detailed!AB37</f>
        <v>#DIV/0!</v>
      </c>
      <c r="C36" s="23" t="e">
        <f>lc_detailed!AC37</f>
        <v>#DIV/0!</v>
      </c>
      <c r="D36" s="23" t="e">
        <f>lc_detailed!AD37</f>
        <v>#DIV/0!</v>
      </c>
      <c r="E36" s="23" t="e">
        <f>lc_detailed!AE37</f>
        <v>#DIV/0!</v>
      </c>
      <c r="F36" s="23" t="e">
        <f>lc_detailed!AF37</f>
        <v>#DIV/0!</v>
      </c>
      <c r="G36" s="23" t="e">
        <f>lc_detailed!AG37</f>
        <v>#DIV/0!</v>
      </c>
      <c r="H36" s="23" t="e">
        <f>lc_detailed!AH37</f>
        <v>#DIV/0!</v>
      </c>
      <c r="I36" s="23">
        <f>lc_detailed!AI37</f>
        <v>0</v>
      </c>
      <c r="J36" s="23">
        <f>lc_detailed!AK37</f>
        <v>0</v>
      </c>
      <c r="K36" s="23" t="e">
        <f>lc_detailed!AL37</f>
        <v>#DIV/0!</v>
      </c>
      <c r="L36" s="23" t="e">
        <f>lc_detailed!Y37</f>
        <v>#DIV/0!</v>
      </c>
      <c r="N36">
        <v>0</v>
      </c>
      <c r="O36" t="e">
        <v>#DIV/0!</v>
      </c>
      <c r="P36" t="e">
        <v>#DIV/0!</v>
      </c>
      <c r="Q36" t="e">
        <v>#DIV/0!</v>
      </c>
      <c r="R36" t="e">
        <v>#DIV/0!</v>
      </c>
      <c r="S36" t="e">
        <v>#DIV/0!</v>
      </c>
      <c r="T36" t="e">
        <v>#DIV/0!</v>
      </c>
      <c r="U36" t="e">
        <v>#DIV/0!</v>
      </c>
      <c r="V36">
        <v>0</v>
      </c>
      <c r="W36">
        <v>0</v>
      </c>
      <c r="X36" t="e">
        <v>#DIV/0!</v>
      </c>
      <c r="Y36" t="e">
        <v>#DIV/0!</v>
      </c>
    </row>
    <row r="37" spans="1:25" x14ac:dyDescent="0.2">
      <c r="A37">
        <f>lc_detailed!W38</f>
        <v>0</v>
      </c>
      <c r="B37" s="23" t="e">
        <f>lc_detailed!AB38</f>
        <v>#DIV/0!</v>
      </c>
      <c r="C37" s="23" t="e">
        <f>lc_detailed!AC38</f>
        <v>#DIV/0!</v>
      </c>
      <c r="D37" s="23" t="e">
        <f>lc_detailed!AD38</f>
        <v>#DIV/0!</v>
      </c>
      <c r="E37" s="23" t="e">
        <f>lc_detailed!AE38</f>
        <v>#DIV/0!</v>
      </c>
      <c r="F37" s="23" t="e">
        <f>lc_detailed!AF38</f>
        <v>#DIV/0!</v>
      </c>
      <c r="G37" s="23" t="e">
        <f>lc_detailed!AG38</f>
        <v>#DIV/0!</v>
      </c>
      <c r="H37" s="23" t="e">
        <f>lc_detailed!AH38</f>
        <v>#DIV/0!</v>
      </c>
      <c r="I37" s="23">
        <f>lc_detailed!AI38</f>
        <v>0</v>
      </c>
      <c r="J37" s="23">
        <f>lc_detailed!AK38</f>
        <v>0</v>
      </c>
      <c r="K37" s="23" t="e">
        <f>lc_detailed!AL38</f>
        <v>#DIV/0!</v>
      </c>
      <c r="L37" s="23" t="e">
        <f>lc_detailed!Y38</f>
        <v>#DIV/0!</v>
      </c>
      <c r="N37">
        <v>0</v>
      </c>
      <c r="O37" t="e">
        <v>#DIV/0!</v>
      </c>
      <c r="P37" t="e">
        <v>#DIV/0!</v>
      </c>
      <c r="Q37" t="e">
        <v>#DIV/0!</v>
      </c>
      <c r="R37" t="e">
        <v>#DIV/0!</v>
      </c>
      <c r="S37" t="e">
        <v>#DIV/0!</v>
      </c>
      <c r="T37" t="e">
        <v>#DIV/0!</v>
      </c>
      <c r="U37" t="e">
        <v>#DIV/0!</v>
      </c>
      <c r="V37">
        <v>0</v>
      </c>
      <c r="W37">
        <v>0</v>
      </c>
      <c r="X37" t="e">
        <v>#DIV/0!</v>
      </c>
      <c r="Y37" t="e">
        <v>#DIV/0!</v>
      </c>
    </row>
    <row r="38" spans="1:25" x14ac:dyDescent="0.2">
      <c r="A38">
        <f>lc_detailed!W39</f>
        <v>0</v>
      </c>
      <c r="B38" s="23" t="e">
        <f>lc_detailed!AB39</f>
        <v>#DIV/0!</v>
      </c>
      <c r="C38" s="23" t="e">
        <f>lc_detailed!AC39</f>
        <v>#DIV/0!</v>
      </c>
      <c r="D38" s="23" t="e">
        <f>lc_detailed!AD39</f>
        <v>#DIV/0!</v>
      </c>
      <c r="E38" s="23" t="e">
        <f>lc_detailed!AE39</f>
        <v>#DIV/0!</v>
      </c>
      <c r="F38" s="23" t="e">
        <f>lc_detailed!AF39</f>
        <v>#DIV/0!</v>
      </c>
      <c r="G38" s="23" t="e">
        <f>lc_detailed!AG39</f>
        <v>#DIV/0!</v>
      </c>
      <c r="H38" s="23" t="e">
        <f>lc_detailed!AH39</f>
        <v>#DIV/0!</v>
      </c>
      <c r="I38" s="23">
        <f>lc_detailed!AI39</f>
        <v>0</v>
      </c>
      <c r="J38" s="23">
        <f>lc_detailed!AK39</f>
        <v>0</v>
      </c>
      <c r="K38" s="23" t="e">
        <f>lc_detailed!AL39</f>
        <v>#DIV/0!</v>
      </c>
      <c r="L38" s="23" t="e">
        <f>lc_detailed!Y39</f>
        <v>#DIV/0!</v>
      </c>
      <c r="N38">
        <v>0</v>
      </c>
      <c r="O38" t="e">
        <v>#DIV/0!</v>
      </c>
      <c r="P38" t="e">
        <v>#DIV/0!</v>
      </c>
      <c r="Q38" t="e">
        <v>#DIV/0!</v>
      </c>
      <c r="R38" t="e">
        <v>#DIV/0!</v>
      </c>
      <c r="S38" t="e">
        <v>#DIV/0!</v>
      </c>
      <c r="T38" t="e">
        <v>#DIV/0!</v>
      </c>
      <c r="U38" t="e">
        <v>#DIV/0!</v>
      </c>
      <c r="V38">
        <v>0</v>
      </c>
      <c r="W38">
        <v>0</v>
      </c>
      <c r="X38" t="e">
        <v>#DIV/0!</v>
      </c>
      <c r="Y38" t="e">
        <v>#DIV/0!</v>
      </c>
    </row>
    <row r="39" spans="1:25" x14ac:dyDescent="0.2">
      <c r="A39">
        <f>lc_detailed!W40</f>
        <v>0</v>
      </c>
      <c r="B39" s="23" t="e">
        <f>lc_detailed!AB40</f>
        <v>#DIV/0!</v>
      </c>
      <c r="C39" s="23" t="e">
        <f>lc_detailed!AC40</f>
        <v>#DIV/0!</v>
      </c>
      <c r="D39" s="23" t="e">
        <f>lc_detailed!AD40</f>
        <v>#DIV/0!</v>
      </c>
      <c r="E39" s="23" t="e">
        <f>lc_detailed!AE40</f>
        <v>#DIV/0!</v>
      </c>
      <c r="F39" s="23" t="e">
        <f>lc_detailed!AF40</f>
        <v>#DIV/0!</v>
      </c>
      <c r="G39" s="23" t="e">
        <f>lc_detailed!AG40</f>
        <v>#DIV/0!</v>
      </c>
      <c r="H39" s="23" t="e">
        <f>lc_detailed!AH40</f>
        <v>#DIV/0!</v>
      </c>
      <c r="I39" s="23">
        <f>lc_detailed!AI40</f>
        <v>0</v>
      </c>
      <c r="J39" s="23">
        <f>lc_detailed!AK40</f>
        <v>0</v>
      </c>
      <c r="K39" s="23" t="e">
        <f>lc_detailed!AL40</f>
        <v>#DIV/0!</v>
      </c>
      <c r="L39" s="23" t="e">
        <f>lc_detailed!Y40</f>
        <v>#DIV/0!</v>
      </c>
      <c r="N39">
        <v>0</v>
      </c>
      <c r="O39" t="e">
        <v>#DIV/0!</v>
      </c>
      <c r="P39" t="e">
        <v>#DIV/0!</v>
      </c>
      <c r="Q39" t="e">
        <v>#DIV/0!</v>
      </c>
      <c r="R39" t="e">
        <v>#DIV/0!</v>
      </c>
      <c r="S39" t="e">
        <v>#DIV/0!</v>
      </c>
      <c r="T39" t="e">
        <v>#DIV/0!</v>
      </c>
      <c r="U39" t="e">
        <v>#DIV/0!</v>
      </c>
      <c r="V39">
        <v>0</v>
      </c>
      <c r="W39">
        <v>0</v>
      </c>
      <c r="X39" t="e">
        <v>#DIV/0!</v>
      </c>
      <c r="Y39" t="e">
        <v>#DIV/0!</v>
      </c>
    </row>
    <row r="40" spans="1:25" x14ac:dyDescent="0.2">
      <c r="A40">
        <f>lc_detailed!W41</f>
        <v>0</v>
      </c>
      <c r="B40" s="23" t="e">
        <f>lc_detailed!AB41</f>
        <v>#DIV/0!</v>
      </c>
      <c r="C40" s="23" t="e">
        <f>lc_detailed!AC41</f>
        <v>#DIV/0!</v>
      </c>
      <c r="D40" s="23" t="e">
        <f>lc_detailed!AD41</f>
        <v>#DIV/0!</v>
      </c>
      <c r="E40" s="23" t="e">
        <f>lc_detailed!AE41</f>
        <v>#DIV/0!</v>
      </c>
      <c r="F40" s="23" t="e">
        <f>lc_detailed!AF41</f>
        <v>#DIV/0!</v>
      </c>
      <c r="G40" s="23" t="e">
        <f>lc_detailed!AG41</f>
        <v>#DIV/0!</v>
      </c>
      <c r="H40" s="23" t="e">
        <f>lc_detailed!AH41</f>
        <v>#DIV/0!</v>
      </c>
      <c r="I40" s="23">
        <f>lc_detailed!AI41</f>
        <v>0</v>
      </c>
      <c r="J40" s="23">
        <f>lc_detailed!AK41</f>
        <v>0</v>
      </c>
      <c r="K40" s="23" t="e">
        <f>lc_detailed!AL41</f>
        <v>#DIV/0!</v>
      </c>
      <c r="L40" s="23" t="e">
        <f>lc_detailed!Y41</f>
        <v>#DIV/0!</v>
      </c>
      <c r="N40">
        <v>0</v>
      </c>
      <c r="O40" t="e">
        <v>#DIV/0!</v>
      </c>
      <c r="P40" t="e">
        <v>#DIV/0!</v>
      </c>
      <c r="Q40" t="e">
        <v>#DIV/0!</v>
      </c>
      <c r="R40" t="e">
        <v>#DIV/0!</v>
      </c>
      <c r="S40" t="e">
        <v>#DIV/0!</v>
      </c>
      <c r="T40" t="e">
        <v>#DIV/0!</v>
      </c>
      <c r="U40" t="e">
        <v>#DIV/0!</v>
      </c>
      <c r="V40">
        <v>0</v>
      </c>
      <c r="W40">
        <v>0</v>
      </c>
      <c r="X40" t="e">
        <v>#DIV/0!</v>
      </c>
      <c r="Y40" t="e">
        <v>#DIV/0!</v>
      </c>
    </row>
    <row r="41" spans="1:25" x14ac:dyDescent="0.2">
      <c r="A41">
        <f>lc_detailed!W42</f>
        <v>0</v>
      </c>
      <c r="B41" s="23" t="e">
        <f>lc_detailed!AB42</f>
        <v>#DIV/0!</v>
      </c>
      <c r="C41" s="23" t="e">
        <f>lc_detailed!AC42</f>
        <v>#DIV/0!</v>
      </c>
      <c r="D41" s="23" t="e">
        <f>lc_detailed!AD42</f>
        <v>#DIV/0!</v>
      </c>
      <c r="E41" s="23" t="e">
        <f>lc_detailed!AE42</f>
        <v>#DIV/0!</v>
      </c>
      <c r="F41" s="23" t="e">
        <f>lc_detailed!AF42</f>
        <v>#DIV/0!</v>
      </c>
      <c r="G41" s="23" t="e">
        <f>lc_detailed!AG42</f>
        <v>#DIV/0!</v>
      </c>
      <c r="H41" s="23" t="e">
        <f>lc_detailed!AH42</f>
        <v>#DIV/0!</v>
      </c>
      <c r="I41" s="23">
        <f>lc_detailed!AI42</f>
        <v>0</v>
      </c>
      <c r="J41" s="23">
        <f>lc_detailed!AK42</f>
        <v>0</v>
      </c>
      <c r="K41" s="23" t="e">
        <f>lc_detailed!AL42</f>
        <v>#DIV/0!</v>
      </c>
      <c r="L41" s="23" t="e">
        <f>lc_detailed!Y42</f>
        <v>#DIV/0!</v>
      </c>
      <c r="N41">
        <v>0</v>
      </c>
      <c r="O41" t="e">
        <v>#DIV/0!</v>
      </c>
      <c r="P41" t="e">
        <v>#DIV/0!</v>
      </c>
      <c r="Q41" t="e">
        <v>#DIV/0!</v>
      </c>
      <c r="R41" t="e">
        <v>#DIV/0!</v>
      </c>
      <c r="S41" t="e">
        <v>#DIV/0!</v>
      </c>
      <c r="T41" t="e">
        <v>#DIV/0!</v>
      </c>
      <c r="U41" t="e">
        <v>#DIV/0!</v>
      </c>
      <c r="V41">
        <v>0</v>
      </c>
      <c r="W41">
        <v>0</v>
      </c>
      <c r="X41" t="e">
        <v>#DIV/0!</v>
      </c>
      <c r="Y41" t="e">
        <v>#DIV/0!</v>
      </c>
    </row>
    <row r="42" spans="1:25" x14ac:dyDescent="0.2">
      <c r="A42">
        <f>lc_detailed!W43</f>
        <v>0</v>
      </c>
      <c r="B42" s="23" t="e">
        <f>lc_detailed!AB43</f>
        <v>#DIV/0!</v>
      </c>
      <c r="C42" s="23" t="e">
        <f>lc_detailed!AC43</f>
        <v>#DIV/0!</v>
      </c>
      <c r="D42" s="23" t="e">
        <f>lc_detailed!AD43</f>
        <v>#DIV/0!</v>
      </c>
      <c r="E42" s="23" t="e">
        <f>lc_detailed!AE43</f>
        <v>#DIV/0!</v>
      </c>
      <c r="F42" s="23" t="e">
        <f>lc_detailed!AF43</f>
        <v>#DIV/0!</v>
      </c>
      <c r="G42" s="23" t="e">
        <f>lc_detailed!AG43</f>
        <v>#DIV/0!</v>
      </c>
      <c r="H42" s="23" t="e">
        <f>lc_detailed!AH43</f>
        <v>#DIV/0!</v>
      </c>
      <c r="I42" s="23">
        <f>lc_detailed!AI43</f>
        <v>0</v>
      </c>
      <c r="J42" s="23">
        <f>lc_detailed!AK43</f>
        <v>0</v>
      </c>
      <c r="K42" s="23" t="e">
        <f>lc_detailed!AL43</f>
        <v>#DIV/0!</v>
      </c>
      <c r="L42" s="23" t="e">
        <f>lc_detailed!Y43</f>
        <v>#DIV/0!</v>
      </c>
      <c r="N42">
        <v>0</v>
      </c>
      <c r="O42" t="e">
        <v>#DIV/0!</v>
      </c>
      <c r="P42" t="e">
        <v>#DIV/0!</v>
      </c>
      <c r="Q42" t="e">
        <v>#DIV/0!</v>
      </c>
      <c r="R42" t="e">
        <v>#DIV/0!</v>
      </c>
      <c r="S42" t="e">
        <v>#DIV/0!</v>
      </c>
      <c r="T42" t="e">
        <v>#DIV/0!</v>
      </c>
      <c r="U42" t="e">
        <v>#DIV/0!</v>
      </c>
      <c r="V42">
        <v>0</v>
      </c>
      <c r="W42">
        <v>0</v>
      </c>
      <c r="X42" t="e">
        <v>#DIV/0!</v>
      </c>
      <c r="Y42" t="e">
        <v>#DIV/0!</v>
      </c>
    </row>
    <row r="43" spans="1:25" x14ac:dyDescent="0.2">
      <c r="A43">
        <f>lc_detailed!W44</f>
        <v>0</v>
      </c>
      <c r="B43" s="23" t="e">
        <f>lc_detailed!AB44</f>
        <v>#DIV/0!</v>
      </c>
      <c r="C43" s="23" t="e">
        <f>lc_detailed!AC44</f>
        <v>#DIV/0!</v>
      </c>
      <c r="D43" s="23" t="e">
        <f>lc_detailed!AD44</f>
        <v>#DIV/0!</v>
      </c>
      <c r="E43" s="23" t="e">
        <f>lc_detailed!AE44</f>
        <v>#DIV/0!</v>
      </c>
      <c r="F43" s="23" t="e">
        <f>lc_detailed!AF44</f>
        <v>#DIV/0!</v>
      </c>
      <c r="G43" s="23" t="e">
        <f>lc_detailed!AG44</f>
        <v>#DIV/0!</v>
      </c>
      <c r="H43" s="23" t="e">
        <f>lc_detailed!AH44</f>
        <v>#DIV/0!</v>
      </c>
      <c r="I43" s="23">
        <f>lc_detailed!AI44</f>
        <v>0</v>
      </c>
      <c r="J43" s="23">
        <f>lc_detailed!AK44</f>
        <v>0</v>
      </c>
      <c r="K43" s="23" t="e">
        <f>lc_detailed!AL44</f>
        <v>#DIV/0!</v>
      </c>
      <c r="L43" s="23" t="e">
        <f>lc_detailed!Y44</f>
        <v>#DIV/0!</v>
      </c>
      <c r="N43">
        <v>0</v>
      </c>
      <c r="O43" t="e">
        <v>#DIV/0!</v>
      </c>
      <c r="P43" t="e">
        <v>#DIV/0!</v>
      </c>
      <c r="Q43" t="e">
        <v>#DIV/0!</v>
      </c>
      <c r="R43" t="e">
        <v>#DIV/0!</v>
      </c>
      <c r="S43" t="e">
        <v>#DIV/0!</v>
      </c>
      <c r="T43" t="e">
        <v>#DIV/0!</v>
      </c>
      <c r="U43" t="e">
        <v>#DIV/0!</v>
      </c>
      <c r="V43">
        <v>0</v>
      </c>
      <c r="W43">
        <v>0</v>
      </c>
      <c r="X43" t="e">
        <v>#DIV/0!</v>
      </c>
      <c r="Y43" t="e">
        <v>#DIV/0!</v>
      </c>
    </row>
    <row r="44" spans="1:25" x14ac:dyDescent="0.2">
      <c r="A44">
        <f>lc_detailed!W45</f>
        <v>0</v>
      </c>
      <c r="B44" s="23" t="e">
        <f>lc_detailed!AB45</f>
        <v>#DIV/0!</v>
      </c>
      <c r="C44" s="23" t="e">
        <f>lc_detailed!AC45</f>
        <v>#DIV/0!</v>
      </c>
      <c r="D44" s="23" t="e">
        <f>lc_detailed!AD45</f>
        <v>#DIV/0!</v>
      </c>
      <c r="E44" s="23" t="e">
        <f>lc_detailed!AE45</f>
        <v>#DIV/0!</v>
      </c>
      <c r="F44" s="23" t="e">
        <f>lc_detailed!AF45</f>
        <v>#DIV/0!</v>
      </c>
      <c r="G44" s="23" t="e">
        <f>lc_detailed!AG45</f>
        <v>#DIV/0!</v>
      </c>
      <c r="H44" s="23" t="e">
        <f>lc_detailed!AH45</f>
        <v>#DIV/0!</v>
      </c>
      <c r="I44" s="23">
        <f>lc_detailed!AI45</f>
        <v>0</v>
      </c>
      <c r="J44" s="23">
        <f>lc_detailed!AK45</f>
        <v>0</v>
      </c>
      <c r="K44" s="23" t="e">
        <f>lc_detailed!AL45</f>
        <v>#DIV/0!</v>
      </c>
      <c r="L44" s="23" t="e">
        <f>lc_detailed!Y45</f>
        <v>#DIV/0!</v>
      </c>
      <c r="N44">
        <v>0</v>
      </c>
      <c r="O44" t="e">
        <v>#DIV/0!</v>
      </c>
      <c r="P44" t="e">
        <v>#DIV/0!</v>
      </c>
      <c r="Q44" t="e">
        <v>#DIV/0!</v>
      </c>
      <c r="R44" t="e">
        <v>#DIV/0!</v>
      </c>
      <c r="S44" t="e">
        <v>#DIV/0!</v>
      </c>
      <c r="T44" t="e">
        <v>#DIV/0!</v>
      </c>
      <c r="U44" t="e">
        <v>#DIV/0!</v>
      </c>
      <c r="V44">
        <v>0</v>
      </c>
      <c r="W44">
        <v>0</v>
      </c>
      <c r="X44" t="e">
        <v>#DIV/0!</v>
      </c>
      <c r="Y44" t="e">
        <v>#DIV/0!</v>
      </c>
    </row>
    <row r="45" spans="1:25" x14ac:dyDescent="0.2">
      <c r="A45">
        <f>lc_detailed!W46</f>
        <v>0</v>
      </c>
      <c r="B45" s="23" t="e">
        <f>lc_detailed!AB46</f>
        <v>#DIV/0!</v>
      </c>
      <c r="C45" s="23" t="e">
        <f>lc_detailed!AC46</f>
        <v>#DIV/0!</v>
      </c>
      <c r="D45" s="23" t="e">
        <f>lc_detailed!AD46</f>
        <v>#DIV/0!</v>
      </c>
      <c r="E45" s="23" t="e">
        <f>lc_detailed!AE46</f>
        <v>#DIV/0!</v>
      </c>
      <c r="F45" s="23" t="e">
        <f>lc_detailed!AF46</f>
        <v>#DIV/0!</v>
      </c>
      <c r="G45" s="23" t="e">
        <f>lc_detailed!AG46</f>
        <v>#DIV/0!</v>
      </c>
      <c r="H45" s="23" t="e">
        <f>lc_detailed!AH46</f>
        <v>#DIV/0!</v>
      </c>
      <c r="I45" s="23">
        <f>lc_detailed!AI46</f>
        <v>0</v>
      </c>
      <c r="J45" s="23">
        <f>lc_detailed!AK46</f>
        <v>0</v>
      </c>
      <c r="K45" s="23" t="e">
        <f>lc_detailed!AL46</f>
        <v>#DIV/0!</v>
      </c>
      <c r="L45" s="23" t="e">
        <f>lc_detailed!Y46</f>
        <v>#DIV/0!</v>
      </c>
      <c r="N45">
        <v>0</v>
      </c>
      <c r="O45" t="e">
        <v>#DIV/0!</v>
      </c>
      <c r="P45" t="e">
        <v>#DIV/0!</v>
      </c>
      <c r="Q45" t="e">
        <v>#DIV/0!</v>
      </c>
      <c r="R45" t="e">
        <v>#DIV/0!</v>
      </c>
      <c r="S45" t="e">
        <v>#DIV/0!</v>
      </c>
      <c r="T45" t="e">
        <v>#DIV/0!</v>
      </c>
      <c r="U45" t="e">
        <v>#DIV/0!</v>
      </c>
      <c r="V45">
        <v>0</v>
      </c>
      <c r="W45">
        <v>0</v>
      </c>
      <c r="X45" t="e">
        <v>#DIV/0!</v>
      </c>
      <c r="Y45" t="e">
        <v>#DIV/0!</v>
      </c>
    </row>
    <row r="46" spans="1:25" x14ac:dyDescent="0.2">
      <c r="A46">
        <f>lc_detailed!W47</f>
        <v>0</v>
      </c>
      <c r="B46" s="23" t="e">
        <f>lc_detailed!AB47</f>
        <v>#DIV/0!</v>
      </c>
      <c r="C46" s="23" t="e">
        <f>lc_detailed!AC47</f>
        <v>#DIV/0!</v>
      </c>
      <c r="D46" s="23" t="e">
        <f>lc_detailed!AD47</f>
        <v>#DIV/0!</v>
      </c>
      <c r="E46" s="23" t="e">
        <f>lc_detailed!AE47</f>
        <v>#DIV/0!</v>
      </c>
      <c r="F46" s="23" t="e">
        <f>lc_detailed!AF47</f>
        <v>#DIV/0!</v>
      </c>
      <c r="G46" s="23" t="e">
        <f>lc_detailed!AG47</f>
        <v>#DIV/0!</v>
      </c>
      <c r="H46" s="23" t="e">
        <f>lc_detailed!AH47</f>
        <v>#DIV/0!</v>
      </c>
      <c r="I46" s="23">
        <f>lc_detailed!AI47</f>
        <v>0</v>
      </c>
      <c r="J46" s="23">
        <f>lc_detailed!AK47</f>
        <v>0</v>
      </c>
      <c r="K46" s="23" t="e">
        <f>lc_detailed!AL47</f>
        <v>#DIV/0!</v>
      </c>
      <c r="L46" s="23" t="e">
        <f>lc_detailed!Y47</f>
        <v>#DIV/0!</v>
      </c>
      <c r="N46">
        <v>0</v>
      </c>
      <c r="O46" t="e">
        <v>#DIV/0!</v>
      </c>
      <c r="P46" t="e">
        <v>#DIV/0!</v>
      </c>
      <c r="Q46" t="e">
        <v>#DIV/0!</v>
      </c>
      <c r="R46" t="e">
        <v>#DIV/0!</v>
      </c>
      <c r="S46" t="e">
        <v>#DIV/0!</v>
      </c>
      <c r="T46" t="e">
        <v>#DIV/0!</v>
      </c>
      <c r="U46" t="e">
        <v>#DIV/0!</v>
      </c>
      <c r="V46">
        <v>0</v>
      </c>
      <c r="W46">
        <v>0</v>
      </c>
      <c r="X46" t="e">
        <v>#DIV/0!</v>
      </c>
      <c r="Y46" t="e">
        <v>#DIV/0!</v>
      </c>
    </row>
    <row r="47" spans="1:25" x14ac:dyDescent="0.2">
      <c r="A47">
        <f>lc_detailed!W48</f>
        <v>0</v>
      </c>
      <c r="B47" s="23" t="e">
        <f>lc_detailed!AB48</f>
        <v>#DIV/0!</v>
      </c>
      <c r="C47" s="23" t="e">
        <f>lc_detailed!AC48</f>
        <v>#DIV/0!</v>
      </c>
      <c r="D47" s="23" t="e">
        <f>lc_detailed!AD48</f>
        <v>#DIV/0!</v>
      </c>
      <c r="E47" s="23" t="e">
        <f>lc_detailed!AE48</f>
        <v>#DIV/0!</v>
      </c>
      <c r="F47" s="23" t="e">
        <f>lc_detailed!AF48</f>
        <v>#DIV/0!</v>
      </c>
      <c r="G47" s="23" t="e">
        <f>lc_detailed!AG48</f>
        <v>#DIV/0!</v>
      </c>
      <c r="H47" s="23" t="e">
        <f>lc_detailed!AH48</f>
        <v>#DIV/0!</v>
      </c>
      <c r="I47" s="23">
        <f>lc_detailed!AI48</f>
        <v>0</v>
      </c>
      <c r="J47" s="23">
        <f>lc_detailed!AK48</f>
        <v>0</v>
      </c>
      <c r="K47" s="23" t="e">
        <f>lc_detailed!AL48</f>
        <v>#DIV/0!</v>
      </c>
      <c r="L47" s="23" t="e">
        <f>lc_detailed!Y48</f>
        <v>#DIV/0!</v>
      </c>
      <c r="N47">
        <v>0</v>
      </c>
      <c r="O47" t="e">
        <v>#DIV/0!</v>
      </c>
      <c r="P47" t="e">
        <v>#DIV/0!</v>
      </c>
      <c r="Q47" t="e">
        <v>#DIV/0!</v>
      </c>
      <c r="R47" t="e">
        <v>#DIV/0!</v>
      </c>
      <c r="S47" t="e">
        <v>#DIV/0!</v>
      </c>
      <c r="T47" t="e">
        <v>#DIV/0!</v>
      </c>
      <c r="U47" t="e">
        <v>#DIV/0!</v>
      </c>
      <c r="V47">
        <v>0</v>
      </c>
      <c r="W47">
        <v>0</v>
      </c>
      <c r="X47" t="e">
        <v>#DIV/0!</v>
      </c>
      <c r="Y47" t="e">
        <v>#DIV/0!</v>
      </c>
    </row>
    <row r="48" spans="1:25" x14ac:dyDescent="0.2">
      <c r="A48">
        <f>lc_detailed!W49</f>
        <v>0</v>
      </c>
      <c r="B48" s="23" t="e">
        <f>lc_detailed!AB49</f>
        <v>#DIV/0!</v>
      </c>
      <c r="C48" s="23" t="e">
        <f>lc_detailed!AC49</f>
        <v>#DIV/0!</v>
      </c>
      <c r="D48" s="23" t="e">
        <f>lc_detailed!AD49</f>
        <v>#DIV/0!</v>
      </c>
      <c r="E48" s="23" t="e">
        <f>lc_detailed!AE49</f>
        <v>#DIV/0!</v>
      </c>
      <c r="F48" s="23" t="e">
        <f>lc_detailed!AF49</f>
        <v>#DIV/0!</v>
      </c>
      <c r="G48" s="23" t="e">
        <f>lc_detailed!AG49</f>
        <v>#DIV/0!</v>
      </c>
      <c r="H48" s="23" t="e">
        <f>lc_detailed!AH49</f>
        <v>#DIV/0!</v>
      </c>
      <c r="I48" s="23">
        <f>lc_detailed!AI49</f>
        <v>0</v>
      </c>
      <c r="J48" s="23">
        <f>lc_detailed!AK49</f>
        <v>0</v>
      </c>
      <c r="K48" s="23" t="e">
        <f>lc_detailed!AL49</f>
        <v>#DIV/0!</v>
      </c>
      <c r="L48" s="23" t="e">
        <f>lc_detailed!Y49</f>
        <v>#DIV/0!</v>
      </c>
      <c r="N48">
        <v>0</v>
      </c>
      <c r="O48" t="e">
        <v>#DIV/0!</v>
      </c>
      <c r="P48" t="e">
        <v>#DIV/0!</v>
      </c>
      <c r="Q48" t="e">
        <v>#DIV/0!</v>
      </c>
      <c r="R48" t="e">
        <v>#DIV/0!</v>
      </c>
      <c r="S48" t="e">
        <v>#DIV/0!</v>
      </c>
      <c r="T48" t="e">
        <v>#DIV/0!</v>
      </c>
      <c r="U48" t="e">
        <v>#DIV/0!</v>
      </c>
      <c r="V48">
        <v>0</v>
      </c>
      <c r="W48">
        <v>0</v>
      </c>
      <c r="X48" t="e">
        <v>#DIV/0!</v>
      </c>
      <c r="Y48" t="e">
        <v>#DIV/0!</v>
      </c>
    </row>
    <row r="49" spans="1:25" x14ac:dyDescent="0.2">
      <c r="A49">
        <f>lc_detailed!W50</f>
        <v>0</v>
      </c>
      <c r="B49" s="23" t="e">
        <f>lc_detailed!AB50</f>
        <v>#DIV/0!</v>
      </c>
      <c r="C49" s="23" t="e">
        <f>lc_detailed!AC50</f>
        <v>#DIV/0!</v>
      </c>
      <c r="D49" s="23" t="e">
        <f>lc_detailed!AD50</f>
        <v>#DIV/0!</v>
      </c>
      <c r="E49" s="23" t="e">
        <f>lc_detailed!AE50</f>
        <v>#DIV/0!</v>
      </c>
      <c r="F49" s="23" t="e">
        <f>lc_detailed!AF50</f>
        <v>#DIV/0!</v>
      </c>
      <c r="G49" s="23" t="e">
        <f>lc_detailed!AG50</f>
        <v>#DIV/0!</v>
      </c>
      <c r="H49" s="23" t="e">
        <f>lc_detailed!AH50</f>
        <v>#DIV/0!</v>
      </c>
      <c r="I49" s="23">
        <f>lc_detailed!AI50</f>
        <v>0</v>
      </c>
      <c r="J49" s="23">
        <f>lc_detailed!AK50</f>
        <v>0</v>
      </c>
      <c r="K49" s="23" t="e">
        <f>lc_detailed!AL50</f>
        <v>#DIV/0!</v>
      </c>
      <c r="L49" s="23" t="e">
        <f>lc_detailed!Y50</f>
        <v>#DIV/0!</v>
      </c>
      <c r="N49">
        <v>0</v>
      </c>
      <c r="O49" t="e">
        <v>#DIV/0!</v>
      </c>
      <c r="P49" t="e">
        <v>#DIV/0!</v>
      </c>
      <c r="Q49" t="e">
        <v>#DIV/0!</v>
      </c>
      <c r="R49" t="e">
        <v>#DIV/0!</v>
      </c>
      <c r="S49" t="e">
        <v>#DIV/0!</v>
      </c>
      <c r="T49" t="e">
        <v>#DIV/0!</v>
      </c>
      <c r="U49" t="e">
        <v>#DIV/0!</v>
      </c>
      <c r="V49">
        <v>0</v>
      </c>
      <c r="W49">
        <v>0</v>
      </c>
      <c r="X49" t="e">
        <v>#DIV/0!</v>
      </c>
      <c r="Y49" t="e">
        <v>#DIV/0!</v>
      </c>
    </row>
    <row r="50" spans="1:25" x14ac:dyDescent="0.2">
      <c r="A50">
        <f>lc_detailed!W51</f>
        <v>0</v>
      </c>
      <c r="B50" s="23" t="e">
        <f>lc_detailed!AB51</f>
        <v>#DIV/0!</v>
      </c>
      <c r="C50" s="23" t="e">
        <f>lc_detailed!AC51</f>
        <v>#DIV/0!</v>
      </c>
      <c r="D50" s="23" t="e">
        <f>lc_detailed!AD51</f>
        <v>#DIV/0!</v>
      </c>
      <c r="E50" s="23" t="e">
        <f>lc_detailed!AE51</f>
        <v>#DIV/0!</v>
      </c>
      <c r="F50" s="23" t="e">
        <f>lc_detailed!AF51</f>
        <v>#DIV/0!</v>
      </c>
      <c r="G50" s="23" t="e">
        <f>lc_detailed!AG51</f>
        <v>#DIV/0!</v>
      </c>
      <c r="H50" s="23" t="e">
        <f>lc_detailed!AH51</f>
        <v>#DIV/0!</v>
      </c>
      <c r="I50" s="23">
        <f>lc_detailed!AI51</f>
        <v>0</v>
      </c>
      <c r="J50" s="23">
        <f>lc_detailed!AK51</f>
        <v>0</v>
      </c>
      <c r="K50" s="23" t="e">
        <f>lc_detailed!AL51</f>
        <v>#DIV/0!</v>
      </c>
      <c r="L50" s="23" t="e">
        <f>lc_detailed!Y51</f>
        <v>#DIV/0!</v>
      </c>
      <c r="N50">
        <v>0</v>
      </c>
      <c r="O50" t="e">
        <v>#DIV/0!</v>
      </c>
      <c r="P50" t="e">
        <v>#DIV/0!</v>
      </c>
      <c r="Q50" t="e">
        <v>#DIV/0!</v>
      </c>
      <c r="R50" t="e">
        <v>#DIV/0!</v>
      </c>
      <c r="S50" t="e">
        <v>#DIV/0!</v>
      </c>
      <c r="T50" t="e">
        <v>#DIV/0!</v>
      </c>
      <c r="U50" t="e">
        <v>#DIV/0!</v>
      </c>
      <c r="V50">
        <v>0</v>
      </c>
      <c r="W50">
        <v>0</v>
      </c>
      <c r="X50" t="e">
        <v>#DIV/0!</v>
      </c>
      <c r="Y50" t="e">
        <v>#DIV/0!</v>
      </c>
    </row>
    <row r="51" spans="1:25" x14ac:dyDescent="0.2">
      <c r="A51">
        <f>lc_detailed!W52</f>
        <v>0</v>
      </c>
      <c r="B51" s="23" t="e">
        <f>lc_detailed!AB52</f>
        <v>#DIV/0!</v>
      </c>
      <c r="C51" s="23" t="e">
        <f>lc_detailed!AC52</f>
        <v>#DIV/0!</v>
      </c>
      <c r="D51" s="23" t="e">
        <f>lc_detailed!AD52</f>
        <v>#DIV/0!</v>
      </c>
      <c r="E51" s="23" t="e">
        <f>lc_detailed!AE52</f>
        <v>#DIV/0!</v>
      </c>
      <c r="F51" s="23" t="e">
        <f>lc_detailed!AF52</f>
        <v>#DIV/0!</v>
      </c>
      <c r="G51" s="23" t="e">
        <f>lc_detailed!AG52</f>
        <v>#DIV/0!</v>
      </c>
      <c r="H51" s="23" t="e">
        <f>lc_detailed!AH52</f>
        <v>#DIV/0!</v>
      </c>
      <c r="I51" s="23">
        <f>lc_detailed!AI52</f>
        <v>0</v>
      </c>
      <c r="J51" s="23">
        <f>lc_detailed!AK52</f>
        <v>0</v>
      </c>
      <c r="K51" s="23" t="e">
        <f>lc_detailed!AL52</f>
        <v>#DIV/0!</v>
      </c>
      <c r="L51" s="23" t="e">
        <f>lc_detailed!Y52</f>
        <v>#DIV/0!</v>
      </c>
      <c r="N51">
        <v>0</v>
      </c>
      <c r="O51" t="e">
        <v>#DIV/0!</v>
      </c>
      <c r="P51" t="e">
        <v>#DIV/0!</v>
      </c>
      <c r="Q51" t="e">
        <v>#DIV/0!</v>
      </c>
      <c r="R51" t="e">
        <v>#DIV/0!</v>
      </c>
      <c r="S51" t="e">
        <v>#DIV/0!</v>
      </c>
      <c r="T51" t="e">
        <v>#DIV/0!</v>
      </c>
      <c r="U51" t="e">
        <v>#DIV/0!</v>
      </c>
      <c r="V51">
        <v>0</v>
      </c>
      <c r="W51">
        <v>0</v>
      </c>
      <c r="X51" t="e">
        <v>#DIV/0!</v>
      </c>
      <c r="Y51" t="e">
        <v>#DIV/0!</v>
      </c>
    </row>
    <row r="52" spans="1:25" x14ac:dyDescent="0.2">
      <c r="A52">
        <f>lc_detailed!W53</f>
        <v>0</v>
      </c>
      <c r="B52" s="23" t="e">
        <f>lc_detailed!AB53</f>
        <v>#DIV/0!</v>
      </c>
      <c r="C52" s="23" t="e">
        <f>lc_detailed!AC53</f>
        <v>#DIV/0!</v>
      </c>
      <c r="D52" s="23" t="e">
        <f>lc_detailed!AD53</f>
        <v>#DIV/0!</v>
      </c>
      <c r="E52" s="23" t="e">
        <f>lc_detailed!AE53</f>
        <v>#DIV/0!</v>
      </c>
      <c r="F52" s="23" t="e">
        <f>lc_detailed!AF53</f>
        <v>#DIV/0!</v>
      </c>
      <c r="G52" s="23" t="e">
        <f>lc_detailed!AG53</f>
        <v>#DIV/0!</v>
      </c>
      <c r="H52" s="23" t="e">
        <f>lc_detailed!AH53</f>
        <v>#DIV/0!</v>
      </c>
      <c r="I52" s="23">
        <f>lc_detailed!AI53</f>
        <v>0</v>
      </c>
      <c r="J52" s="23">
        <f>lc_detailed!AK53</f>
        <v>0</v>
      </c>
      <c r="K52" s="23" t="e">
        <f>lc_detailed!AL53</f>
        <v>#DIV/0!</v>
      </c>
      <c r="L52" s="23" t="e">
        <f>lc_detailed!Y53</f>
        <v>#DIV/0!</v>
      </c>
      <c r="N52">
        <v>0</v>
      </c>
      <c r="O52" t="e">
        <v>#DIV/0!</v>
      </c>
      <c r="P52" t="e">
        <v>#DIV/0!</v>
      </c>
      <c r="Q52" t="e">
        <v>#DIV/0!</v>
      </c>
      <c r="R52" t="e">
        <v>#DIV/0!</v>
      </c>
      <c r="S52" t="e">
        <v>#DIV/0!</v>
      </c>
      <c r="T52" t="e">
        <v>#DIV/0!</v>
      </c>
      <c r="U52" t="e">
        <v>#DIV/0!</v>
      </c>
      <c r="V52">
        <v>0</v>
      </c>
      <c r="W52">
        <v>0</v>
      </c>
      <c r="X52" t="e">
        <v>#DIV/0!</v>
      </c>
      <c r="Y52" t="e">
        <v>#DIV/0!</v>
      </c>
    </row>
    <row r="53" spans="1:25" x14ac:dyDescent="0.2">
      <c r="A53">
        <f>lc_detailed!W54</f>
        <v>0</v>
      </c>
      <c r="B53" s="23" t="e">
        <f>lc_detailed!AB54</f>
        <v>#DIV/0!</v>
      </c>
      <c r="C53" s="23" t="e">
        <f>lc_detailed!AC54</f>
        <v>#DIV/0!</v>
      </c>
      <c r="D53" s="23" t="e">
        <f>lc_detailed!AD54</f>
        <v>#DIV/0!</v>
      </c>
      <c r="E53" s="23" t="e">
        <f>lc_detailed!AE54</f>
        <v>#DIV/0!</v>
      </c>
      <c r="F53" s="23" t="e">
        <f>lc_detailed!AF54</f>
        <v>#DIV/0!</v>
      </c>
      <c r="G53" s="23" t="e">
        <f>lc_detailed!AG54</f>
        <v>#DIV/0!</v>
      </c>
      <c r="H53" s="23" t="e">
        <f>lc_detailed!AH54</f>
        <v>#DIV/0!</v>
      </c>
      <c r="I53" s="23">
        <f>lc_detailed!AI54</f>
        <v>0</v>
      </c>
      <c r="J53" s="23">
        <f>lc_detailed!AK54</f>
        <v>0</v>
      </c>
      <c r="K53" s="23" t="e">
        <f>lc_detailed!AL54</f>
        <v>#DIV/0!</v>
      </c>
      <c r="L53" s="23" t="e">
        <f>lc_detailed!Y54</f>
        <v>#DIV/0!</v>
      </c>
      <c r="N53">
        <v>0</v>
      </c>
      <c r="O53" t="e">
        <v>#DIV/0!</v>
      </c>
      <c r="P53" t="e">
        <v>#DIV/0!</v>
      </c>
      <c r="Q53" t="e">
        <v>#DIV/0!</v>
      </c>
      <c r="R53" t="e">
        <v>#DIV/0!</v>
      </c>
      <c r="S53" t="e">
        <v>#DIV/0!</v>
      </c>
      <c r="T53" t="e">
        <v>#DIV/0!</v>
      </c>
      <c r="U53" t="e">
        <v>#DIV/0!</v>
      </c>
      <c r="V53">
        <v>0</v>
      </c>
      <c r="W53">
        <v>0</v>
      </c>
      <c r="X53" t="e">
        <v>#DIV/0!</v>
      </c>
      <c r="Y53" t="e">
        <v>#DIV/0!</v>
      </c>
    </row>
    <row r="54" spans="1:25" x14ac:dyDescent="0.2">
      <c r="A54">
        <f>lc_detailed!W55</f>
        <v>0</v>
      </c>
      <c r="B54" s="23" t="e">
        <f>lc_detailed!AB55</f>
        <v>#DIV/0!</v>
      </c>
      <c r="C54" s="23" t="e">
        <f>lc_detailed!AC55</f>
        <v>#DIV/0!</v>
      </c>
      <c r="D54" s="23" t="e">
        <f>lc_detailed!AD55</f>
        <v>#DIV/0!</v>
      </c>
      <c r="E54" s="23" t="e">
        <f>lc_detailed!AE55</f>
        <v>#DIV/0!</v>
      </c>
      <c r="F54" s="23" t="e">
        <f>lc_detailed!AF55</f>
        <v>#DIV/0!</v>
      </c>
      <c r="G54" s="23" t="e">
        <f>lc_detailed!AG55</f>
        <v>#DIV/0!</v>
      </c>
      <c r="H54" s="23" t="e">
        <f>lc_detailed!AH55</f>
        <v>#DIV/0!</v>
      </c>
      <c r="I54" s="23">
        <f>lc_detailed!AI55</f>
        <v>0</v>
      </c>
      <c r="J54" s="23">
        <f>lc_detailed!AK55</f>
        <v>0</v>
      </c>
      <c r="K54" s="23" t="e">
        <f>lc_detailed!AL55</f>
        <v>#DIV/0!</v>
      </c>
      <c r="L54" s="23" t="e">
        <f>lc_detailed!Y55</f>
        <v>#DIV/0!</v>
      </c>
      <c r="N54">
        <v>0</v>
      </c>
      <c r="O54" t="e">
        <v>#DIV/0!</v>
      </c>
      <c r="P54" t="e">
        <v>#DIV/0!</v>
      </c>
      <c r="Q54" t="e">
        <v>#DIV/0!</v>
      </c>
      <c r="R54" t="e">
        <v>#DIV/0!</v>
      </c>
      <c r="S54" t="e">
        <v>#DIV/0!</v>
      </c>
      <c r="T54" t="e">
        <v>#DIV/0!</v>
      </c>
      <c r="U54" t="e">
        <v>#DIV/0!</v>
      </c>
      <c r="V54">
        <v>0</v>
      </c>
      <c r="W54">
        <v>0</v>
      </c>
      <c r="X54" t="e">
        <v>#DIV/0!</v>
      </c>
      <c r="Y54" t="e">
        <v>#DIV/0!</v>
      </c>
    </row>
    <row r="55" spans="1:25" x14ac:dyDescent="0.2">
      <c r="A55">
        <f>lc_detailed!W56</f>
        <v>0</v>
      </c>
      <c r="B55" s="23" t="e">
        <f>lc_detailed!AB56</f>
        <v>#DIV/0!</v>
      </c>
      <c r="C55" s="23" t="e">
        <f>lc_detailed!AC56</f>
        <v>#DIV/0!</v>
      </c>
      <c r="D55" s="23" t="e">
        <f>lc_detailed!AD56</f>
        <v>#DIV/0!</v>
      </c>
      <c r="E55" s="23" t="e">
        <f>lc_detailed!AE56</f>
        <v>#DIV/0!</v>
      </c>
      <c r="F55" s="23" t="e">
        <f>lc_detailed!AF56</f>
        <v>#DIV/0!</v>
      </c>
      <c r="G55" s="23" t="e">
        <f>lc_detailed!AG56</f>
        <v>#DIV/0!</v>
      </c>
      <c r="H55" s="23" t="e">
        <f>lc_detailed!AH56</f>
        <v>#DIV/0!</v>
      </c>
      <c r="I55" s="23">
        <f>lc_detailed!AI56</f>
        <v>0</v>
      </c>
      <c r="J55" s="23">
        <f>lc_detailed!AK56</f>
        <v>0</v>
      </c>
      <c r="K55" s="23" t="e">
        <f>lc_detailed!AL56</f>
        <v>#DIV/0!</v>
      </c>
      <c r="L55" s="23" t="e">
        <f>lc_detailed!Y56</f>
        <v>#DIV/0!</v>
      </c>
      <c r="N55">
        <v>0</v>
      </c>
      <c r="O55" t="e">
        <v>#DIV/0!</v>
      </c>
      <c r="P55" t="e">
        <v>#DIV/0!</v>
      </c>
      <c r="Q55" t="e">
        <v>#DIV/0!</v>
      </c>
      <c r="R55" t="e">
        <v>#DIV/0!</v>
      </c>
      <c r="S55" t="e">
        <v>#DIV/0!</v>
      </c>
      <c r="T55" t="e">
        <v>#DIV/0!</v>
      </c>
      <c r="U55" t="e">
        <v>#DIV/0!</v>
      </c>
      <c r="V55">
        <v>0</v>
      </c>
      <c r="W55">
        <v>0</v>
      </c>
      <c r="X55" t="e">
        <v>#DIV/0!</v>
      </c>
      <c r="Y55" t="e">
        <v>#DIV/0!</v>
      </c>
    </row>
    <row r="56" spans="1:25" x14ac:dyDescent="0.2">
      <c r="A56">
        <f>lc_detailed!W57</f>
        <v>0</v>
      </c>
      <c r="B56" s="23" t="e">
        <f>lc_detailed!AB57</f>
        <v>#DIV/0!</v>
      </c>
      <c r="C56" s="23" t="e">
        <f>lc_detailed!AC57</f>
        <v>#DIV/0!</v>
      </c>
      <c r="D56" s="23" t="e">
        <f>lc_detailed!AD57</f>
        <v>#DIV/0!</v>
      </c>
      <c r="E56" s="23" t="e">
        <f>lc_detailed!AE57</f>
        <v>#DIV/0!</v>
      </c>
      <c r="F56" s="23" t="e">
        <f>lc_detailed!AF57</f>
        <v>#DIV/0!</v>
      </c>
      <c r="G56" s="23" t="e">
        <f>lc_detailed!AG57</f>
        <v>#DIV/0!</v>
      </c>
      <c r="H56" s="23" t="e">
        <f>lc_detailed!AH57</f>
        <v>#DIV/0!</v>
      </c>
      <c r="I56" s="23">
        <f>lc_detailed!AI57</f>
        <v>0</v>
      </c>
      <c r="J56" s="23">
        <f>lc_detailed!AK57</f>
        <v>0</v>
      </c>
      <c r="K56" s="23" t="e">
        <f>lc_detailed!AL57</f>
        <v>#DIV/0!</v>
      </c>
      <c r="L56" s="23" t="e">
        <f>lc_detailed!Y57</f>
        <v>#DIV/0!</v>
      </c>
      <c r="N56">
        <v>0</v>
      </c>
      <c r="O56" t="e">
        <v>#DIV/0!</v>
      </c>
      <c r="P56" t="e">
        <v>#DIV/0!</v>
      </c>
      <c r="Q56" t="e">
        <v>#DIV/0!</v>
      </c>
      <c r="R56" t="e">
        <v>#DIV/0!</v>
      </c>
      <c r="S56" t="e">
        <v>#DIV/0!</v>
      </c>
      <c r="T56" t="e">
        <v>#DIV/0!</v>
      </c>
      <c r="U56" t="e">
        <v>#DIV/0!</v>
      </c>
      <c r="V56">
        <v>0</v>
      </c>
      <c r="W56">
        <v>0</v>
      </c>
      <c r="X56" t="e">
        <v>#DIV/0!</v>
      </c>
      <c r="Y56" t="e">
        <v>#DIV/0!</v>
      </c>
    </row>
    <row r="57" spans="1:25" x14ac:dyDescent="0.2">
      <c r="A57">
        <f>lc_detailed!W58</f>
        <v>0</v>
      </c>
      <c r="B57" s="23" t="e">
        <f>lc_detailed!AB58</f>
        <v>#DIV/0!</v>
      </c>
      <c r="C57" s="23" t="e">
        <f>lc_detailed!AC58</f>
        <v>#DIV/0!</v>
      </c>
      <c r="D57" s="23" t="e">
        <f>lc_detailed!AD58</f>
        <v>#DIV/0!</v>
      </c>
      <c r="E57" s="23" t="e">
        <f>lc_detailed!AE58</f>
        <v>#DIV/0!</v>
      </c>
      <c r="F57" s="23" t="e">
        <f>lc_detailed!AF58</f>
        <v>#DIV/0!</v>
      </c>
      <c r="G57" s="23" t="e">
        <f>lc_detailed!AG58</f>
        <v>#DIV/0!</v>
      </c>
      <c r="H57" s="23" t="e">
        <f>lc_detailed!AH58</f>
        <v>#DIV/0!</v>
      </c>
      <c r="I57" s="23">
        <f>lc_detailed!AI58</f>
        <v>0</v>
      </c>
      <c r="J57" s="23">
        <f>lc_detailed!AK58</f>
        <v>0</v>
      </c>
      <c r="K57" s="23" t="e">
        <f>lc_detailed!AL58</f>
        <v>#DIV/0!</v>
      </c>
      <c r="L57" s="23" t="e">
        <f>lc_detailed!Y58</f>
        <v>#DIV/0!</v>
      </c>
      <c r="N57">
        <v>0</v>
      </c>
      <c r="O57" t="e">
        <v>#DIV/0!</v>
      </c>
      <c r="P57" t="e">
        <v>#DIV/0!</v>
      </c>
      <c r="Q57" t="e">
        <v>#DIV/0!</v>
      </c>
      <c r="R57" t="e">
        <v>#DIV/0!</v>
      </c>
      <c r="S57" t="e">
        <v>#DIV/0!</v>
      </c>
      <c r="T57" t="e">
        <v>#DIV/0!</v>
      </c>
      <c r="U57" t="e">
        <v>#DIV/0!</v>
      </c>
      <c r="V57">
        <v>0</v>
      </c>
      <c r="W57">
        <v>0</v>
      </c>
      <c r="X57" t="e">
        <v>#DIV/0!</v>
      </c>
      <c r="Y57" t="e">
        <v>#DIV/0!</v>
      </c>
    </row>
    <row r="58" spans="1:25" x14ac:dyDescent="0.2">
      <c r="A58">
        <f>lc_detailed!W59</f>
        <v>0</v>
      </c>
      <c r="B58" s="23" t="e">
        <f>lc_detailed!AB59</f>
        <v>#DIV/0!</v>
      </c>
      <c r="C58" s="23" t="e">
        <f>lc_detailed!AC59</f>
        <v>#DIV/0!</v>
      </c>
      <c r="D58" s="23" t="e">
        <f>lc_detailed!AD59</f>
        <v>#DIV/0!</v>
      </c>
      <c r="E58" s="23" t="e">
        <f>lc_detailed!AE59</f>
        <v>#DIV/0!</v>
      </c>
      <c r="F58" s="23" t="e">
        <f>lc_detailed!AF59</f>
        <v>#DIV/0!</v>
      </c>
      <c r="G58" s="23" t="e">
        <f>lc_detailed!AG59</f>
        <v>#DIV/0!</v>
      </c>
      <c r="H58" s="23" t="e">
        <f>lc_detailed!AH59</f>
        <v>#DIV/0!</v>
      </c>
      <c r="I58" s="23">
        <f>lc_detailed!AI59</f>
        <v>0</v>
      </c>
      <c r="J58" s="23">
        <f>lc_detailed!AK59</f>
        <v>0</v>
      </c>
      <c r="K58" s="23" t="e">
        <f>lc_detailed!AL59</f>
        <v>#DIV/0!</v>
      </c>
      <c r="L58" s="23" t="e">
        <f>lc_detailed!Y59</f>
        <v>#DIV/0!</v>
      </c>
      <c r="N58">
        <v>0</v>
      </c>
      <c r="O58" t="e">
        <v>#DIV/0!</v>
      </c>
      <c r="P58" t="e">
        <v>#DIV/0!</v>
      </c>
      <c r="Q58" t="e">
        <v>#DIV/0!</v>
      </c>
      <c r="R58" t="e">
        <v>#DIV/0!</v>
      </c>
      <c r="S58" t="e">
        <v>#DIV/0!</v>
      </c>
      <c r="T58" t="e">
        <v>#DIV/0!</v>
      </c>
      <c r="U58" t="e">
        <v>#DIV/0!</v>
      </c>
      <c r="V58">
        <v>0</v>
      </c>
      <c r="W58">
        <v>0</v>
      </c>
      <c r="X58" t="e">
        <v>#DIV/0!</v>
      </c>
      <c r="Y58" t="e">
        <v>#DIV/0!</v>
      </c>
    </row>
    <row r="59" spans="1:25" x14ac:dyDescent="0.2">
      <c r="A59">
        <f>lc_detailed!W60</f>
        <v>0</v>
      </c>
      <c r="B59" s="23" t="e">
        <f>lc_detailed!AB60</f>
        <v>#DIV/0!</v>
      </c>
      <c r="C59" s="23" t="e">
        <f>lc_detailed!AC60</f>
        <v>#DIV/0!</v>
      </c>
      <c r="D59" s="23" t="e">
        <f>lc_detailed!AD60</f>
        <v>#DIV/0!</v>
      </c>
      <c r="E59" s="23" t="e">
        <f>lc_detailed!AE60</f>
        <v>#DIV/0!</v>
      </c>
      <c r="F59" s="23" t="e">
        <f>lc_detailed!AF60</f>
        <v>#DIV/0!</v>
      </c>
      <c r="G59" s="23" t="e">
        <f>lc_detailed!AG60</f>
        <v>#DIV/0!</v>
      </c>
      <c r="H59" s="23" t="e">
        <f>lc_detailed!AH60</f>
        <v>#DIV/0!</v>
      </c>
      <c r="I59" s="23">
        <f>lc_detailed!AI60</f>
        <v>0</v>
      </c>
      <c r="J59" s="23">
        <f>lc_detailed!AK60</f>
        <v>0</v>
      </c>
      <c r="K59" s="23" t="e">
        <f>lc_detailed!AL60</f>
        <v>#DIV/0!</v>
      </c>
      <c r="L59" s="23" t="e">
        <f>lc_detailed!Y60</f>
        <v>#DIV/0!</v>
      </c>
      <c r="N59">
        <v>0</v>
      </c>
      <c r="O59" t="e">
        <v>#DIV/0!</v>
      </c>
      <c r="P59" t="e">
        <v>#DIV/0!</v>
      </c>
      <c r="Q59" t="e">
        <v>#DIV/0!</v>
      </c>
      <c r="R59" t="e">
        <v>#DIV/0!</v>
      </c>
      <c r="S59" t="e">
        <v>#DIV/0!</v>
      </c>
      <c r="T59" t="e">
        <v>#DIV/0!</v>
      </c>
      <c r="U59" t="e">
        <v>#DIV/0!</v>
      </c>
      <c r="V59">
        <v>0</v>
      </c>
      <c r="W59">
        <v>0</v>
      </c>
      <c r="X59" t="e">
        <v>#DIV/0!</v>
      </c>
      <c r="Y59" t="e">
        <v>#DIV/0!</v>
      </c>
    </row>
    <row r="60" spans="1:25" x14ac:dyDescent="0.2">
      <c r="A60">
        <f>lc_detailed!W61</f>
        <v>0</v>
      </c>
      <c r="B60" s="23" t="e">
        <f>lc_detailed!AB61</f>
        <v>#DIV/0!</v>
      </c>
      <c r="C60" s="23" t="e">
        <f>lc_detailed!AC61</f>
        <v>#DIV/0!</v>
      </c>
      <c r="D60" s="23" t="e">
        <f>lc_detailed!AD61</f>
        <v>#DIV/0!</v>
      </c>
      <c r="E60" s="23" t="e">
        <f>lc_detailed!AE61</f>
        <v>#DIV/0!</v>
      </c>
      <c r="F60" s="23" t="e">
        <f>lc_detailed!AF61</f>
        <v>#DIV/0!</v>
      </c>
      <c r="G60" s="23" t="e">
        <f>lc_detailed!AG61</f>
        <v>#DIV/0!</v>
      </c>
      <c r="H60" s="23" t="e">
        <f>lc_detailed!AH61</f>
        <v>#DIV/0!</v>
      </c>
      <c r="I60" s="23">
        <f>lc_detailed!AI61</f>
        <v>0</v>
      </c>
      <c r="J60" s="23">
        <f>lc_detailed!AK61</f>
        <v>0</v>
      </c>
      <c r="K60" s="23" t="e">
        <f>lc_detailed!AL61</f>
        <v>#DIV/0!</v>
      </c>
      <c r="L60" s="23" t="e">
        <f>lc_detailed!Y61</f>
        <v>#DIV/0!</v>
      </c>
      <c r="N60">
        <v>0</v>
      </c>
      <c r="O60" t="e">
        <v>#DIV/0!</v>
      </c>
      <c r="P60" t="e">
        <v>#DIV/0!</v>
      </c>
      <c r="Q60" t="e">
        <v>#DIV/0!</v>
      </c>
      <c r="R60" t="e">
        <v>#DIV/0!</v>
      </c>
      <c r="S60" t="e">
        <v>#DIV/0!</v>
      </c>
      <c r="T60" t="e">
        <v>#DIV/0!</v>
      </c>
      <c r="U60" t="e">
        <v>#DIV/0!</v>
      </c>
      <c r="V60">
        <v>0</v>
      </c>
      <c r="W60">
        <v>0</v>
      </c>
      <c r="X60" t="e">
        <v>#DIV/0!</v>
      </c>
      <c r="Y60" t="e">
        <v>#DIV/0!</v>
      </c>
    </row>
    <row r="61" spans="1:25" x14ac:dyDescent="0.2">
      <c r="A61">
        <f>lc_detailed!W62</f>
        <v>0</v>
      </c>
      <c r="B61" s="23" t="e">
        <f>lc_detailed!AB62</f>
        <v>#DIV/0!</v>
      </c>
      <c r="C61" s="23" t="e">
        <f>lc_detailed!AC62</f>
        <v>#DIV/0!</v>
      </c>
      <c r="D61" s="23" t="e">
        <f>lc_detailed!AD62</f>
        <v>#DIV/0!</v>
      </c>
      <c r="E61" s="23" t="e">
        <f>lc_detailed!AE62</f>
        <v>#DIV/0!</v>
      </c>
      <c r="F61" s="23" t="e">
        <f>lc_detailed!AF62</f>
        <v>#DIV/0!</v>
      </c>
      <c r="G61" s="23" t="e">
        <f>lc_detailed!AG62</f>
        <v>#DIV/0!</v>
      </c>
      <c r="H61" s="23" t="e">
        <f>lc_detailed!AH62</f>
        <v>#DIV/0!</v>
      </c>
      <c r="I61" s="23">
        <f>lc_detailed!AI62</f>
        <v>0</v>
      </c>
      <c r="J61" s="23">
        <f>lc_detailed!AK62</f>
        <v>0</v>
      </c>
      <c r="K61" s="23" t="e">
        <f>lc_detailed!AL62</f>
        <v>#DIV/0!</v>
      </c>
      <c r="L61" s="23" t="e">
        <f>lc_detailed!Y62</f>
        <v>#DIV/0!</v>
      </c>
      <c r="N61">
        <v>0</v>
      </c>
      <c r="O61" t="e">
        <v>#DIV/0!</v>
      </c>
      <c r="P61" t="e">
        <v>#DIV/0!</v>
      </c>
      <c r="Q61" t="e">
        <v>#DIV/0!</v>
      </c>
      <c r="R61" t="e">
        <v>#DIV/0!</v>
      </c>
      <c r="S61" t="e">
        <v>#DIV/0!</v>
      </c>
      <c r="T61" t="e">
        <v>#DIV/0!</v>
      </c>
      <c r="U61" t="e">
        <v>#DIV/0!</v>
      </c>
      <c r="V61">
        <v>0</v>
      </c>
      <c r="W61">
        <v>0</v>
      </c>
      <c r="X61" t="e">
        <v>#DIV/0!</v>
      </c>
      <c r="Y61" t="e">
        <v>#DIV/0!</v>
      </c>
    </row>
    <row r="62" spans="1:25" x14ac:dyDescent="0.2">
      <c r="A62">
        <f>lc_detailed!W63</f>
        <v>0</v>
      </c>
      <c r="B62" s="23" t="e">
        <f>lc_detailed!AB63</f>
        <v>#DIV/0!</v>
      </c>
      <c r="C62" s="23" t="e">
        <f>lc_detailed!AC63</f>
        <v>#DIV/0!</v>
      </c>
      <c r="D62" s="23" t="e">
        <f>lc_detailed!AD63</f>
        <v>#DIV/0!</v>
      </c>
      <c r="E62" s="23" t="e">
        <f>lc_detailed!AE63</f>
        <v>#DIV/0!</v>
      </c>
      <c r="F62" s="23" t="e">
        <f>lc_detailed!AF63</f>
        <v>#DIV/0!</v>
      </c>
      <c r="G62" s="23" t="e">
        <f>lc_detailed!AG63</f>
        <v>#DIV/0!</v>
      </c>
      <c r="H62" s="23" t="e">
        <f>lc_detailed!AH63</f>
        <v>#DIV/0!</v>
      </c>
      <c r="I62" s="23">
        <f>lc_detailed!AI63</f>
        <v>0</v>
      </c>
      <c r="J62" s="23">
        <f>lc_detailed!AK63</f>
        <v>0</v>
      </c>
      <c r="K62" s="23" t="e">
        <f>lc_detailed!AL63</f>
        <v>#DIV/0!</v>
      </c>
      <c r="L62" s="23" t="e">
        <f>lc_detailed!Y63</f>
        <v>#DIV/0!</v>
      </c>
      <c r="N62">
        <v>0</v>
      </c>
      <c r="O62" t="e">
        <v>#DIV/0!</v>
      </c>
      <c r="P62" t="e">
        <v>#DIV/0!</v>
      </c>
      <c r="Q62" t="e">
        <v>#DIV/0!</v>
      </c>
      <c r="R62" t="e">
        <v>#DIV/0!</v>
      </c>
      <c r="S62" t="e">
        <v>#DIV/0!</v>
      </c>
      <c r="T62" t="e">
        <v>#DIV/0!</v>
      </c>
      <c r="U62" t="e">
        <v>#DIV/0!</v>
      </c>
      <c r="V62">
        <v>0</v>
      </c>
      <c r="W62">
        <v>0</v>
      </c>
      <c r="X62" t="e">
        <v>#DIV/0!</v>
      </c>
      <c r="Y62" t="e">
        <v>#DIV/0!</v>
      </c>
    </row>
    <row r="63" spans="1:25" x14ac:dyDescent="0.2">
      <c r="A63">
        <f>lc_detailed!W64</f>
        <v>0</v>
      </c>
      <c r="B63" s="23" t="e">
        <f>lc_detailed!AB64</f>
        <v>#DIV/0!</v>
      </c>
      <c r="C63" s="23" t="e">
        <f>lc_detailed!AC64</f>
        <v>#DIV/0!</v>
      </c>
      <c r="D63" s="23" t="e">
        <f>lc_detailed!AD64</f>
        <v>#DIV/0!</v>
      </c>
      <c r="E63" s="23" t="e">
        <f>lc_detailed!AE64</f>
        <v>#DIV/0!</v>
      </c>
      <c r="F63" s="23" t="e">
        <f>lc_detailed!AF64</f>
        <v>#DIV/0!</v>
      </c>
      <c r="G63" s="23" t="e">
        <f>lc_detailed!AG64</f>
        <v>#DIV/0!</v>
      </c>
      <c r="H63" s="23" t="e">
        <f>lc_detailed!AH64</f>
        <v>#DIV/0!</v>
      </c>
      <c r="I63" s="23">
        <f>lc_detailed!AI64</f>
        <v>0</v>
      </c>
      <c r="J63" s="23">
        <f>lc_detailed!AK64</f>
        <v>0</v>
      </c>
      <c r="K63" s="23" t="e">
        <f>lc_detailed!AL64</f>
        <v>#DIV/0!</v>
      </c>
      <c r="L63" s="23" t="e">
        <f>lc_detailed!Y64</f>
        <v>#DIV/0!</v>
      </c>
      <c r="N63">
        <v>0</v>
      </c>
      <c r="O63" t="e">
        <v>#DIV/0!</v>
      </c>
      <c r="P63" t="e">
        <v>#DIV/0!</v>
      </c>
      <c r="Q63" t="e">
        <v>#DIV/0!</v>
      </c>
      <c r="R63" t="e">
        <v>#DIV/0!</v>
      </c>
      <c r="S63" t="e">
        <v>#DIV/0!</v>
      </c>
      <c r="T63" t="e">
        <v>#DIV/0!</v>
      </c>
      <c r="U63" t="e">
        <v>#DIV/0!</v>
      </c>
      <c r="V63">
        <v>0</v>
      </c>
      <c r="W63">
        <v>0</v>
      </c>
      <c r="X63" t="e">
        <v>#DIV/0!</v>
      </c>
      <c r="Y63" t="e">
        <v>#DIV/0!</v>
      </c>
    </row>
    <row r="64" spans="1:25" x14ac:dyDescent="0.2">
      <c r="A64">
        <f>lc_detailed!W65</f>
        <v>0</v>
      </c>
      <c r="B64" s="23" t="e">
        <f>lc_detailed!AB65</f>
        <v>#DIV/0!</v>
      </c>
      <c r="C64" s="23" t="e">
        <f>lc_detailed!AC65</f>
        <v>#DIV/0!</v>
      </c>
      <c r="D64" s="23" t="e">
        <f>lc_detailed!AD65</f>
        <v>#DIV/0!</v>
      </c>
      <c r="E64" s="23" t="e">
        <f>lc_detailed!AE65</f>
        <v>#DIV/0!</v>
      </c>
      <c r="F64" s="23" t="e">
        <f>lc_detailed!AF65</f>
        <v>#DIV/0!</v>
      </c>
      <c r="G64" s="23" t="e">
        <f>lc_detailed!AG65</f>
        <v>#DIV/0!</v>
      </c>
      <c r="H64" s="23" t="e">
        <f>lc_detailed!AH65</f>
        <v>#DIV/0!</v>
      </c>
      <c r="I64" s="23">
        <f>lc_detailed!AI65</f>
        <v>0</v>
      </c>
      <c r="J64" s="23">
        <f>lc_detailed!AK65</f>
        <v>0</v>
      </c>
      <c r="K64" s="23" t="e">
        <f>lc_detailed!AL65</f>
        <v>#DIV/0!</v>
      </c>
      <c r="L64" s="23" t="e">
        <f>lc_detailed!Y65</f>
        <v>#DIV/0!</v>
      </c>
      <c r="N64">
        <v>0</v>
      </c>
      <c r="O64" t="e">
        <v>#DIV/0!</v>
      </c>
      <c r="P64" t="e">
        <v>#DIV/0!</v>
      </c>
      <c r="Q64" t="e">
        <v>#DIV/0!</v>
      </c>
      <c r="R64" t="e">
        <v>#DIV/0!</v>
      </c>
      <c r="S64" t="e">
        <v>#DIV/0!</v>
      </c>
      <c r="T64" t="e">
        <v>#DIV/0!</v>
      </c>
      <c r="U64" t="e">
        <v>#DIV/0!</v>
      </c>
      <c r="V64">
        <v>0</v>
      </c>
      <c r="W64">
        <v>0</v>
      </c>
      <c r="X64" t="e">
        <v>#DIV/0!</v>
      </c>
      <c r="Y64" t="e">
        <v>#DIV/0!</v>
      </c>
    </row>
    <row r="65" spans="1:25" x14ac:dyDescent="0.2">
      <c r="A65">
        <f>lc_detailed!W66</f>
        <v>0</v>
      </c>
      <c r="B65" s="23" t="e">
        <f>lc_detailed!AB66</f>
        <v>#DIV/0!</v>
      </c>
      <c r="C65" s="23" t="e">
        <f>lc_detailed!AC66</f>
        <v>#DIV/0!</v>
      </c>
      <c r="D65" s="23" t="e">
        <f>lc_detailed!AD66</f>
        <v>#DIV/0!</v>
      </c>
      <c r="E65" s="23" t="e">
        <f>lc_detailed!AE66</f>
        <v>#DIV/0!</v>
      </c>
      <c r="F65" s="23" t="e">
        <f>lc_detailed!AF66</f>
        <v>#DIV/0!</v>
      </c>
      <c r="G65" s="23" t="e">
        <f>lc_detailed!AG66</f>
        <v>#DIV/0!</v>
      </c>
      <c r="H65" s="23" t="e">
        <f>lc_detailed!AH66</f>
        <v>#DIV/0!</v>
      </c>
      <c r="I65" s="23">
        <f>lc_detailed!AI66</f>
        <v>0</v>
      </c>
      <c r="J65" s="23">
        <f>lc_detailed!AK66</f>
        <v>0</v>
      </c>
      <c r="K65" s="23" t="e">
        <f>lc_detailed!AL66</f>
        <v>#DIV/0!</v>
      </c>
      <c r="L65" s="23" t="e">
        <f>lc_detailed!Y66</f>
        <v>#DIV/0!</v>
      </c>
      <c r="N65">
        <v>0</v>
      </c>
      <c r="O65" t="e">
        <v>#DIV/0!</v>
      </c>
      <c r="P65" t="e">
        <v>#DIV/0!</v>
      </c>
      <c r="Q65" t="e">
        <v>#DIV/0!</v>
      </c>
      <c r="R65" t="e">
        <v>#DIV/0!</v>
      </c>
      <c r="S65" t="e">
        <v>#DIV/0!</v>
      </c>
      <c r="T65" t="e">
        <v>#DIV/0!</v>
      </c>
      <c r="U65" t="e">
        <v>#DIV/0!</v>
      </c>
      <c r="V65">
        <v>0</v>
      </c>
      <c r="W65">
        <v>0</v>
      </c>
      <c r="X65" t="e">
        <v>#DIV/0!</v>
      </c>
      <c r="Y65" t="e">
        <v>#DIV/0!</v>
      </c>
    </row>
    <row r="66" spans="1:25" x14ac:dyDescent="0.2">
      <c r="A66">
        <f>lc_detailed!W67</f>
        <v>0</v>
      </c>
      <c r="B66" s="23">
        <f>lc_detailed!AB67</f>
        <v>0</v>
      </c>
      <c r="C66" s="23">
        <f>lc_detailed!AC67</f>
        <v>0</v>
      </c>
      <c r="D66" s="23">
        <f>lc_detailed!AD67</f>
        <v>0</v>
      </c>
      <c r="E66" s="23">
        <f>lc_detailed!AE67</f>
        <v>0</v>
      </c>
      <c r="F66" s="23">
        <f>lc_detailed!AF67</f>
        <v>0</v>
      </c>
      <c r="G66" s="23">
        <f>lc_detailed!AG67</f>
        <v>0</v>
      </c>
      <c r="H66" s="23">
        <f>lc_detailed!AH67</f>
        <v>0</v>
      </c>
      <c r="I66" s="23">
        <f>lc_detailed!AI67</f>
        <v>0</v>
      </c>
      <c r="J66" s="23">
        <f>lc_detailed!AK67</f>
        <v>0</v>
      </c>
      <c r="K66" s="23">
        <f>lc_detailed!AL67</f>
        <v>0</v>
      </c>
      <c r="L66" s="23">
        <f>lc_detailed!Y67</f>
        <v>0</v>
      </c>
      <c r="N66">
        <v>0</v>
      </c>
      <c r="O66" t="e">
        <v>#DIV/0!</v>
      </c>
      <c r="P66" t="e">
        <v>#DIV/0!</v>
      </c>
      <c r="Q66" t="e">
        <v>#DIV/0!</v>
      </c>
      <c r="R66" t="e">
        <v>#DIV/0!</v>
      </c>
      <c r="S66" t="e">
        <v>#DIV/0!</v>
      </c>
      <c r="T66" t="e">
        <v>#DIV/0!</v>
      </c>
      <c r="U66" t="e">
        <v>#DIV/0!</v>
      </c>
      <c r="V66">
        <v>0</v>
      </c>
      <c r="W66">
        <v>0</v>
      </c>
      <c r="X66" t="e">
        <v>#DIV/0!</v>
      </c>
      <c r="Y66" t="e">
        <v>#DIV/0!</v>
      </c>
    </row>
    <row r="67" spans="1:25" x14ac:dyDescent="0.2">
      <c r="A67">
        <f>lc_detailed!W68</f>
        <v>0</v>
      </c>
      <c r="B67" s="23">
        <f>lc_detailed!AB68</f>
        <v>0</v>
      </c>
      <c r="C67" s="23">
        <f>lc_detailed!AC68</f>
        <v>0</v>
      </c>
      <c r="D67" s="23">
        <f>lc_detailed!AD68</f>
        <v>0</v>
      </c>
      <c r="E67" s="23">
        <f>lc_detailed!AE68</f>
        <v>0</v>
      </c>
      <c r="F67" s="23">
        <f>lc_detailed!AF68</f>
        <v>0</v>
      </c>
      <c r="G67" s="23">
        <f>lc_detailed!AG68</f>
        <v>0</v>
      </c>
      <c r="H67" s="23">
        <f>lc_detailed!AH68</f>
        <v>0</v>
      </c>
      <c r="I67" s="23">
        <f>lc_detailed!AI68</f>
        <v>0</v>
      </c>
      <c r="J67" s="23">
        <f>lc_detailed!AK68</f>
        <v>0</v>
      </c>
      <c r="K67" s="23">
        <f>lc_detailed!AL68</f>
        <v>0</v>
      </c>
      <c r="L67" s="23">
        <f>lc_detailed!Y68</f>
        <v>0</v>
      </c>
      <c r="N67">
        <v>0</v>
      </c>
      <c r="O67" t="e">
        <v>#DIV/0!</v>
      </c>
      <c r="P67" t="e">
        <v>#DIV/0!</v>
      </c>
      <c r="Q67" t="e">
        <v>#DIV/0!</v>
      </c>
      <c r="R67" t="e">
        <v>#DIV/0!</v>
      </c>
      <c r="S67" t="e">
        <v>#DIV/0!</v>
      </c>
      <c r="T67" t="e">
        <v>#DIV/0!</v>
      </c>
      <c r="U67" t="e">
        <v>#DIV/0!</v>
      </c>
      <c r="V67">
        <v>0</v>
      </c>
      <c r="W67">
        <v>0</v>
      </c>
      <c r="X67" t="e">
        <v>#DIV/0!</v>
      </c>
      <c r="Y67" t="e">
        <v>#DIV/0!</v>
      </c>
    </row>
    <row r="68" spans="1:25" x14ac:dyDescent="0.2">
      <c r="A68">
        <f>lc_detailed!W69</f>
        <v>0</v>
      </c>
      <c r="B68" s="23">
        <f>lc_detailed!AB69</f>
        <v>0</v>
      </c>
      <c r="C68" s="23">
        <f>lc_detailed!AC69</f>
        <v>0</v>
      </c>
      <c r="D68" s="23">
        <f>lc_detailed!AD69</f>
        <v>0</v>
      </c>
      <c r="E68" s="23">
        <f>lc_detailed!AE69</f>
        <v>0</v>
      </c>
      <c r="F68" s="23">
        <f>lc_detailed!AF69</f>
        <v>0</v>
      </c>
      <c r="G68" s="23">
        <f>lc_detailed!AG69</f>
        <v>0</v>
      </c>
      <c r="H68" s="23">
        <f>lc_detailed!AH69</f>
        <v>0</v>
      </c>
      <c r="I68" s="23">
        <f>lc_detailed!AI69</f>
        <v>0</v>
      </c>
      <c r="J68" s="23">
        <f>lc_detailed!AK69</f>
        <v>0</v>
      </c>
      <c r="K68" s="23">
        <f>lc_detailed!AL69</f>
        <v>0</v>
      </c>
      <c r="L68" s="23">
        <f>lc_detailed!Y69</f>
        <v>0</v>
      </c>
      <c r="N68">
        <v>0</v>
      </c>
      <c r="O68" t="e">
        <v>#DIV/0!</v>
      </c>
      <c r="P68" t="e">
        <v>#DIV/0!</v>
      </c>
      <c r="Q68" t="e">
        <v>#DIV/0!</v>
      </c>
      <c r="R68" t="e">
        <v>#DIV/0!</v>
      </c>
      <c r="S68" t="e">
        <v>#DIV/0!</v>
      </c>
      <c r="T68" t="e">
        <v>#DIV/0!</v>
      </c>
      <c r="U68" t="e">
        <v>#DIV/0!</v>
      </c>
      <c r="V68">
        <v>0</v>
      </c>
      <c r="W68">
        <v>0</v>
      </c>
      <c r="X68" t="e">
        <v>#DIV/0!</v>
      </c>
      <c r="Y68" t="e">
        <v>#DIV/0!</v>
      </c>
    </row>
    <row r="69" spans="1:25" x14ac:dyDescent="0.2">
      <c r="A69">
        <f>lc_detailed!W70</f>
        <v>0</v>
      </c>
      <c r="B69" s="23">
        <f>lc_detailed!AB70</f>
        <v>0</v>
      </c>
      <c r="C69" s="23">
        <f>lc_detailed!AC70</f>
        <v>0</v>
      </c>
      <c r="D69" s="23">
        <f>lc_detailed!AD70</f>
        <v>0</v>
      </c>
      <c r="E69" s="23">
        <f>lc_detailed!AE70</f>
        <v>0</v>
      </c>
      <c r="F69" s="23">
        <f>lc_detailed!AF70</f>
        <v>0</v>
      </c>
      <c r="G69" s="23">
        <f>lc_detailed!AG70</f>
        <v>0</v>
      </c>
      <c r="H69" s="23">
        <f>lc_detailed!AH70</f>
        <v>0</v>
      </c>
      <c r="I69" s="23">
        <f>lc_detailed!AI70</f>
        <v>0</v>
      </c>
      <c r="J69" s="23">
        <f>lc_detailed!AK70</f>
        <v>0</v>
      </c>
      <c r="K69" s="23">
        <f>lc_detailed!AL70</f>
        <v>0</v>
      </c>
      <c r="L69" s="23">
        <f>lc_detailed!Y70</f>
        <v>0</v>
      </c>
      <c r="N69">
        <v>0</v>
      </c>
      <c r="O69" t="e">
        <v>#DIV/0!</v>
      </c>
      <c r="P69" t="e">
        <v>#DIV/0!</v>
      </c>
      <c r="Q69" t="e">
        <v>#DIV/0!</v>
      </c>
      <c r="R69" t="e">
        <v>#DIV/0!</v>
      </c>
      <c r="S69" t="e">
        <v>#DIV/0!</v>
      </c>
      <c r="T69" t="e">
        <v>#DIV/0!</v>
      </c>
      <c r="U69" t="e">
        <v>#DIV/0!</v>
      </c>
      <c r="V69">
        <v>0</v>
      </c>
      <c r="W69">
        <v>0</v>
      </c>
      <c r="X69" t="e">
        <v>#DIV/0!</v>
      </c>
      <c r="Y69" t="e">
        <v>#DIV/0!</v>
      </c>
    </row>
    <row r="70" spans="1:25" x14ac:dyDescent="0.2">
      <c r="A70">
        <f>lc_detailed!W71</f>
        <v>0</v>
      </c>
      <c r="B70" s="23">
        <f>lc_detailed!AB71</f>
        <v>0</v>
      </c>
      <c r="C70" s="23">
        <f>lc_detailed!AC71</f>
        <v>0</v>
      </c>
      <c r="D70" s="23">
        <f>lc_detailed!AD71</f>
        <v>0</v>
      </c>
      <c r="E70" s="23">
        <f>lc_detailed!AE71</f>
        <v>0</v>
      </c>
      <c r="F70" s="23">
        <f>lc_detailed!AF71</f>
        <v>0</v>
      </c>
      <c r="G70" s="23">
        <f>lc_detailed!AG71</f>
        <v>0</v>
      </c>
      <c r="H70" s="23">
        <f>lc_detailed!AH71</f>
        <v>0</v>
      </c>
      <c r="I70" s="23">
        <f>lc_detailed!AI71</f>
        <v>0</v>
      </c>
      <c r="J70" s="23">
        <f>lc_detailed!AK71</f>
        <v>0</v>
      </c>
      <c r="K70" s="23">
        <f>lc_detailed!AL71</f>
        <v>0</v>
      </c>
      <c r="L70" s="23">
        <f>lc_detailed!Y71</f>
        <v>0</v>
      </c>
      <c r="N70">
        <v>0</v>
      </c>
      <c r="O70" t="e">
        <v>#DIV/0!</v>
      </c>
      <c r="P70" t="e">
        <v>#DIV/0!</v>
      </c>
      <c r="Q70" t="e">
        <v>#DIV/0!</v>
      </c>
      <c r="R70" t="e">
        <v>#DIV/0!</v>
      </c>
      <c r="S70" t="e">
        <v>#DIV/0!</v>
      </c>
      <c r="T70" t="e">
        <v>#DIV/0!</v>
      </c>
      <c r="U70" t="e">
        <v>#DIV/0!</v>
      </c>
      <c r="V70">
        <v>0</v>
      </c>
      <c r="W70">
        <v>0</v>
      </c>
      <c r="X70" t="e">
        <v>#DIV/0!</v>
      </c>
      <c r="Y70" t="e">
        <v>#DIV/0!</v>
      </c>
    </row>
    <row r="71" spans="1:25" x14ac:dyDescent="0.2">
      <c r="A71">
        <f>lc_detailed!W72</f>
        <v>0</v>
      </c>
      <c r="B71" s="23">
        <f>lc_detailed!AB72</f>
        <v>0</v>
      </c>
      <c r="C71" s="23">
        <f>lc_detailed!AC72</f>
        <v>0</v>
      </c>
      <c r="D71" s="23">
        <f>lc_detailed!AD72</f>
        <v>0</v>
      </c>
      <c r="E71" s="23">
        <f>lc_detailed!AE72</f>
        <v>0</v>
      </c>
      <c r="F71" s="23">
        <f>lc_detailed!AF72</f>
        <v>0</v>
      </c>
      <c r="G71" s="23">
        <f>lc_detailed!AG72</f>
        <v>0</v>
      </c>
      <c r="H71" s="23">
        <f>lc_detailed!AH72</f>
        <v>0</v>
      </c>
      <c r="I71" s="23">
        <f>lc_detailed!AI72</f>
        <v>0</v>
      </c>
      <c r="J71" s="23">
        <f>lc_detailed!AK72</f>
        <v>0</v>
      </c>
      <c r="K71" s="23">
        <f>lc_detailed!AL72</f>
        <v>0</v>
      </c>
      <c r="L71" s="23">
        <f>lc_detailed!Y72</f>
        <v>0</v>
      </c>
    </row>
    <row r="72" spans="1:25" x14ac:dyDescent="0.2">
      <c r="A72">
        <f>lc_detailed!W73</f>
        <v>0</v>
      </c>
      <c r="B72" s="23">
        <f>lc_detailed!AB73</f>
        <v>0</v>
      </c>
      <c r="C72" s="23">
        <f>lc_detailed!AC73</f>
        <v>0</v>
      </c>
      <c r="D72" s="23">
        <f>lc_detailed!AD73</f>
        <v>0</v>
      </c>
      <c r="E72" s="23">
        <f>lc_detailed!AE73</f>
        <v>0</v>
      </c>
      <c r="F72" s="23">
        <f>lc_detailed!AF73</f>
        <v>0</v>
      </c>
      <c r="G72" s="23">
        <f>lc_detailed!AG73</f>
        <v>0</v>
      </c>
      <c r="H72" s="23">
        <f>lc_detailed!AH73</f>
        <v>0</v>
      </c>
      <c r="I72" s="23">
        <f>lc_detailed!AI73</f>
        <v>0</v>
      </c>
      <c r="J72" s="23">
        <f>lc_detailed!AK73</f>
        <v>0</v>
      </c>
      <c r="K72" s="23">
        <f>lc_detailed!AL73</f>
        <v>0</v>
      </c>
      <c r="L72" s="23">
        <f>lc_detailed!Y73</f>
        <v>0</v>
      </c>
    </row>
    <row r="73" spans="1:25" x14ac:dyDescent="0.2">
      <c r="A73">
        <f>lc_detailed!W74</f>
        <v>0</v>
      </c>
      <c r="B73" s="23">
        <f>lc_detailed!AB74</f>
        <v>0</v>
      </c>
      <c r="C73" s="23">
        <f>lc_detailed!AC74</f>
        <v>0</v>
      </c>
      <c r="D73" s="23">
        <f>lc_detailed!AD74</f>
        <v>0</v>
      </c>
      <c r="E73" s="23">
        <f>lc_detailed!AE74</f>
        <v>0</v>
      </c>
      <c r="F73" s="23">
        <f>lc_detailed!AF74</f>
        <v>0</v>
      </c>
      <c r="G73" s="23">
        <f>lc_detailed!AG74</f>
        <v>0</v>
      </c>
      <c r="H73" s="23">
        <f>lc_detailed!AH74</f>
        <v>0</v>
      </c>
      <c r="I73" s="23">
        <f>lc_detailed!AI74</f>
        <v>0</v>
      </c>
      <c r="J73" s="23">
        <f>lc_detailed!AK74</f>
        <v>0</v>
      </c>
      <c r="K73" s="23">
        <f>lc_detailed!AL74</f>
        <v>0</v>
      </c>
      <c r="L73" s="23">
        <f>lc_detailed!Y74</f>
        <v>0</v>
      </c>
    </row>
    <row r="74" spans="1:25" x14ac:dyDescent="0.2">
      <c r="A74">
        <f>lc_detailed!W75</f>
        <v>0</v>
      </c>
      <c r="B74" s="23">
        <f>lc_detailed!AB75</f>
        <v>0</v>
      </c>
      <c r="C74" s="23">
        <f>lc_detailed!AC75</f>
        <v>0</v>
      </c>
      <c r="D74" s="23">
        <f>lc_detailed!AD75</f>
        <v>0</v>
      </c>
      <c r="E74" s="23">
        <f>lc_detailed!AE75</f>
        <v>0</v>
      </c>
      <c r="F74" s="23">
        <f>lc_detailed!AF75</f>
        <v>0</v>
      </c>
      <c r="G74" s="23">
        <f>lc_detailed!AG75</f>
        <v>0</v>
      </c>
      <c r="H74" s="23">
        <f>lc_detailed!AH75</f>
        <v>0</v>
      </c>
      <c r="I74" s="23">
        <f>lc_detailed!AI75</f>
        <v>0</v>
      </c>
      <c r="J74" s="23">
        <f>lc_detailed!AK75</f>
        <v>0</v>
      </c>
      <c r="K74" s="23">
        <f>lc_detailed!AL75</f>
        <v>0</v>
      </c>
      <c r="L74" s="23">
        <f>lc_detailed!Y75</f>
        <v>0</v>
      </c>
    </row>
    <row r="75" spans="1:25" x14ac:dyDescent="0.2">
      <c r="A75">
        <f>lc_detailed!W76</f>
        <v>0</v>
      </c>
      <c r="B75" s="23">
        <f>lc_detailed!AB76</f>
        <v>0</v>
      </c>
      <c r="C75" s="23">
        <f>lc_detailed!AC76</f>
        <v>0</v>
      </c>
      <c r="D75" s="23">
        <f>lc_detailed!AD76</f>
        <v>0</v>
      </c>
      <c r="E75" s="23">
        <f>lc_detailed!AE76</f>
        <v>0</v>
      </c>
      <c r="F75" s="23">
        <f>lc_detailed!AF76</f>
        <v>0</v>
      </c>
      <c r="G75" s="23">
        <f>lc_detailed!AG76</f>
        <v>0</v>
      </c>
      <c r="H75" s="23">
        <f>lc_detailed!AH76</f>
        <v>0</v>
      </c>
      <c r="I75" s="23">
        <f>lc_detailed!AI76</f>
        <v>0</v>
      </c>
      <c r="J75" s="23">
        <f>lc_detailed!AK76</f>
        <v>0</v>
      </c>
      <c r="K75" s="23">
        <f>lc_detailed!AL76</f>
        <v>0</v>
      </c>
      <c r="L75" s="23">
        <f>lc_detailed!Y76</f>
        <v>0</v>
      </c>
    </row>
    <row r="76" spans="1:25" x14ac:dyDescent="0.2">
      <c r="A76">
        <f>lc_detailed!W77</f>
        <v>0</v>
      </c>
      <c r="B76" s="23">
        <f>lc_detailed!AB77</f>
        <v>0</v>
      </c>
      <c r="C76" s="23">
        <f>lc_detailed!AC77</f>
        <v>0</v>
      </c>
      <c r="D76" s="23">
        <f>lc_detailed!AD77</f>
        <v>0</v>
      </c>
      <c r="E76" s="23">
        <f>lc_detailed!AE77</f>
        <v>0</v>
      </c>
      <c r="F76" s="23">
        <f>lc_detailed!AF77</f>
        <v>0</v>
      </c>
      <c r="G76" s="23">
        <f>lc_detailed!AG77</f>
        <v>0</v>
      </c>
      <c r="H76" s="23">
        <f>lc_detailed!AH77</f>
        <v>0</v>
      </c>
      <c r="I76" s="23">
        <f>lc_detailed!AI77</f>
        <v>0</v>
      </c>
      <c r="J76" s="23">
        <f>lc_detailed!AK77</f>
        <v>0</v>
      </c>
      <c r="K76" s="23">
        <f>lc_detailed!AL77</f>
        <v>0</v>
      </c>
      <c r="L76" s="23">
        <f>lc_detailed!Y77</f>
        <v>0</v>
      </c>
    </row>
    <row r="77" spans="1:25" x14ac:dyDescent="0.2">
      <c r="A77">
        <f>lc_detailed!W78</f>
        <v>0</v>
      </c>
      <c r="B77" s="23">
        <f>lc_detailed!AB78</f>
        <v>0</v>
      </c>
      <c r="C77" s="23">
        <f>lc_detailed!AC78</f>
        <v>0</v>
      </c>
      <c r="D77" s="23">
        <f>lc_detailed!AD78</f>
        <v>0</v>
      </c>
      <c r="E77" s="23">
        <f>lc_detailed!AE78</f>
        <v>0</v>
      </c>
      <c r="F77" s="23">
        <f>lc_detailed!AF78</f>
        <v>0</v>
      </c>
      <c r="G77" s="23">
        <f>lc_detailed!AG78</f>
        <v>0</v>
      </c>
      <c r="H77" s="23">
        <f>lc_detailed!AH78</f>
        <v>0</v>
      </c>
      <c r="I77" s="23">
        <f>lc_detailed!AI78</f>
        <v>0</v>
      </c>
      <c r="J77" s="23">
        <f>lc_detailed!AK78</f>
        <v>0</v>
      </c>
      <c r="K77" s="23">
        <f>lc_detailed!AL78</f>
        <v>0</v>
      </c>
      <c r="L77" s="23">
        <f>lc_detailed!Y78</f>
        <v>0</v>
      </c>
    </row>
    <row r="78" spans="1:25" x14ac:dyDescent="0.2">
      <c r="A78">
        <f>lc_detailed!W79</f>
        <v>0</v>
      </c>
      <c r="B78" s="23">
        <f>lc_detailed!AB79</f>
        <v>0</v>
      </c>
      <c r="C78" s="23">
        <f>lc_detailed!AC79</f>
        <v>0</v>
      </c>
      <c r="D78" s="23">
        <f>lc_detailed!AD79</f>
        <v>0</v>
      </c>
      <c r="E78" s="23">
        <f>lc_detailed!AE79</f>
        <v>0</v>
      </c>
      <c r="F78" s="23">
        <f>lc_detailed!AF79</f>
        <v>0</v>
      </c>
      <c r="G78" s="23">
        <f>lc_detailed!AG79</f>
        <v>0</v>
      </c>
      <c r="H78" s="23">
        <f>lc_detailed!AH79</f>
        <v>0</v>
      </c>
      <c r="I78" s="23">
        <f>lc_detailed!AI79</f>
        <v>0</v>
      </c>
      <c r="J78" s="23">
        <f>lc_detailed!AK79</f>
        <v>0</v>
      </c>
      <c r="K78" s="23">
        <f>lc_detailed!AL79</f>
        <v>0</v>
      </c>
      <c r="L78" s="23">
        <f>lc_detailed!Y79</f>
        <v>0</v>
      </c>
    </row>
    <row r="79" spans="1:25" x14ac:dyDescent="0.2">
      <c r="A79">
        <f>lc_detailed!W80</f>
        <v>0</v>
      </c>
      <c r="B79" s="23">
        <f>lc_detailed!AB80</f>
        <v>0</v>
      </c>
      <c r="C79" s="23">
        <f>lc_detailed!AC80</f>
        <v>0</v>
      </c>
      <c r="D79" s="23">
        <f>lc_detailed!AD80</f>
        <v>0</v>
      </c>
      <c r="E79" s="23">
        <f>lc_detailed!AE80</f>
        <v>0</v>
      </c>
      <c r="F79" s="23">
        <f>lc_detailed!AF80</f>
        <v>0</v>
      </c>
      <c r="G79" s="23">
        <f>lc_detailed!AG80</f>
        <v>0</v>
      </c>
      <c r="H79" s="23">
        <f>lc_detailed!AH80</f>
        <v>0</v>
      </c>
      <c r="I79" s="23">
        <f>lc_detailed!AI80</f>
        <v>0</v>
      </c>
      <c r="J79" s="23">
        <f>lc_detailed!AK80</f>
        <v>0</v>
      </c>
      <c r="K79" s="23">
        <f>lc_detailed!AL80</f>
        <v>0</v>
      </c>
      <c r="L79" s="23">
        <f>lc_detailed!Y80</f>
        <v>0</v>
      </c>
    </row>
    <row r="80" spans="1:25" x14ac:dyDescent="0.2">
      <c r="A80">
        <f>lc_detailed!W81</f>
        <v>0</v>
      </c>
      <c r="B80" s="23">
        <f>lc_detailed!AB81</f>
        <v>0</v>
      </c>
      <c r="C80" s="23">
        <f>lc_detailed!AC81</f>
        <v>0</v>
      </c>
      <c r="D80" s="23">
        <f>lc_detailed!AD81</f>
        <v>0</v>
      </c>
      <c r="E80" s="23">
        <f>lc_detailed!AE81</f>
        <v>0</v>
      </c>
      <c r="F80" s="23">
        <f>lc_detailed!AF81</f>
        <v>0</v>
      </c>
      <c r="G80" s="23">
        <f>lc_detailed!AG81</f>
        <v>0</v>
      </c>
      <c r="H80" s="23">
        <f>lc_detailed!AH81</f>
        <v>0</v>
      </c>
      <c r="I80" s="23">
        <f>lc_detailed!AI81</f>
        <v>0</v>
      </c>
      <c r="J80" s="23">
        <f>lc_detailed!AK81</f>
        <v>0</v>
      </c>
      <c r="K80" s="23">
        <f>lc_detailed!AL81</f>
        <v>0</v>
      </c>
      <c r="L80" s="23">
        <f>lc_detailed!Y81</f>
        <v>0</v>
      </c>
    </row>
    <row r="81" spans="1:12" x14ac:dyDescent="0.2">
      <c r="A81">
        <f>lc_detailed!W82</f>
        <v>0</v>
      </c>
      <c r="B81" s="23">
        <f>lc_detailed!AB82</f>
        <v>0</v>
      </c>
      <c r="C81" s="23">
        <f>lc_detailed!AC82</f>
        <v>0</v>
      </c>
      <c r="D81" s="23">
        <f>lc_detailed!AD82</f>
        <v>0</v>
      </c>
      <c r="E81" s="23">
        <f>lc_detailed!AE82</f>
        <v>0</v>
      </c>
      <c r="F81" s="23">
        <f>lc_detailed!AF82</f>
        <v>0</v>
      </c>
      <c r="G81" s="23">
        <f>lc_detailed!AG82</f>
        <v>0</v>
      </c>
      <c r="H81" s="23">
        <f>lc_detailed!AH82</f>
        <v>0</v>
      </c>
      <c r="I81" s="23">
        <f>lc_detailed!AI82</f>
        <v>0</v>
      </c>
      <c r="J81" s="23">
        <f>lc_detailed!AK82</f>
        <v>0</v>
      </c>
      <c r="K81" s="23">
        <f>lc_detailed!AL82</f>
        <v>0</v>
      </c>
      <c r="L81" s="23">
        <f>lc_detailed!Y82</f>
        <v>0</v>
      </c>
    </row>
    <row r="82" spans="1:12" x14ac:dyDescent="0.2">
      <c r="A82">
        <f>lc_detailed!W83</f>
        <v>0</v>
      </c>
      <c r="B82" s="23">
        <f>lc_detailed!AB83</f>
        <v>0</v>
      </c>
      <c r="C82" s="23">
        <f>lc_detailed!AC83</f>
        <v>0</v>
      </c>
      <c r="D82" s="23">
        <f>lc_detailed!AD83</f>
        <v>0</v>
      </c>
      <c r="E82" s="23">
        <f>lc_detailed!AE83</f>
        <v>0</v>
      </c>
      <c r="F82" s="23">
        <f>lc_detailed!AF83</f>
        <v>0</v>
      </c>
      <c r="G82" s="23">
        <f>lc_detailed!AG83</f>
        <v>0</v>
      </c>
      <c r="H82" s="23">
        <f>lc_detailed!AH83</f>
        <v>0</v>
      </c>
      <c r="I82" s="23">
        <f>lc_detailed!AI83</f>
        <v>0</v>
      </c>
      <c r="J82" s="23">
        <f>lc_detailed!AK83</f>
        <v>0</v>
      </c>
      <c r="K82" s="23">
        <f>lc_detailed!AL83</f>
        <v>0</v>
      </c>
      <c r="L82" s="23">
        <f>lc_detailed!Y83</f>
        <v>0</v>
      </c>
    </row>
    <row r="83" spans="1:12" x14ac:dyDescent="0.2">
      <c r="A83">
        <f>lc_detailed!W84</f>
        <v>0</v>
      </c>
      <c r="B83" s="23">
        <f>lc_detailed!AB84</f>
        <v>0</v>
      </c>
      <c r="C83" s="23">
        <f>lc_detailed!AC84</f>
        <v>0</v>
      </c>
      <c r="D83" s="23">
        <f>lc_detailed!AD84</f>
        <v>0</v>
      </c>
      <c r="E83" s="23">
        <f>lc_detailed!AE84</f>
        <v>0</v>
      </c>
      <c r="F83" s="23">
        <f>lc_detailed!AF84</f>
        <v>0</v>
      </c>
      <c r="G83" s="23">
        <f>lc_detailed!AG84</f>
        <v>0</v>
      </c>
      <c r="H83" s="23">
        <f>lc_detailed!AH84</f>
        <v>0</v>
      </c>
      <c r="I83" s="23">
        <f>lc_detailed!AI84</f>
        <v>0</v>
      </c>
      <c r="J83" s="23">
        <f>lc_detailed!AK84</f>
        <v>0</v>
      </c>
      <c r="K83" s="23">
        <f>lc_detailed!AL84</f>
        <v>0</v>
      </c>
      <c r="L83" s="23">
        <f>lc_detailed!Y84</f>
        <v>0</v>
      </c>
    </row>
    <row r="84" spans="1:12" x14ac:dyDescent="0.2">
      <c r="A84">
        <f>lc_detailed!W85</f>
        <v>0</v>
      </c>
      <c r="B84" s="23">
        <f>lc_detailed!AB85</f>
        <v>0</v>
      </c>
      <c r="C84" s="23">
        <f>lc_detailed!AC85</f>
        <v>0</v>
      </c>
      <c r="D84" s="23">
        <f>lc_detailed!AD85</f>
        <v>0</v>
      </c>
      <c r="E84" s="23">
        <f>lc_detailed!AE85</f>
        <v>0</v>
      </c>
      <c r="F84" s="23">
        <f>lc_detailed!AF85</f>
        <v>0</v>
      </c>
      <c r="G84" s="23">
        <f>lc_detailed!AG85</f>
        <v>0</v>
      </c>
      <c r="H84" s="23">
        <f>lc_detailed!AH85</f>
        <v>0</v>
      </c>
      <c r="I84" s="23">
        <f>lc_detailed!AI85</f>
        <v>0</v>
      </c>
      <c r="J84" s="23">
        <f>lc_detailed!AK85</f>
        <v>0</v>
      </c>
      <c r="K84" s="23">
        <f>lc_detailed!AL85</f>
        <v>0</v>
      </c>
      <c r="L84" s="23">
        <f>lc_detailed!Y85</f>
        <v>0</v>
      </c>
    </row>
    <row r="85" spans="1:12" x14ac:dyDescent="0.2">
      <c r="A85">
        <f>lc_detailed!W86</f>
        <v>0</v>
      </c>
      <c r="B85" s="23">
        <f>lc_detailed!AB86</f>
        <v>0</v>
      </c>
      <c r="C85" s="23">
        <f>lc_detailed!AC86</f>
        <v>0</v>
      </c>
      <c r="D85" s="23">
        <f>lc_detailed!AD86</f>
        <v>0</v>
      </c>
      <c r="E85" s="23">
        <f>lc_detailed!AE86</f>
        <v>0</v>
      </c>
      <c r="F85" s="23">
        <f>lc_detailed!AF86</f>
        <v>0</v>
      </c>
      <c r="G85" s="23">
        <f>lc_detailed!AG86</f>
        <v>0</v>
      </c>
      <c r="H85" s="23">
        <f>lc_detailed!AH86</f>
        <v>0</v>
      </c>
      <c r="I85" s="23">
        <f>lc_detailed!AI86</f>
        <v>0</v>
      </c>
      <c r="J85" s="23">
        <f>lc_detailed!AK86</f>
        <v>0</v>
      </c>
      <c r="K85" s="23">
        <f>lc_detailed!AL86</f>
        <v>0</v>
      </c>
      <c r="L85" s="23">
        <f>lc_detailed!Y86</f>
        <v>0</v>
      </c>
    </row>
    <row r="86" spans="1:12" x14ac:dyDescent="0.2">
      <c r="A86">
        <f>lc_detailed!W87</f>
        <v>0</v>
      </c>
      <c r="B86" s="23">
        <f>lc_detailed!AB87</f>
        <v>0</v>
      </c>
      <c r="C86" s="23">
        <f>lc_detailed!AC87</f>
        <v>0</v>
      </c>
      <c r="D86" s="23">
        <f>lc_detailed!AD87</f>
        <v>0</v>
      </c>
      <c r="E86" s="23">
        <f>lc_detailed!AE87</f>
        <v>0</v>
      </c>
      <c r="F86" s="23">
        <f>lc_detailed!AF87</f>
        <v>0</v>
      </c>
      <c r="G86" s="23">
        <f>lc_detailed!AG87</f>
        <v>0</v>
      </c>
      <c r="H86" s="23">
        <f>lc_detailed!AH87</f>
        <v>0</v>
      </c>
      <c r="I86" s="23">
        <f>lc_detailed!AI87</f>
        <v>0</v>
      </c>
      <c r="J86" s="23">
        <f>lc_detailed!AK87</f>
        <v>0</v>
      </c>
      <c r="K86" s="23">
        <f>lc_detailed!AL87</f>
        <v>0</v>
      </c>
      <c r="L86" s="23">
        <f>lc_detailed!Y87</f>
        <v>0</v>
      </c>
    </row>
    <row r="87" spans="1:12" x14ac:dyDescent="0.2">
      <c r="A87">
        <f>lc_detailed!W88</f>
        <v>0</v>
      </c>
      <c r="B87" s="23">
        <f>lc_detailed!AB88</f>
        <v>0</v>
      </c>
      <c r="C87" s="23">
        <f>lc_detailed!AC88</f>
        <v>0</v>
      </c>
      <c r="D87" s="23">
        <f>lc_detailed!AD88</f>
        <v>0</v>
      </c>
      <c r="E87" s="23">
        <f>lc_detailed!AE88</f>
        <v>0</v>
      </c>
      <c r="F87" s="23">
        <f>lc_detailed!AF88</f>
        <v>0</v>
      </c>
      <c r="G87" s="23">
        <f>lc_detailed!AG88</f>
        <v>0</v>
      </c>
      <c r="H87" s="23">
        <f>lc_detailed!AH88</f>
        <v>0</v>
      </c>
      <c r="I87" s="23">
        <f>lc_detailed!AI88</f>
        <v>0</v>
      </c>
      <c r="J87" s="23">
        <f>lc_detailed!AK88</f>
        <v>0</v>
      </c>
      <c r="K87" s="23">
        <f>lc_detailed!AL88</f>
        <v>0</v>
      </c>
      <c r="L87" s="23">
        <f>lc_detailed!Y88</f>
        <v>0</v>
      </c>
    </row>
    <row r="88" spans="1:12" x14ac:dyDescent="0.2">
      <c r="A88">
        <f>lc_detailed!W89</f>
        <v>0</v>
      </c>
      <c r="B88" s="23">
        <f>lc_detailed!AB89</f>
        <v>0</v>
      </c>
      <c r="C88" s="23">
        <f>lc_detailed!AC89</f>
        <v>0</v>
      </c>
      <c r="D88" s="23">
        <f>lc_detailed!AD89</f>
        <v>0</v>
      </c>
      <c r="E88" s="23">
        <f>lc_detailed!AE89</f>
        <v>0</v>
      </c>
      <c r="F88" s="23">
        <f>lc_detailed!AF89</f>
        <v>0</v>
      </c>
      <c r="G88" s="23">
        <f>lc_detailed!AG89</f>
        <v>0</v>
      </c>
      <c r="H88" s="23">
        <f>lc_detailed!AH89</f>
        <v>0</v>
      </c>
      <c r="I88" s="23">
        <f>lc_detailed!AI89</f>
        <v>0</v>
      </c>
      <c r="J88" s="23">
        <f>lc_detailed!AK89</f>
        <v>0</v>
      </c>
      <c r="K88" s="23">
        <f>lc_detailed!AL89</f>
        <v>0</v>
      </c>
      <c r="L88" s="23">
        <f>lc_detailed!Y89</f>
        <v>0</v>
      </c>
    </row>
    <row r="89" spans="1:12" x14ac:dyDescent="0.2">
      <c r="A89">
        <f>lc_detailed!W90</f>
        <v>0</v>
      </c>
      <c r="B89" s="23">
        <f>lc_detailed!AB90</f>
        <v>0</v>
      </c>
      <c r="C89" s="23">
        <f>lc_detailed!AC90</f>
        <v>0</v>
      </c>
      <c r="D89" s="23">
        <f>lc_detailed!AD90</f>
        <v>0</v>
      </c>
      <c r="E89" s="23">
        <f>lc_detailed!AE90</f>
        <v>0</v>
      </c>
      <c r="F89" s="23">
        <f>lc_detailed!AF90</f>
        <v>0</v>
      </c>
      <c r="G89" s="23">
        <f>lc_detailed!AG90</f>
        <v>0</v>
      </c>
      <c r="H89" s="23">
        <f>lc_detailed!AH90</f>
        <v>0</v>
      </c>
      <c r="I89" s="23">
        <f>lc_detailed!AI90</f>
        <v>0</v>
      </c>
      <c r="J89" s="23">
        <f>lc_detailed!AK90</f>
        <v>0</v>
      </c>
      <c r="K89" s="23">
        <f>lc_detailed!AL90</f>
        <v>0</v>
      </c>
      <c r="L89" s="23">
        <f>lc_detailed!Y90</f>
        <v>0</v>
      </c>
    </row>
    <row r="90" spans="1:12" x14ac:dyDescent="0.2">
      <c r="A90">
        <f>lc_detailed!W91</f>
        <v>0</v>
      </c>
      <c r="B90" s="23">
        <f>lc_detailed!AB91</f>
        <v>0</v>
      </c>
      <c r="C90" s="23">
        <f>lc_detailed!AC91</f>
        <v>0</v>
      </c>
      <c r="D90" s="23">
        <f>lc_detailed!AD91</f>
        <v>0</v>
      </c>
      <c r="E90" s="23">
        <f>lc_detailed!AE91</f>
        <v>0</v>
      </c>
      <c r="F90" s="23">
        <f>lc_detailed!AF91</f>
        <v>0</v>
      </c>
      <c r="G90" s="23">
        <f>lc_detailed!AG91</f>
        <v>0</v>
      </c>
      <c r="H90" s="23">
        <f>lc_detailed!AH91</f>
        <v>0</v>
      </c>
      <c r="I90" s="23">
        <f>lc_detailed!AI91</f>
        <v>0</v>
      </c>
      <c r="J90" s="23">
        <f>lc_detailed!AK91</f>
        <v>0</v>
      </c>
      <c r="K90" s="23">
        <f>lc_detailed!AL91</f>
        <v>0</v>
      </c>
      <c r="L90" s="23">
        <f>lc_detailed!Y91</f>
        <v>0</v>
      </c>
    </row>
    <row r="91" spans="1:12" x14ac:dyDescent="0.2">
      <c r="A91">
        <f>lc_detailed!W92</f>
        <v>0</v>
      </c>
      <c r="B91" s="23">
        <f>lc_detailed!AB92</f>
        <v>0</v>
      </c>
      <c r="C91" s="23">
        <f>lc_detailed!AC92</f>
        <v>0</v>
      </c>
      <c r="D91" s="23">
        <f>lc_detailed!AD92</f>
        <v>0</v>
      </c>
      <c r="E91" s="23">
        <f>lc_detailed!AE92</f>
        <v>0</v>
      </c>
      <c r="F91" s="23">
        <f>lc_detailed!AF92</f>
        <v>0</v>
      </c>
      <c r="G91" s="23">
        <f>lc_detailed!AG92</f>
        <v>0</v>
      </c>
      <c r="H91" s="23">
        <f>lc_detailed!AH92</f>
        <v>0</v>
      </c>
      <c r="I91" s="23">
        <f>lc_detailed!AI92</f>
        <v>0</v>
      </c>
      <c r="J91" s="23">
        <f>lc_detailed!AK92</f>
        <v>0</v>
      </c>
      <c r="K91" s="23">
        <f>lc_detailed!AL92</f>
        <v>0</v>
      </c>
      <c r="L91" s="23">
        <f>lc_detailed!Y92</f>
        <v>0</v>
      </c>
    </row>
    <row r="92" spans="1:12" x14ac:dyDescent="0.2">
      <c r="A92">
        <f>lc_detailed!W93</f>
        <v>0</v>
      </c>
      <c r="B92" s="23">
        <f>lc_detailed!AB93</f>
        <v>0</v>
      </c>
      <c r="C92" s="23">
        <f>lc_detailed!AC93</f>
        <v>0</v>
      </c>
      <c r="D92" s="23">
        <f>lc_detailed!AD93</f>
        <v>0</v>
      </c>
      <c r="E92" s="23">
        <f>lc_detailed!AE93</f>
        <v>0</v>
      </c>
      <c r="F92" s="23">
        <f>lc_detailed!AF93</f>
        <v>0</v>
      </c>
      <c r="G92" s="23">
        <f>lc_detailed!AG93</f>
        <v>0</v>
      </c>
      <c r="H92" s="23">
        <f>lc_detailed!AH93</f>
        <v>0</v>
      </c>
      <c r="I92" s="23">
        <f>lc_detailed!AI93</f>
        <v>0</v>
      </c>
      <c r="J92" s="23">
        <f>lc_detailed!AK93</f>
        <v>0</v>
      </c>
      <c r="K92" s="23">
        <f>lc_detailed!AL93</f>
        <v>0</v>
      </c>
      <c r="L92" s="23">
        <f>lc_detailed!Y93</f>
        <v>0</v>
      </c>
    </row>
    <row r="93" spans="1:12" x14ac:dyDescent="0.2">
      <c r="A93">
        <f>lc_detailed!W94</f>
        <v>0</v>
      </c>
      <c r="B93" s="23">
        <f>lc_detailed!AB94</f>
        <v>0</v>
      </c>
      <c r="C93" s="23">
        <f>lc_detailed!AC94</f>
        <v>0</v>
      </c>
      <c r="D93" s="23">
        <f>lc_detailed!AD94</f>
        <v>0</v>
      </c>
      <c r="E93" s="23">
        <f>lc_detailed!AE94</f>
        <v>0</v>
      </c>
      <c r="F93" s="23">
        <f>lc_detailed!AF94</f>
        <v>0</v>
      </c>
      <c r="G93" s="23">
        <f>lc_detailed!AG94</f>
        <v>0</v>
      </c>
      <c r="H93" s="23">
        <f>lc_detailed!AH94</f>
        <v>0</v>
      </c>
      <c r="I93" s="23">
        <f>lc_detailed!AI94</f>
        <v>0</v>
      </c>
      <c r="J93" s="23">
        <f>lc_detailed!AK94</f>
        <v>0</v>
      </c>
      <c r="K93" s="23">
        <f>lc_detailed!AL94</f>
        <v>0</v>
      </c>
      <c r="L93" s="23">
        <f>lc_detailed!Y94</f>
        <v>0</v>
      </c>
    </row>
    <row r="94" spans="1:12" x14ac:dyDescent="0.2">
      <c r="A94">
        <f>lc_detailed!W95</f>
        <v>0</v>
      </c>
      <c r="B94" s="23">
        <f>lc_detailed!AB95</f>
        <v>0</v>
      </c>
      <c r="C94" s="23">
        <f>lc_detailed!AC95</f>
        <v>0</v>
      </c>
      <c r="D94" s="23">
        <f>lc_detailed!AD95</f>
        <v>0</v>
      </c>
      <c r="E94" s="23">
        <f>lc_detailed!AE95</f>
        <v>0</v>
      </c>
      <c r="F94" s="23">
        <f>lc_detailed!AF95</f>
        <v>0</v>
      </c>
      <c r="G94" s="23">
        <f>lc_detailed!AG95</f>
        <v>0</v>
      </c>
      <c r="H94" s="23">
        <f>lc_detailed!AH95</f>
        <v>0</v>
      </c>
      <c r="I94" s="23">
        <f>lc_detailed!AI95</f>
        <v>0</v>
      </c>
      <c r="J94" s="23">
        <f>lc_detailed!AK95</f>
        <v>0</v>
      </c>
      <c r="K94" s="23">
        <f>lc_detailed!AL95</f>
        <v>0</v>
      </c>
      <c r="L94" s="23">
        <f>lc_detailed!Y95</f>
        <v>0</v>
      </c>
    </row>
    <row r="95" spans="1:12" x14ac:dyDescent="0.2">
      <c r="A95">
        <f>lc_detailed!W96</f>
        <v>0</v>
      </c>
      <c r="B95" s="23">
        <f>lc_detailed!AB96</f>
        <v>0</v>
      </c>
      <c r="C95" s="23">
        <f>lc_detailed!AC96</f>
        <v>0</v>
      </c>
      <c r="D95" s="23">
        <f>lc_detailed!AD96</f>
        <v>0</v>
      </c>
      <c r="E95" s="23">
        <f>lc_detailed!AE96</f>
        <v>0</v>
      </c>
      <c r="F95" s="23">
        <f>lc_detailed!AF96</f>
        <v>0</v>
      </c>
      <c r="G95" s="23">
        <f>lc_detailed!AG96</f>
        <v>0</v>
      </c>
      <c r="H95" s="23">
        <f>lc_detailed!AH96</f>
        <v>0</v>
      </c>
      <c r="I95" s="23">
        <f>lc_detailed!AI96</f>
        <v>0</v>
      </c>
      <c r="J95" s="23">
        <f>lc_detailed!AK96</f>
        <v>0</v>
      </c>
      <c r="K95" s="23">
        <f>lc_detailed!AL96</f>
        <v>0</v>
      </c>
      <c r="L95" s="23">
        <f>lc_detailed!Y96</f>
        <v>0</v>
      </c>
    </row>
    <row r="96" spans="1:12" x14ac:dyDescent="0.2">
      <c r="A96">
        <f>lc_detailed!W97</f>
        <v>0</v>
      </c>
      <c r="B96" s="23">
        <f>lc_detailed!AB97</f>
        <v>0</v>
      </c>
      <c r="C96" s="23">
        <f>lc_detailed!AC97</f>
        <v>0</v>
      </c>
      <c r="D96" s="23">
        <f>lc_detailed!AD97</f>
        <v>0</v>
      </c>
      <c r="E96" s="23">
        <f>lc_detailed!AE97</f>
        <v>0</v>
      </c>
      <c r="F96" s="23">
        <f>lc_detailed!AF97</f>
        <v>0</v>
      </c>
      <c r="G96" s="23">
        <f>lc_detailed!AG97</f>
        <v>0</v>
      </c>
      <c r="H96" s="23">
        <f>lc_detailed!AH97</f>
        <v>0</v>
      </c>
      <c r="I96" s="23">
        <f>lc_detailed!AI97</f>
        <v>0</v>
      </c>
      <c r="J96" s="23">
        <f>lc_detailed!AK97</f>
        <v>0</v>
      </c>
      <c r="K96" s="23">
        <f>lc_detailed!AL97</f>
        <v>0</v>
      </c>
      <c r="L96" s="23">
        <f>lc_detailed!Y97</f>
        <v>0</v>
      </c>
    </row>
    <row r="97" spans="1:12" x14ac:dyDescent="0.2">
      <c r="A97">
        <f>lc_detailed!W98</f>
        <v>0</v>
      </c>
      <c r="B97" s="23">
        <f>lc_detailed!AB98</f>
        <v>0</v>
      </c>
      <c r="C97" s="23">
        <f>lc_detailed!AC98</f>
        <v>0</v>
      </c>
      <c r="D97" s="23">
        <f>lc_detailed!AD98</f>
        <v>0</v>
      </c>
      <c r="E97" s="23">
        <f>lc_detailed!AE98</f>
        <v>0</v>
      </c>
      <c r="F97" s="23">
        <f>lc_detailed!AF98</f>
        <v>0</v>
      </c>
      <c r="G97" s="23">
        <f>lc_detailed!AG98</f>
        <v>0</v>
      </c>
      <c r="H97" s="23">
        <f>lc_detailed!AH98</f>
        <v>0</v>
      </c>
      <c r="I97" s="23">
        <f>lc_detailed!AI98</f>
        <v>0</v>
      </c>
      <c r="J97" s="23">
        <f>lc_detailed!AK98</f>
        <v>0</v>
      </c>
      <c r="K97" s="23">
        <f>lc_detailed!AL98</f>
        <v>0</v>
      </c>
      <c r="L97" s="23">
        <f>lc_detailed!Y98</f>
        <v>0</v>
      </c>
    </row>
    <row r="98" spans="1:12" x14ac:dyDescent="0.2">
      <c r="A98">
        <f>lc_detailed!W99</f>
        <v>0</v>
      </c>
      <c r="B98" s="23">
        <f>lc_detailed!AB99</f>
        <v>0</v>
      </c>
      <c r="C98" s="23">
        <f>lc_detailed!AC99</f>
        <v>0</v>
      </c>
      <c r="D98" s="23">
        <f>lc_detailed!AD99</f>
        <v>0</v>
      </c>
      <c r="E98" s="23">
        <f>lc_detailed!AE99</f>
        <v>0</v>
      </c>
      <c r="F98" s="23">
        <f>lc_detailed!AF99</f>
        <v>0</v>
      </c>
      <c r="G98" s="23">
        <f>lc_detailed!AG99</f>
        <v>0</v>
      </c>
      <c r="H98" s="23">
        <f>lc_detailed!AH99</f>
        <v>0</v>
      </c>
      <c r="I98" s="23">
        <f>lc_detailed!AI99</f>
        <v>0</v>
      </c>
      <c r="J98" s="23">
        <f>lc_detailed!AK99</f>
        <v>0</v>
      </c>
      <c r="K98" s="23">
        <f>lc_detailed!AL99</f>
        <v>0</v>
      </c>
      <c r="L98" s="23">
        <f>lc_detailed!Y99</f>
        <v>0</v>
      </c>
    </row>
    <row r="99" spans="1:12" x14ac:dyDescent="0.2">
      <c r="A99">
        <f>lc_detailed!W100</f>
        <v>0</v>
      </c>
      <c r="B99" s="23">
        <f>lc_detailed!AB100</f>
        <v>0</v>
      </c>
      <c r="C99" s="23">
        <f>lc_detailed!AC100</f>
        <v>0</v>
      </c>
      <c r="D99" s="23">
        <f>lc_detailed!AD100</f>
        <v>0</v>
      </c>
      <c r="E99" s="23">
        <f>lc_detailed!AE100</f>
        <v>0</v>
      </c>
      <c r="F99" s="23">
        <f>lc_detailed!AF100</f>
        <v>0</v>
      </c>
      <c r="G99" s="23">
        <f>lc_detailed!AG100</f>
        <v>0</v>
      </c>
      <c r="H99" s="23">
        <f>lc_detailed!AH100</f>
        <v>0</v>
      </c>
      <c r="I99" s="23">
        <f>lc_detailed!AI100</f>
        <v>0</v>
      </c>
      <c r="J99" s="23">
        <f>lc_detailed!AK100</f>
        <v>0</v>
      </c>
      <c r="K99" s="23">
        <f>lc_detailed!AL100</f>
        <v>0</v>
      </c>
      <c r="L99" s="23">
        <f>lc_detailed!Y100</f>
        <v>0</v>
      </c>
    </row>
    <row r="100" spans="1:12" x14ac:dyDescent="0.2">
      <c r="A100">
        <f>lc_detailed!W101</f>
        <v>0</v>
      </c>
      <c r="B100" s="23">
        <f>lc_detailed!AB101</f>
        <v>0</v>
      </c>
      <c r="C100" s="23">
        <f>lc_detailed!AC101</f>
        <v>0</v>
      </c>
      <c r="D100" s="23">
        <f>lc_detailed!AD101</f>
        <v>0</v>
      </c>
      <c r="E100" s="23">
        <f>lc_detailed!AE101</f>
        <v>0</v>
      </c>
      <c r="F100" s="23">
        <f>lc_detailed!AF101</f>
        <v>0</v>
      </c>
      <c r="G100" s="23">
        <f>lc_detailed!AG101</f>
        <v>0</v>
      </c>
      <c r="H100" s="23">
        <f>lc_detailed!AH101</f>
        <v>0</v>
      </c>
      <c r="I100" s="23">
        <f>lc_detailed!AI101</f>
        <v>0</v>
      </c>
      <c r="J100" s="23">
        <f>lc_detailed!AK101</f>
        <v>0</v>
      </c>
      <c r="K100" s="23">
        <f>lc_detailed!AL101</f>
        <v>0</v>
      </c>
      <c r="L100" s="23">
        <f>lc_detailed!Y101</f>
        <v>0</v>
      </c>
    </row>
    <row r="101" spans="1:12" x14ac:dyDescent="0.2">
      <c r="A101">
        <f>lc_detailed!W102</f>
        <v>0</v>
      </c>
      <c r="B101" s="23">
        <f>lc_detailed!AB102</f>
        <v>0</v>
      </c>
      <c r="C101" s="23">
        <f>lc_detailed!AC102</f>
        <v>0</v>
      </c>
      <c r="D101" s="23">
        <f>lc_detailed!AD102</f>
        <v>0</v>
      </c>
      <c r="E101" s="23">
        <f>lc_detailed!AE102</f>
        <v>0</v>
      </c>
      <c r="F101" s="23">
        <f>lc_detailed!AF102</f>
        <v>0</v>
      </c>
      <c r="G101" s="23">
        <f>lc_detailed!AG102</f>
        <v>0</v>
      </c>
      <c r="H101" s="23">
        <f>lc_detailed!AH102</f>
        <v>0</v>
      </c>
      <c r="I101" s="23">
        <f>lc_detailed!AI102</f>
        <v>0</v>
      </c>
      <c r="J101" s="23">
        <f>lc_detailed!AK102</f>
        <v>0</v>
      </c>
      <c r="K101" s="23">
        <f>lc_detailed!AL102</f>
        <v>0</v>
      </c>
      <c r="L101" s="23">
        <f>lc_detailed!Y102</f>
        <v>0</v>
      </c>
    </row>
    <row r="102" spans="1:12" x14ac:dyDescent="0.2">
      <c r="A102">
        <f>lc_detailed!W103</f>
        <v>0</v>
      </c>
      <c r="B102" s="23">
        <f>lc_detailed!AB103</f>
        <v>0</v>
      </c>
      <c r="C102" s="23">
        <f>lc_detailed!AC103</f>
        <v>0</v>
      </c>
      <c r="D102" s="23">
        <f>lc_detailed!AD103</f>
        <v>0</v>
      </c>
      <c r="E102" s="23">
        <f>lc_detailed!AE103</f>
        <v>0</v>
      </c>
      <c r="F102" s="23">
        <f>lc_detailed!AF103</f>
        <v>0</v>
      </c>
      <c r="G102" s="23">
        <f>lc_detailed!AG103</f>
        <v>0</v>
      </c>
      <c r="H102" s="23">
        <f>lc_detailed!AH103</f>
        <v>0</v>
      </c>
      <c r="I102" s="23">
        <f>lc_detailed!AI103</f>
        <v>0</v>
      </c>
      <c r="J102" s="23">
        <f>lc_detailed!AK103</f>
        <v>0</v>
      </c>
      <c r="K102" s="23">
        <f>lc_detailed!AL103</f>
        <v>0</v>
      </c>
      <c r="L102" s="23">
        <f>lc_detailed!Y103</f>
        <v>0</v>
      </c>
    </row>
    <row r="103" spans="1:12" x14ac:dyDescent="0.2">
      <c r="A103">
        <f>lc_detailed!W104</f>
        <v>0</v>
      </c>
      <c r="B103" s="23">
        <f>lc_detailed!AB104</f>
        <v>0</v>
      </c>
      <c r="C103" s="23">
        <f>lc_detailed!AC104</f>
        <v>0</v>
      </c>
      <c r="D103" s="23">
        <f>lc_detailed!AD104</f>
        <v>0</v>
      </c>
      <c r="E103" s="23">
        <f>lc_detailed!AE104</f>
        <v>0</v>
      </c>
      <c r="F103" s="23">
        <f>lc_detailed!AF104</f>
        <v>0</v>
      </c>
      <c r="G103" s="23">
        <f>lc_detailed!AG104</f>
        <v>0</v>
      </c>
      <c r="H103" s="23">
        <f>lc_detailed!AH104</f>
        <v>0</v>
      </c>
      <c r="I103" s="23">
        <f>lc_detailed!AI104</f>
        <v>0</v>
      </c>
      <c r="J103" s="23">
        <f>lc_detailed!AK104</f>
        <v>0</v>
      </c>
      <c r="K103" s="23">
        <f>lc_detailed!AL104</f>
        <v>0</v>
      </c>
      <c r="L103" s="23">
        <f>lc_detailed!Y104</f>
        <v>0</v>
      </c>
    </row>
    <row r="104" spans="1:12" x14ac:dyDescent="0.2">
      <c r="A104">
        <f>lc_detailed!W105</f>
        <v>0</v>
      </c>
      <c r="B104" s="23">
        <f>lc_detailed!AB105</f>
        <v>0</v>
      </c>
      <c r="C104" s="23">
        <f>lc_detailed!AC105</f>
        <v>0</v>
      </c>
      <c r="D104" s="23">
        <f>lc_detailed!AD105</f>
        <v>0</v>
      </c>
      <c r="E104" s="23">
        <f>lc_detailed!AE105</f>
        <v>0</v>
      </c>
      <c r="F104" s="23">
        <f>lc_detailed!AF105</f>
        <v>0</v>
      </c>
      <c r="G104" s="23">
        <f>lc_detailed!AG105</f>
        <v>0</v>
      </c>
      <c r="H104" s="23">
        <f>lc_detailed!AH105</f>
        <v>0</v>
      </c>
      <c r="I104" s="23">
        <f>lc_detailed!AI105</f>
        <v>0</v>
      </c>
      <c r="J104" s="23">
        <f>lc_detailed!AK105</f>
        <v>0</v>
      </c>
      <c r="K104" s="23">
        <f>lc_detailed!AL105</f>
        <v>0</v>
      </c>
      <c r="L104" s="23">
        <f>lc_detailed!Y105</f>
        <v>0</v>
      </c>
    </row>
    <row r="105" spans="1:12" x14ac:dyDescent="0.2">
      <c r="A105">
        <f>lc_detailed!W106</f>
        <v>0</v>
      </c>
      <c r="B105" s="23">
        <f>lc_detailed!AB106</f>
        <v>0</v>
      </c>
      <c r="C105" s="23">
        <f>lc_detailed!AC106</f>
        <v>0</v>
      </c>
      <c r="D105" s="23">
        <f>lc_detailed!AD106</f>
        <v>0</v>
      </c>
      <c r="E105" s="23">
        <f>lc_detailed!AE106</f>
        <v>0</v>
      </c>
      <c r="F105" s="23">
        <f>lc_detailed!AF106</f>
        <v>0</v>
      </c>
      <c r="G105" s="23">
        <f>lc_detailed!AG106</f>
        <v>0</v>
      </c>
      <c r="H105" s="23">
        <f>lc_detailed!AH106</f>
        <v>0</v>
      </c>
      <c r="I105" s="23">
        <f>lc_detailed!AI106</f>
        <v>0</v>
      </c>
      <c r="J105" s="23">
        <f>lc_detailed!AK106</f>
        <v>0</v>
      </c>
      <c r="K105" s="23">
        <f>lc_detailed!AL106</f>
        <v>0</v>
      </c>
      <c r="L105" s="23">
        <f>lc_detailed!Y106</f>
        <v>0</v>
      </c>
    </row>
    <row r="106" spans="1:12" x14ac:dyDescent="0.2">
      <c r="A106">
        <f>lc_detailed!W107</f>
        <v>0</v>
      </c>
      <c r="B106" s="23">
        <f>lc_detailed!AB107</f>
        <v>0</v>
      </c>
      <c r="C106" s="23">
        <f>lc_detailed!AC107</f>
        <v>0</v>
      </c>
      <c r="D106" s="23">
        <f>lc_detailed!AD107</f>
        <v>0</v>
      </c>
      <c r="E106" s="23">
        <f>lc_detailed!AE107</f>
        <v>0</v>
      </c>
      <c r="F106" s="23">
        <f>lc_detailed!AF107</f>
        <v>0</v>
      </c>
      <c r="G106" s="23">
        <f>lc_detailed!AG107</f>
        <v>0</v>
      </c>
      <c r="H106" s="23">
        <f>lc_detailed!AH107</f>
        <v>0</v>
      </c>
      <c r="I106" s="23">
        <f>lc_detailed!AI107</f>
        <v>0</v>
      </c>
      <c r="J106" s="23">
        <f>lc_detailed!AK107</f>
        <v>0</v>
      </c>
      <c r="K106" s="23">
        <f>lc_detailed!AL107</f>
        <v>0</v>
      </c>
      <c r="L106" s="23">
        <f>lc_detailed!Y107</f>
        <v>0</v>
      </c>
    </row>
    <row r="107" spans="1:12" x14ac:dyDescent="0.2">
      <c r="A107">
        <f>lc_detailed!W108</f>
        <v>0</v>
      </c>
      <c r="B107" s="23">
        <f>lc_detailed!AB108</f>
        <v>0</v>
      </c>
      <c r="C107" s="23">
        <f>lc_detailed!AC108</f>
        <v>0</v>
      </c>
      <c r="D107" s="23">
        <f>lc_detailed!AD108</f>
        <v>0</v>
      </c>
      <c r="E107" s="23">
        <f>lc_detailed!AE108</f>
        <v>0</v>
      </c>
      <c r="F107" s="23">
        <f>lc_detailed!AF108</f>
        <v>0</v>
      </c>
      <c r="G107" s="23">
        <f>lc_detailed!AG108</f>
        <v>0</v>
      </c>
      <c r="H107" s="23">
        <f>lc_detailed!AH108</f>
        <v>0</v>
      </c>
      <c r="I107" s="23">
        <f>lc_detailed!AI108</f>
        <v>0</v>
      </c>
      <c r="J107" s="23">
        <f>lc_detailed!AK108</f>
        <v>0</v>
      </c>
      <c r="K107" s="23">
        <f>lc_detailed!AL108</f>
        <v>0</v>
      </c>
      <c r="L107" s="23">
        <f>lc_detailed!Y108</f>
        <v>0</v>
      </c>
    </row>
    <row r="108" spans="1:12" x14ac:dyDescent="0.2">
      <c r="A108">
        <f>lc_detailed!W109</f>
        <v>0</v>
      </c>
      <c r="B108" s="23">
        <f>lc_detailed!AB109</f>
        <v>0</v>
      </c>
      <c r="C108" s="23">
        <f>lc_detailed!AC109</f>
        <v>0</v>
      </c>
      <c r="D108" s="23">
        <f>lc_detailed!AD109</f>
        <v>0</v>
      </c>
      <c r="E108" s="23">
        <f>lc_detailed!AE109</f>
        <v>0</v>
      </c>
      <c r="F108" s="23">
        <f>lc_detailed!AF109</f>
        <v>0</v>
      </c>
      <c r="G108" s="23">
        <f>lc_detailed!AG109</f>
        <v>0</v>
      </c>
      <c r="H108" s="23">
        <f>lc_detailed!AH109</f>
        <v>0</v>
      </c>
      <c r="I108" s="23">
        <f>lc_detailed!AI109</f>
        <v>0</v>
      </c>
      <c r="J108" s="23">
        <f>lc_detailed!AK109</f>
        <v>0</v>
      </c>
      <c r="K108" s="23">
        <f>lc_detailed!AL109</f>
        <v>0</v>
      </c>
      <c r="L108" s="23">
        <f>lc_detailed!Y109</f>
        <v>0</v>
      </c>
    </row>
    <row r="109" spans="1:12" x14ac:dyDescent="0.2">
      <c r="A109">
        <f>lc_detailed!W110</f>
        <v>0</v>
      </c>
      <c r="B109" s="23">
        <f>lc_detailed!AB110</f>
        <v>0</v>
      </c>
      <c r="C109" s="23">
        <f>lc_detailed!AC110</f>
        <v>0</v>
      </c>
      <c r="D109" s="23">
        <f>lc_detailed!AD110</f>
        <v>0</v>
      </c>
      <c r="E109" s="23">
        <f>lc_detailed!AE110</f>
        <v>0</v>
      </c>
      <c r="F109" s="23">
        <f>lc_detailed!AF110</f>
        <v>0</v>
      </c>
      <c r="G109" s="23">
        <f>lc_detailed!AG110</f>
        <v>0</v>
      </c>
      <c r="H109" s="23">
        <f>lc_detailed!AH110</f>
        <v>0</v>
      </c>
      <c r="I109" s="23">
        <f>lc_detailed!AI110</f>
        <v>0</v>
      </c>
      <c r="J109" s="23">
        <f>lc_detailed!AK110</f>
        <v>0</v>
      </c>
      <c r="K109" s="23">
        <f>lc_detailed!AL110</f>
        <v>0</v>
      </c>
      <c r="L109" s="23">
        <f>lc_detailed!Y110</f>
        <v>0</v>
      </c>
    </row>
    <row r="110" spans="1:12" x14ac:dyDescent="0.2">
      <c r="A110">
        <f>lc_detailed!W111</f>
        <v>0</v>
      </c>
      <c r="B110" s="23">
        <f>lc_detailed!AB111</f>
        <v>0</v>
      </c>
      <c r="C110" s="23">
        <f>lc_detailed!AC111</f>
        <v>0</v>
      </c>
      <c r="D110" s="23">
        <f>lc_detailed!AD111</f>
        <v>0</v>
      </c>
      <c r="E110" s="23">
        <f>lc_detailed!AE111</f>
        <v>0</v>
      </c>
      <c r="F110" s="23">
        <f>lc_detailed!AF111</f>
        <v>0</v>
      </c>
      <c r="G110" s="23">
        <f>lc_detailed!AG111</f>
        <v>0</v>
      </c>
      <c r="H110" s="23">
        <f>lc_detailed!AH111</f>
        <v>0</v>
      </c>
      <c r="I110" s="23">
        <f>lc_detailed!AI111</f>
        <v>0</v>
      </c>
      <c r="J110" s="23">
        <f>lc_detailed!AK111</f>
        <v>0</v>
      </c>
      <c r="K110" s="23">
        <f>lc_detailed!AL111</f>
        <v>0</v>
      </c>
      <c r="L110" s="23">
        <f>lc_detailed!Y111</f>
        <v>0</v>
      </c>
    </row>
    <row r="111" spans="1:12" x14ac:dyDescent="0.2">
      <c r="A111">
        <f>lc_detailed!W112</f>
        <v>0</v>
      </c>
      <c r="B111" s="23">
        <f>lc_detailed!AB112</f>
        <v>0</v>
      </c>
      <c r="C111" s="23">
        <f>lc_detailed!AC112</f>
        <v>0</v>
      </c>
      <c r="D111" s="23">
        <f>lc_detailed!AD112</f>
        <v>0</v>
      </c>
      <c r="E111" s="23">
        <f>lc_detailed!AE112</f>
        <v>0</v>
      </c>
      <c r="F111" s="23">
        <f>lc_detailed!AF112</f>
        <v>0</v>
      </c>
      <c r="G111" s="23">
        <f>lc_detailed!AG112</f>
        <v>0</v>
      </c>
      <c r="H111" s="23">
        <f>lc_detailed!AH112</f>
        <v>0</v>
      </c>
      <c r="I111" s="23">
        <f>lc_detailed!AI112</f>
        <v>0</v>
      </c>
      <c r="J111" s="23">
        <f>lc_detailed!AK112</f>
        <v>0</v>
      </c>
      <c r="K111" s="23">
        <f>lc_detailed!AL112</f>
        <v>0</v>
      </c>
      <c r="L111" s="23">
        <f>lc_detailed!Y112</f>
        <v>0</v>
      </c>
    </row>
    <row r="112" spans="1:12" x14ac:dyDescent="0.2">
      <c r="A112">
        <f>lc_detailed!W113</f>
        <v>0</v>
      </c>
      <c r="B112" s="23">
        <f>lc_detailed!AB113</f>
        <v>0</v>
      </c>
      <c r="C112" s="23">
        <f>lc_detailed!AC113</f>
        <v>0</v>
      </c>
      <c r="D112" s="23">
        <f>lc_detailed!AD113</f>
        <v>0</v>
      </c>
      <c r="E112" s="23">
        <f>lc_detailed!AE113</f>
        <v>0</v>
      </c>
      <c r="F112" s="23">
        <f>lc_detailed!AF113</f>
        <v>0</v>
      </c>
      <c r="G112" s="23">
        <f>lc_detailed!AG113</f>
        <v>0</v>
      </c>
      <c r="H112" s="23">
        <f>lc_detailed!AH113</f>
        <v>0</v>
      </c>
      <c r="I112" s="23">
        <f>lc_detailed!AI113</f>
        <v>0</v>
      </c>
      <c r="J112" s="23">
        <f>lc_detailed!AK113</f>
        <v>0</v>
      </c>
      <c r="K112" s="23">
        <f>lc_detailed!AL113</f>
        <v>0</v>
      </c>
      <c r="L112" s="23">
        <f>lc_detailed!Y113</f>
        <v>0</v>
      </c>
    </row>
    <row r="113" spans="1:12" x14ac:dyDescent="0.2">
      <c r="A113">
        <f>lc_detailed!W114</f>
        <v>0</v>
      </c>
      <c r="B113" s="23">
        <f>lc_detailed!AB114</f>
        <v>0</v>
      </c>
      <c r="C113" s="23">
        <f>lc_detailed!AC114</f>
        <v>0</v>
      </c>
      <c r="D113" s="23">
        <f>lc_detailed!AD114</f>
        <v>0</v>
      </c>
      <c r="E113" s="23">
        <f>lc_detailed!AE114</f>
        <v>0</v>
      </c>
      <c r="F113" s="23">
        <f>lc_detailed!AF114</f>
        <v>0</v>
      </c>
      <c r="G113" s="23">
        <f>lc_detailed!AG114</f>
        <v>0</v>
      </c>
      <c r="H113" s="23">
        <f>lc_detailed!AH114</f>
        <v>0</v>
      </c>
      <c r="I113" s="23">
        <f>lc_detailed!AI114</f>
        <v>0</v>
      </c>
      <c r="J113" s="23">
        <f>lc_detailed!AK114</f>
        <v>0</v>
      </c>
      <c r="K113" s="23">
        <f>lc_detailed!AL114</f>
        <v>0</v>
      </c>
      <c r="L113" s="23">
        <f>lc_detailed!Y114</f>
        <v>0</v>
      </c>
    </row>
    <row r="114" spans="1:12" x14ac:dyDescent="0.2">
      <c r="A114">
        <f>lc_detailed!W115</f>
        <v>0</v>
      </c>
      <c r="B114" s="23">
        <f>lc_detailed!AB115</f>
        <v>0</v>
      </c>
      <c r="C114" s="23">
        <f>lc_detailed!AC115</f>
        <v>0</v>
      </c>
      <c r="D114" s="23">
        <f>lc_detailed!AD115</f>
        <v>0</v>
      </c>
      <c r="E114" s="23">
        <f>lc_detailed!AE115</f>
        <v>0</v>
      </c>
      <c r="F114" s="23">
        <f>lc_detailed!AF115</f>
        <v>0</v>
      </c>
      <c r="G114" s="23">
        <f>lc_detailed!AG115</f>
        <v>0</v>
      </c>
      <c r="H114" s="23">
        <f>lc_detailed!AH115</f>
        <v>0</v>
      </c>
      <c r="I114" s="23">
        <f>lc_detailed!AI115</f>
        <v>0</v>
      </c>
      <c r="J114" s="23">
        <f>lc_detailed!AK115</f>
        <v>0</v>
      </c>
      <c r="K114" s="23">
        <f>lc_detailed!AL115</f>
        <v>0</v>
      </c>
      <c r="L114" s="23">
        <f>lc_detailed!Y115</f>
        <v>0</v>
      </c>
    </row>
    <row r="115" spans="1:12" x14ac:dyDescent="0.2">
      <c r="A115">
        <f>lc_detailed!W116</f>
        <v>0</v>
      </c>
      <c r="B115" s="23">
        <f>lc_detailed!AB116</f>
        <v>0</v>
      </c>
      <c r="C115" s="23">
        <f>lc_detailed!AC116</f>
        <v>0</v>
      </c>
      <c r="D115" s="23">
        <f>lc_detailed!AD116</f>
        <v>0</v>
      </c>
      <c r="E115" s="23">
        <f>lc_detailed!AE116</f>
        <v>0</v>
      </c>
      <c r="F115" s="23">
        <f>lc_detailed!AF116</f>
        <v>0</v>
      </c>
      <c r="G115" s="23">
        <f>lc_detailed!AG116</f>
        <v>0</v>
      </c>
      <c r="H115" s="23">
        <f>lc_detailed!AH116</f>
        <v>0</v>
      </c>
      <c r="I115" s="23">
        <f>lc_detailed!AI116</f>
        <v>0</v>
      </c>
      <c r="J115" s="23">
        <f>lc_detailed!AK116</f>
        <v>0</v>
      </c>
      <c r="K115" s="23">
        <f>lc_detailed!AL116</f>
        <v>0</v>
      </c>
      <c r="L115" s="23">
        <f>lc_detailed!Y116</f>
        <v>0</v>
      </c>
    </row>
    <row r="116" spans="1:12" x14ac:dyDescent="0.2">
      <c r="A116">
        <f>lc_detailed!W117</f>
        <v>0</v>
      </c>
      <c r="B116" s="23">
        <f>lc_detailed!AB117</f>
        <v>0</v>
      </c>
      <c r="C116" s="23">
        <f>lc_detailed!AC117</f>
        <v>0</v>
      </c>
      <c r="D116" s="23">
        <f>lc_detailed!AD117</f>
        <v>0</v>
      </c>
      <c r="E116" s="23">
        <f>lc_detailed!AE117</f>
        <v>0</v>
      </c>
      <c r="F116" s="23">
        <f>lc_detailed!AF117</f>
        <v>0</v>
      </c>
      <c r="G116" s="23">
        <f>lc_detailed!AG117</f>
        <v>0</v>
      </c>
      <c r="H116" s="23">
        <f>lc_detailed!AH117</f>
        <v>0</v>
      </c>
      <c r="I116" s="23">
        <f>lc_detailed!AI117</f>
        <v>0</v>
      </c>
      <c r="J116" s="23">
        <f>lc_detailed!AK117</f>
        <v>0</v>
      </c>
      <c r="K116" s="23">
        <f>lc_detailed!AL117</f>
        <v>0</v>
      </c>
      <c r="L116" s="23">
        <f>lc_detailed!Y117</f>
        <v>0</v>
      </c>
    </row>
    <row r="117" spans="1:12" x14ac:dyDescent="0.2">
      <c r="A117">
        <f>lc_detailed!W118</f>
        <v>0</v>
      </c>
      <c r="B117" s="23">
        <f>lc_detailed!AB118</f>
        <v>0</v>
      </c>
      <c r="C117" s="23">
        <f>lc_detailed!AC118</f>
        <v>0</v>
      </c>
      <c r="D117" s="23">
        <f>lc_detailed!AD118</f>
        <v>0</v>
      </c>
      <c r="E117" s="23">
        <f>lc_detailed!AE118</f>
        <v>0</v>
      </c>
      <c r="F117" s="23">
        <f>lc_detailed!AF118</f>
        <v>0</v>
      </c>
      <c r="G117" s="23">
        <f>lc_detailed!AG118</f>
        <v>0</v>
      </c>
      <c r="H117" s="23">
        <f>lc_detailed!AH118</f>
        <v>0</v>
      </c>
      <c r="I117" s="23">
        <f>lc_detailed!AI118</f>
        <v>0</v>
      </c>
      <c r="J117" s="23">
        <f>lc_detailed!AK118</f>
        <v>0</v>
      </c>
      <c r="K117" s="23">
        <f>lc_detailed!AL118</f>
        <v>0</v>
      </c>
      <c r="L117" s="23">
        <f>lc_detailed!Y118</f>
        <v>0</v>
      </c>
    </row>
    <row r="118" spans="1:12" x14ac:dyDescent="0.2">
      <c r="A118">
        <f>lc_detailed!W119</f>
        <v>0</v>
      </c>
      <c r="B118" s="23">
        <f>lc_detailed!AB119</f>
        <v>0</v>
      </c>
      <c r="C118" s="23">
        <f>lc_detailed!AC119</f>
        <v>0</v>
      </c>
      <c r="D118" s="23">
        <f>lc_detailed!AD119</f>
        <v>0</v>
      </c>
      <c r="E118" s="23">
        <f>lc_detailed!AE119</f>
        <v>0</v>
      </c>
      <c r="F118" s="23">
        <f>lc_detailed!AF119</f>
        <v>0</v>
      </c>
      <c r="G118" s="23">
        <f>lc_detailed!AG119</f>
        <v>0</v>
      </c>
      <c r="H118" s="23">
        <f>lc_detailed!AH119</f>
        <v>0</v>
      </c>
      <c r="I118" s="23">
        <f>lc_detailed!AI119</f>
        <v>0</v>
      </c>
      <c r="J118" s="23">
        <f>lc_detailed!AK119</f>
        <v>0</v>
      </c>
      <c r="K118" s="23">
        <f>lc_detailed!AL119</f>
        <v>0</v>
      </c>
      <c r="L118" s="23">
        <f>lc_detailed!Y119</f>
        <v>0</v>
      </c>
    </row>
    <row r="119" spans="1:12" x14ac:dyDescent="0.2">
      <c r="A119">
        <f>lc_detailed!W120</f>
        <v>0</v>
      </c>
      <c r="B119" s="23">
        <f>lc_detailed!AB120</f>
        <v>0</v>
      </c>
      <c r="C119" s="23">
        <f>lc_detailed!AC120</f>
        <v>0</v>
      </c>
      <c r="D119" s="23">
        <f>lc_detailed!AD120</f>
        <v>0</v>
      </c>
      <c r="E119" s="23">
        <f>lc_detailed!AE120</f>
        <v>0</v>
      </c>
      <c r="F119" s="23">
        <f>lc_detailed!AF120</f>
        <v>0</v>
      </c>
      <c r="G119" s="23">
        <f>lc_detailed!AG120</f>
        <v>0</v>
      </c>
      <c r="H119" s="23">
        <f>lc_detailed!AH120</f>
        <v>0</v>
      </c>
      <c r="I119" s="23">
        <f>lc_detailed!AI120</f>
        <v>0</v>
      </c>
      <c r="J119" s="23">
        <f>lc_detailed!AK120</f>
        <v>0</v>
      </c>
      <c r="K119" s="23">
        <f>lc_detailed!AL120</f>
        <v>0</v>
      </c>
      <c r="L119" s="23">
        <f>lc_detailed!Y120</f>
        <v>0</v>
      </c>
    </row>
    <row r="120" spans="1:12" x14ac:dyDescent="0.2">
      <c r="A120">
        <f>lc_detailed!W121</f>
        <v>0</v>
      </c>
      <c r="B120" s="23">
        <f>lc_detailed!AB121</f>
        <v>0</v>
      </c>
      <c r="C120" s="23">
        <f>lc_detailed!AC121</f>
        <v>0</v>
      </c>
      <c r="D120" s="23">
        <f>lc_detailed!AD121</f>
        <v>0</v>
      </c>
      <c r="E120" s="23">
        <f>lc_detailed!AE121</f>
        <v>0</v>
      </c>
      <c r="F120" s="23">
        <f>lc_detailed!AF121</f>
        <v>0</v>
      </c>
      <c r="G120" s="23">
        <f>lc_detailed!AG121</f>
        <v>0</v>
      </c>
      <c r="H120" s="23">
        <f>lc_detailed!AH121</f>
        <v>0</v>
      </c>
      <c r="I120" s="23">
        <f>lc_detailed!AI121</f>
        <v>0</v>
      </c>
      <c r="J120" s="23">
        <f>lc_detailed!AK121</f>
        <v>0</v>
      </c>
      <c r="K120" s="23">
        <f>lc_detailed!AL121</f>
        <v>0</v>
      </c>
      <c r="L120" s="23">
        <f>lc_detailed!Y121</f>
        <v>0</v>
      </c>
    </row>
    <row r="121" spans="1:12" x14ac:dyDescent="0.2">
      <c r="A121">
        <f>lc_detailed!W122</f>
        <v>0</v>
      </c>
      <c r="B121" s="23">
        <f>lc_detailed!AB122</f>
        <v>0</v>
      </c>
      <c r="C121" s="23">
        <f>lc_detailed!AC122</f>
        <v>0</v>
      </c>
      <c r="D121" s="23">
        <f>lc_detailed!AD122</f>
        <v>0</v>
      </c>
      <c r="E121" s="23">
        <f>lc_detailed!AE122</f>
        <v>0</v>
      </c>
      <c r="F121" s="23">
        <f>lc_detailed!AF122</f>
        <v>0</v>
      </c>
      <c r="G121" s="23">
        <f>lc_detailed!AG122</f>
        <v>0</v>
      </c>
      <c r="H121" s="23">
        <f>lc_detailed!AH122</f>
        <v>0</v>
      </c>
      <c r="I121" s="23">
        <f>lc_detailed!AI122</f>
        <v>0</v>
      </c>
      <c r="J121" s="23">
        <f>lc_detailed!AK122</f>
        <v>0</v>
      </c>
      <c r="K121" s="23">
        <f>lc_detailed!AL122</f>
        <v>0</v>
      </c>
      <c r="L121" s="23">
        <f>lc_detailed!Y122</f>
        <v>0</v>
      </c>
    </row>
    <row r="122" spans="1:12" x14ac:dyDescent="0.2">
      <c r="A122">
        <f>lc_detailed!W123</f>
        <v>0</v>
      </c>
      <c r="B122" s="23">
        <f>lc_detailed!AB123</f>
        <v>0</v>
      </c>
      <c r="C122" s="23">
        <f>lc_detailed!AC123</f>
        <v>0</v>
      </c>
      <c r="D122" s="23">
        <f>lc_detailed!AD123</f>
        <v>0</v>
      </c>
      <c r="E122" s="23">
        <f>lc_detailed!AE123</f>
        <v>0</v>
      </c>
      <c r="F122" s="23">
        <f>lc_detailed!AF123</f>
        <v>0</v>
      </c>
      <c r="G122" s="23">
        <f>lc_detailed!AG123</f>
        <v>0</v>
      </c>
      <c r="H122" s="23">
        <f>lc_detailed!AH123</f>
        <v>0</v>
      </c>
      <c r="I122" s="23">
        <f>lc_detailed!AI123</f>
        <v>0</v>
      </c>
      <c r="J122" s="23">
        <f>lc_detailed!AK123</f>
        <v>0</v>
      </c>
      <c r="K122" s="23">
        <f>lc_detailed!AL123</f>
        <v>0</v>
      </c>
      <c r="L122" s="23">
        <f>lc_detailed!Y123</f>
        <v>0</v>
      </c>
    </row>
    <row r="123" spans="1:12" x14ac:dyDescent="0.2">
      <c r="A123">
        <f>lc_detailed!W124</f>
        <v>0</v>
      </c>
      <c r="B123" s="23">
        <f>lc_detailed!AB124</f>
        <v>0</v>
      </c>
      <c r="C123" s="23">
        <f>lc_detailed!AC124</f>
        <v>0</v>
      </c>
      <c r="D123" s="23">
        <f>lc_detailed!AD124</f>
        <v>0</v>
      </c>
      <c r="E123" s="23">
        <f>lc_detailed!AE124</f>
        <v>0</v>
      </c>
      <c r="F123" s="23">
        <f>lc_detailed!AF124</f>
        <v>0</v>
      </c>
      <c r="G123" s="23">
        <f>lc_detailed!AG124</f>
        <v>0</v>
      </c>
      <c r="H123" s="23">
        <f>lc_detailed!AH124</f>
        <v>0</v>
      </c>
      <c r="I123" s="23">
        <f>lc_detailed!AI124</f>
        <v>0</v>
      </c>
      <c r="J123" s="23">
        <f>lc_detailed!AK124</f>
        <v>0</v>
      </c>
      <c r="K123" s="23">
        <f>lc_detailed!AL124</f>
        <v>0</v>
      </c>
      <c r="L123" s="23">
        <f>lc_detailed!Y124</f>
        <v>0</v>
      </c>
    </row>
    <row r="124" spans="1:12" x14ac:dyDescent="0.2">
      <c r="A124">
        <f>lc_detailed!W125</f>
        <v>0</v>
      </c>
      <c r="B124" s="23">
        <f>lc_detailed!AB125</f>
        <v>0</v>
      </c>
      <c r="C124" s="23">
        <f>lc_detailed!AC125</f>
        <v>0</v>
      </c>
      <c r="D124" s="23">
        <f>lc_detailed!AD125</f>
        <v>0</v>
      </c>
      <c r="E124" s="23">
        <f>lc_detailed!AE125</f>
        <v>0</v>
      </c>
      <c r="F124" s="23">
        <f>lc_detailed!AF125</f>
        <v>0</v>
      </c>
      <c r="G124" s="23">
        <f>lc_detailed!AG125</f>
        <v>0</v>
      </c>
      <c r="H124" s="23">
        <f>lc_detailed!AH125</f>
        <v>0</v>
      </c>
      <c r="I124" s="23">
        <f>lc_detailed!AI125</f>
        <v>0</v>
      </c>
      <c r="J124" s="23">
        <f>lc_detailed!AK125</f>
        <v>0</v>
      </c>
      <c r="K124" s="23">
        <f>lc_detailed!AL125</f>
        <v>0</v>
      </c>
      <c r="L124" s="23">
        <f>lc_detailed!Y125</f>
        <v>0</v>
      </c>
    </row>
    <row r="125" spans="1:12" x14ac:dyDescent="0.2">
      <c r="A125">
        <f>lc_detailed!W126</f>
        <v>0</v>
      </c>
      <c r="B125" s="23">
        <f>lc_detailed!AB126</f>
        <v>0</v>
      </c>
      <c r="C125" s="23">
        <f>lc_detailed!AC126</f>
        <v>0</v>
      </c>
      <c r="D125" s="23">
        <f>lc_detailed!AD126</f>
        <v>0</v>
      </c>
      <c r="E125" s="23">
        <f>lc_detailed!AE126</f>
        <v>0</v>
      </c>
      <c r="F125" s="23">
        <f>lc_detailed!AF126</f>
        <v>0</v>
      </c>
      <c r="G125" s="23">
        <f>lc_detailed!AG126</f>
        <v>0</v>
      </c>
      <c r="H125" s="23">
        <f>lc_detailed!AH126</f>
        <v>0</v>
      </c>
      <c r="I125" s="23">
        <f>lc_detailed!AI126</f>
        <v>0</v>
      </c>
      <c r="J125" s="23">
        <f>lc_detailed!AK126</f>
        <v>0</v>
      </c>
      <c r="K125" s="23">
        <f>lc_detailed!AL126</f>
        <v>0</v>
      </c>
      <c r="L125" s="23">
        <f>lc_detailed!Y126</f>
        <v>0</v>
      </c>
    </row>
    <row r="126" spans="1:12" x14ac:dyDescent="0.2">
      <c r="A126">
        <f>lc_detailed!W127</f>
        <v>0</v>
      </c>
      <c r="B126" s="23">
        <f>lc_detailed!AB127</f>
        <v>0</v>
      </c>
      <c r="C126" s="23">
        <f>lc_detailed!AC127</f>
        <v>0</v>
      </c>
      <c r="D126" s="23">
        <f>lc_detailed!AD127</f>
        <v>0</v>
      </c>
      <c r="E126" s="23">
        <f>lc_detailed!AE127</f>
        <v>0</v>
      </c>
      <c r="F126" s="23">
        <f>lc_detailed!AF127</f>
        <v>0</v>
      </c>
      <c r="G126" s="23">
        <f>lc_detailed!AG127</f>
        <v>0</v>
      </c>
      <c r="H126" s="23">
        <f>lc_detailed!AH127</f>
        <v>0</v>
      </c>
      <c r="I126" s="23">
        <f>lc_detailed!AI127</f>
        <v>0</v>
      </c>
      <c r="J126" s="23">
        <f>lc_detailed!AK127</f>
        <v>0</v>
      </c>
      <c r="K126" s="23">
        <f>lc_detailed!AL127</f>
        <v>0</v>
      </c>
      <c r="L126" s="23">
        <f>lc_detailed!Y127</f>
        <v>0</v>
      </c>
    </row>
    <row r="127" spans="1:12" x14ac:dyDescent="0.2">
      <c r="A127">
        <f>lc_detailed!W128</f>
        <v>0</v>
      </c>
      <c r="B127" s="23">
        <f>lc_detailed!AB128</f>
        <v>0</v>
      </c>
      <c r="C127" s="23">
        <f>lc_detailed!AC128</f>
        <v>0</v>
      </c>
      <c r="D127" s="23">
        <f>lc_detailed!AD128</f>
        <v>0</v>
      </c>
      <c r="E127" s="23">
        <f>lc_detailed!AE128</f>
        <v>0</v>
      </c>
      <c r="F127" s="23">
        <f>lc_detailed!AF128</f>
        <v>0</v>
      </c>
      <c r="G127" s="23">
        <f>lc_detailed!AG128</f>
        <v>0</v>
      </c>
      <c r="H127" s="23">
        <f>lc_detailed!AH128</f>
        <v>0</v>
      </c>
      <c r="I127" s="23">
        <f>lc_detailed!AI128</f>
        <v>0</v>
      </c>
      <c r="J127" s="23">
        <f>lc_detailed!AK128</f>
        <v>0</v>
      </c>
      <c r="K127" s="23">
        <f>lc_detailed!AL128</f>
        <v>0</v>
      </c>
      <c r="L127" s="23">
        <f>lc_detailed!Y128</f>
        <v>0</v>
      </c>
    </row>
    <row r="128" spans="1:12" x14ac:dyDescent="0.2">
      <c r="A128">
        <f>lc_detailed!W129</f>
        <v>0</v>
      </c>
      <c r="B128" s="23">
        <f>lc_detailed!AB129</f>
        <v>0</v>
      </c>
      <c r="C128" s="23">
        <f>lc_detailed!AC129</f>
        <v>0</v>
      </c>
      <c r="D128" s="23">
        <f>lc_detailed!AD129</f>
        <v>0</v>
      </c>
      <c r="E128" s="23">
        <f>lc_detailed!AE129</f>
        <v>0</v>
      </c>
      <c r="F128" s="23">
        <f>lc_detailed!AF129</f>
        <v>0</v>
      </c>
      <c r="G128" s="23">
        <f>lc_detailed!AG129</f>
        <v>0</v>
      </c>
      <c r="H128" s="23">
        <f>lc_detailed!AH129</f>
        <v>0</v>
      </c>
      <c r="I128" s="23">
        <f>lc_detailed!AI129</f>
        <v>0</v>
      </c>
      <c r="J128" s="23">
        <f>lc_detailed!AK129</f>
        <v>0</v>
      </c>
      <c r="K128" s="23">
        <f>lc_detailed!AL129</f>
        <v>0</v>
      </c>
      <c r="L128" s="23">
        <f>lc_detailed!Y129</f>
        <v>0</v>
      </c>
    </row>
    <row r="129" spans="1:12" x14ac:dyDescent="0.2">
      <c r="A129">
        <f>lc_detailed!W130</f>
        <v>0</v>
      </c>
      <c r="B129" s="23">
        <f>lc_detailed!AB130</f>
        <v>0</v>
      </c>
      <c r="C129" s="23">
        <f>lc_detailed!AC130</f>
        <v>0</v>
      </c>
      <c r="D129" s="23">
        <f>lc_detailed!AD130</f>
        <v>0</v>
      </c>
      <c r="E129" s="23">
        <f>lc_detailed!AE130</f>
        <v>0</v>
      </c>
      <c r="F129" s="23">
        <f>lc_detailed!AF130</f>
        <v>0</v>
      </c>
      <c r="G129" s="23">
        <f>lc_detailed!AG130</f>
        <v>0</v>
      </c>
      <c r="H129" s="23">
        <f>lc_detailed!AH130</f>
        <v>0</v>
      </c>
      <c r="I129" s="23">
        <f>lc_detailed!AI130</f>
        <v>0</v>
      </c>
      <c r="J129" s="23">
        <f>lc_detailed!AK130</f>
        <v>0</v>
      </c>
      <c r="K129" s="23">
        <f>lc_detailed!AL130</f>
        <v>0</v>
      </c>
      <c r="L129" s="23">
        <f>lc_detailed!Y130</f>
        <v>0</v>
      </c>
    </row>
    <row r="130" spans="1:12" x14ac:dyDescent="0.2">
      <c r="A130">
        <f>lc_detailed!W131</f>
        <v>0</v>
      </c>
      <c r="B130" s="23">
        <f>lc_detailed!AB131</f>
        <v>0</v>
      </c>
      <c r="C130" s="23">
        <f>lc_detailed!AC131</f>
        <v>0</v>
      </c>
      <c r="D130" s="23">
        <f>lc_detailed!AD131</f>
        <v>0</v>
      </c>
      <c r="E130" s="23">
        <f>lc_detailed!AE131</f>
        <v>0</v>
      </c>
      <c r="F130" s="23">
        <f>lc_detailed!AF131</f>
        <v>0</v>
      </c>
      <c r="G130" s="23">
        <f>lc_detailed!AG131</f>
        <v>0</v>
      </c>
      <c r="H130" s="23">
        <f>lc_detailed!AH131</f>
        <v>0</v>
      </c>
      <c r="I130" s="23">
        <f>lc_detailed!AI131</f>
        <v>0</v>
      </c>
      <c r="J130" s="23">
        <f>lc_detailed!AK131</f>
        <v>0</v>
      </c>
      <c r="K130" s="23">
        <f>lc_detailed!AL131</f>
        <v>0</v>
      </c>
      <c r="L130" s="23">
        <f>lc_detailed!Y131</f>
        <v>0</v>
      </c>
    </row>
    <row r="131" spans="1:12" x14ac:dyDescent="0.2">
      <c r="A131">
        <f>lc_detailed!W132</f>
        <v>0</v>
      </c>
      <c r="B131" s="23">
        <f>lc_detailed!AB132</f>
        <v>0</v>
      </c>
      <c r="C131" s="23">
        <f>lc_detailed!AC132</f>
        <v>0</v>
      </c>
      <c r="D131" s="23">
        <f>lc_detailed!AD132</f>
        <v>0</v>
      </c>
      <c r="E131" s="23">
        <f>lc_detailed!AE132</f>
        <v>0</v>
      </c>
      <c r="F131" s="23">
        <f>lc_detailed!AF132</f>
        <v>0</v>
      </c>
      <c r="G131" s="23">
        <f>lc_detailed!AG132</f>
        <v>0</v>
      </c>
      <c r="H131" s="23">
        <f>lc_detailed!AH132</f>
        <v>0</v>
      </c>
      <c r="I131" s="23">
        <f>lc_detailed!AI132</f>
        <v>0</v>
      </c>
      <c r="J131" s="23">
        <f>lc_detailed!AK132</f>
        <v>0</v>
      </c>
      <c r="K131" s="23">
        <f>lc_detailed!AL132</f>
        <v>0</v>
      </c>
      <c r="L131" s="23">
        <f>lc_detailed!Y132</f>
        <v>0</v>
      </c>
    </row>
    <row r="132" spans="1:12" x14ac:dyDescent="0.2">
      <c r="A132">
        <f>lc_detailed!W133</f>
        <v>0</v>
      </c>
      <c r="B132" s="23">
        <f>lc_detailed!AB133</f>
        <v>0</v>
      </c>
      <c r="C132" s="23">
        <f>lc_detailed!AC133</f>
        <v>0</v>
      </c>
      <c r="D132" s="23">
        <f>lc_detailed!AD133</f>
        <v>0</v>
      </c>
      <c r="E132" s="23">
        <f>lc_detailed!AE133</f>
        <v>0</v>
      </c>
      <c r="F132" s="23">
        <f>lc_detailed!AF133</f>
        <v>0</v>
      </c>
      <c r="G132" s="23">
        <f>lc_detailed!AG133</f>
        <v>0</v>
      </c>
      <c r="H132" s="23">
        <f>lc_detailed!AH133</f>
        <v>0</v>
      </c>
      <c r="I132" s="23">
        <f>lc_detailed!AI133</f>
        <v>0</v>
      </c>
      <c r="J132" s="23">
        <f>lc_detailed!AK133</f>
        <v>0</v>
      </c>
      <c r="K132" s="23">
        <f>lc_detailed!AL133</f>
        <v>0</v>
      </c>
      <c r="L132" s="23">
        <f>lc_detailed!Y133</f>
        <v>0</v>
      </c>
    </row>
    <row r="133" spans="1:12" x14ac:dyDescent="0.2">
      <c r="A133">
        <f>lc_detailed!W134</f>
        <v>0</v>
      </c>
      <c r="B133" s="23">
        <f>lc_detailed!AB134</f>
        <v>0</v>
      </c>
      <c r="C133" s="23">
        <f>lc_detailed!AC134</f>
        <v>0</v>
      </c>
      <c r="D133" s="23">
        <f>lc_detailed!AD134</f>
        <v>0</v>
      </c>
      <c r="E133" s="23">
        <f>lc_detailed!AE134</f>
        <v>0</v>
      </c>
      <c r="F133" s="23">
        <f>lc_detailed!AF134</f>
        <v>0</v>
      </c>
      <c r="G133" s="23">
        <f>lc_detailed!AG134</f>
        <v>0</v>
      </c>
      <c r="H133" s="23">
        <f>lc_detailed!AH134</f>
        <v>0</v>
      </c>
      <c r="I133" s="23">
        <f>lc_detailed!AI134</f>
        <v>0</v>
      </c>
      <c r="J133" s="23">
        <f>lc_detailed!AK134</f>
        <v>0</v>
      </c>
      <c r="K133" s="23">
        <f>lc_detailed!AL134</f>
        <v>0</v>
      </c>
      <c r="L133" s="23">
        <f>lc_detailed!Y134</f>
        <v>0</v>
      </c>
    </row>
    <row r="134" spans="1:12" x14ac:dyDescent="0.2">
      <c r="A134">
        <f>lc_detailed!W135</f>
        <v>0</v>
      </c>
      <c r="B134" s="23">
        <f>lc_detailed!AB135</f>
        <v>0</v>
      </c>
      <c r="C134" s="23">
        <f>lc_detailed!AC135</f>
        <v>0</v>
      </c>
      <c r="D134" s="23">
        <f>lc_detailed!AD135</f>
        <v>0</v>
      </c>
      <c r="E134" s="23">
        <f>lc_detailed!AE135</f>
        <v>0</v>
      </c>
      <c r="F134" s="23">
        <f>lc_detailed!AF135</f>
        <v>0</v>
      </c>
      <c r="G134" s="23">
        <f>lc_detailed!AG135</f>
        <v>0</v>
      </c>
      <c r="H134" s="23">
        <f>lc_detailed!AH135</f>
        <v>0</v>
      </c>
      <c r="I134" s="23">
        <f>lc_detailed!AI135</f>
        <v>0</v>
      </c>
      <c r="J134" s="23">
        <f>lc_detailed!AK135</f>
        <v>0</v>
      </c>
      <c r="K134" s="23">
        <f>lc_detailed!AL135</f>
        <v>0</v>
      </c>
      <c r="L134" s="23">
        <f>lc_detailed!Y135</f>
        <v>0</v>
      </c>
    </row>
    <row r="135" spans="1:12" x14ac:dyDescent="0.2">
      <c r="A135">
        <f>lc_detailed!W136</f>
        <v>0</v>
      </c>
      <c r="B135" s="23">
        <f>lc_detailed!AB136</f>
        <v>0</v>
      </c>
      <c r="C135" s="23">
        <f>lc_detailed!AC136</f>
        <v>0</v>
      </c>
      <c r="D135" s="23">
        <f>lc_detailed!AD136</f>
        <v>0</v>
      </c>
      <c r="E135" s="23">
        <f>lc_detailed!AE136</f>
        <v>0</v>
      </c>
      <c r="F135" s="23">
        <f>lc_detailed!AF136</f>
        <v>0</v>
      </c>
      <c r="G135" s="23">
        <f>lc_detailed!AG136</f>
        <v>0</v>
      </c>
      <c r="H135" s="23">
        <f>lc_detailed!AH136</f>
        <v>0</v>
      </c>
      <c r="I135" s="23">
        <f>lc_detailed!AI136</f>
        <v>0</v>
      </c>
      <c r="J135" s="23">
        <f>lc_detailed!AK136</f>
        <v>0</v>
      </c>
      <c r="K135" s="23">
        <f>lc_detailed!AL136</f>
        <v>0</v>
      </c>
      <c r="L135" s="23">
        <f>lc_detailed!Y136</f>
        <v>0</v>
      </c>
    </row>
    <row r="136" spans="1:12" x14ac:dyDescent="0.2">
      <c r="A136">
        <f>lc_detailed!W137</f>
        <v>0</v>
      </c>
      <c r="B136" s="23">
        <f>lc_detailed!AB137</f>
        <v>0</v>
      </c>
      <c r="C136" s="23">
        <f>lc_detailed!AC137</f>
        <v>0</v>
      </c>
      <c r="D136" s="23">
        <f>lc_detailed!AD137</f>
        <v>0</v>
      </c>
      <c r="E136" s="23">
        <f>lc_detailed!AE137</f>
        <v>0</v>
      </c>
      <c r="F136" s="23">
        <f>lc_detailed!AF137</f>
        <v>0</v>
      </c>
      <c r="G136" s="23">
        <f>lc_detailed!AG137</f>
        <v>0</v>
      </c>
      <c r="H136" s="23">
        <f>lc_detailed!AH137</f>
        <v>0</v>
      </c>
      <c r="I136" s="23">
        <f>lc_detailed!AI137</f>
        <v>0</v>
      </c>
      <c r="J136" s="23">
        <f>lc_detailed!AK137</f>
        <v>0</v>
      </c>
      <c r="K136" s="23">
        <f>lc_detailed!AL137</f>
        <v>0</v>
      </c>
      <c r="L136" s="23">
        <f>lc_detailed!Y137</f>
        <v>0</v>
      </c>
    </row>
    <row r="137" spans="1:12" x14ac:dyDescent="0.2">
      <c r="A137">
        <f>lc_detailed!W138</f>
        <v>0</v>
      </c>
      <c r="B137" s="23">
        <f>lc_detailed!AB138</f>
        <v>0</v>
      </c>
      <c r="C137" s="23">
        <f>lc_detailed!AC138</f>
        <v>0</v>
      </c>
      <c r="D137" s="23">
        <f>lc_detailed!AD138</f>
        <v>0</v>
      </c>
      <c r="E137" s="23">
        <f>lc_detailed!AE138</f>
        <v>0</v>
      </c>
      <c r="F137" s="23">
        <f>lc_detailed!AF138</f>
        <v>0</v>
      </c>
      <c r="G137" s="23">
        <f>lc_detailed!AG138</f>
        <v>0</v>
      </c>
      <c r="H137" s="23">
        <f>lc_detailed!AH138</f>
        <v>0</v>
      </c>
      <c r="I137" s="23">
        <f>lc_detailed!AI138</f>
        <v>0</v>
      </c>
      <c r="J137" s="23">
        <f>lc_detailed!AK138</f>
        <v>0</v>
      </c>
      <c r="K137" s="23">
        <f>lc_detailed!AL138</f>
        <v>0</v>
      </c>
      <c r="L137" s="23">
        <f>lc_detailed!Y138</f>
        <v>0</v>
      </c>
    </row>
    <row r="138" spans="1:12" x14ac:dyDescent="0.2">
      <c r="A138">
        <f>lc_detailed!W139</f>
        <v>0</v>
      </c>
      <c r="B138" s="23">
        <f>lc_detailed!AB139</f>
        <v>0</v>
      </c>
      <c r="C138" s="23">
        <f>lc_detailed!AC139</f>
        <v>0</v>
      </c>
      <c r="D138" s="23">
        <f>lc_detailed!AD139</f>
        <v>0</v>
      </c>
      <c r="E138" s="23">
        <f>lc_detailed!AE139</f>
        <v>0</v>
      </c>
      <c r="F138" s="23">
        <f>lc_detailed!AF139</f>
        <v>0</v>
      </c>
      <c r="G138" s="23">
        <f>lc_detailed!AG139</f>
        <v>0</v>
      </c>
      <c r="H138" s="23">
        <f>lc_detailed!AH139</f>
        <v>0</v>
      </c>
      <c r="I138" s="23">
        <f>lc_detailed!AI139</f>
        <v>0</v>
      </c>
      <c r="J138" s="23">
        <f>lc_detailed!AK139</f>
        <v>0</v>
      </c>
      <c r="K138" s="23">
        <f>lc_detailed!AL139</f>
        <v>0</v>
      </c>
      <c r="L138" s="23">
        <f>lc_detailed!Y139</f>
        <v>0</v>
      </c>
    </row>
    <row r="139" spans="1:12" x14ac:dyDescent="0.2">
      <c r="A139">
        <f>lc_detailed!W140</f>
        <v>0</v>
      </c>
      <c r="B139" s="23">
        <f>lc_detailed!AB140</f>
        <v>0</v>
      </c>
      <c r="C139" s="23">
        <f>lc_detailed!AC140</f>
        <v>0</v>
      </c>
      <c r="D139" s="23">
        <f>lc_detailed!AD140</f>
        <v>0</v>
      </c>
      <c r="E139" s="23">
        <f>lc_detailed!AE140</f>
        <v>0</v>
      </c>
      <c r="F139" s="23">
        <f>lc_detailed!AF140</f>
        <v>0</v>
      </c>
      <c r="G139" s="23">
        <f>lc_detailed!AG140</f>
        <v>0</v>
      </c>
      <c r="H139" s="23">
        <f>lc_detailed!AH140</f>
        <v>0</v>
      </c>
      <c r="I139" s="23">
        <f>lc_detailed!AI140</f>
        <v>0</v>
      </c>
      <c r="J139" s="23">
        <f>lc_detailed!AK140</f>
        <v>0</v>
      </c>
      <c r="K139" s="23">
        <f>lc_detailed!AL140</f>
        <v>0</v>
      </c>
      <c r="L139" s="23">
        <f>lc_detailed!Y140</f>
        <v>0</v>
      </c>
    </row>
    <row r="140" spans="1:12" x14ac:dyDescent="0.2">
      <c r="A140">
        <f>lc_detailed!W141</f>
        <v>0</v>
      </c>
      <c r="B140" s="23">
        <f>lc_detailed!AB141</f>
        <v>0</v>
      </c>
      <c r="C140" s="23">
        <f>lc_detailed!AC141</f>
        <v>0</v>
      </c>
      <c r="D140" s="23">
        <f>lc_detailed!AD141</f>
        <v>0</v>
      </c>
      <c r="E140" s="23">
        <f>lc_detailed!AE141</f>
        <v>0</v>
      </c>
      <c r="F140" s="23">
        <f>lc_detailed!AF141</f>
        <v>0</v>
      </c>
      <c r="G140" s="23">
        <f>lc_detailed!AG141</f>
        <v>0</v>
      </c>
      <c r="H140" s="23">
        <f>lc_detailed!AH141</f>
        <v>0</v>
      </c>
      <c r="I140" s="23">
        <f>lc_detailed!AI141</f>
        <v>0</v>
      </c>
      <c r="J140" s="23">
        <f>lc_detailed!AK141</f>
        <v>0</v>
      </c>
      <c r="K140" s="23">
        <f>lc_detailed!AL141</f>
        <v>0</v>
      </c>
      <c r="L140" s="23">
        <f>lc_detailed!Y141</f>
        <v>0</v>
      </c>
    </row>
    <row r="141" spans="1:12" x14ac:dyDescent="0.2">
      <c r="A141">
        <f>lc_detailed!W142</f>
        <v>0</v>
      </c>
      <c r="B141" s="23">
        <f>lc_detailed!AB142</f>
        <v>0</v>
      </c>
      <c r="C141" s="23">
        <f>lc_detailed!AC142</f>
        <v>0</v>
      </c>
      <c r="D141" s="23">
        <f>lc_detailed!AD142</f>
        <v>0</v>
      </c>
      <c r="E141" s="23">
        <f>lc_detailed!AE142</f>
        <v>0</v>
      </c>
      <c r="F141" s="23">
        <f>lc_detailed!AF142</f>
        <v>0</v>
      </c>
      <c r="G141" s="23">
        <f>lc_detailed!AG142</f>
        <v>0</v>
      </c>
      <c r="H141" s="23">
        <f>lc_detailed!AH142</f>
        <v>0</v>
      </c>
      <c r="I141" s="23">
        <f>lc_detailed!AI142</f>
        <v>0</v>
      </c>
      <c r="J141" s="23">
        <f>lc_detailed!AK142</f>
        <v>0</v>
      </c>
      <c r="K141" s="23">
        <f>lc_detailed!AL142</f>
        <v>0</v>
      </c>
      <c r="L141" s="23">
        <f>lc_detailed!Y142</f>
        <v>0</v>
      </c>
    </row>
    <row r="142" spans="1:12" x14ac:dyDescent="0.2">
      <c r="A142">
        <f>lc_detailed!W143</f>
        <v>0</v>
      </c>
      <c r="B142" s="23">
        <f>lc_detailed!AB143</f>
        <v>0</v>
      </c>
      <c r="C142" s="23">
        <f>lc_detailed!AC143</f>
        <v>0</v>
      </c>
      <c r="D142" s="23">
        <f>lc_detailed!AD143</f>
        <v>0</v>
      </c>
      <c r="E142" s="23">
        <f>lc_detailed!AE143</f>
        <v>0</v>
      </c>
      <c r="F142" s="23">
        <f>lc_detailed!AF143</f>
        <v>0</v>
      </c>
      <c r="G142" s="23">
        <f>lc_detailed!AG143</f>
        <v>0</v>
      </c>
      <c r="H142" s="23">
        <f>lc_detailed!AH143</f>
        <v>0</v>
      </c>
      <c r="I142" s="23">
        <f>lc_detailed!AI143</f>
        <v>0</v>
      </c>
      <c r="J142" s="23">
        <f>lc_detailed!AK143</f>
        <v>0</v>
      </c>
      <c r="K142" s="23">
        <f>lc_detailed!AL143</f>
        <v>0</v>
      </c>
      <c r="L142" s="23">
        <f>lc_detailed!Y143</f>
        <v>0</v>
      </c>
    </row>
    <row r="143" spans="1:12" x14ac:dyDescent="0.2">
      <c r="A143">
        <f>lc_detailed!W144</f>
        <v>0</v>
      </c>
      <c r="B143" s="23">
        <f>lc_detailed!AB144</f>
        <v>0</v>
      </c>
      <c r="C143" s="23">
        <f>lc_detailed!AC144</f>
        <v>0</v>
      </c>
      <c r="D143" s="23">
        <f>lc_detailed!AD144</f>
        <v>0</v>
      </c>
      <c r="E143" s="23">
        <f>lc_detailed!AE144</f>
        <v>0</v>
      </c>
      <c r="F143" s="23">
        <f>lc_detailed!AF144</f>
        <v>0</v>
      </c>
      <c r="G143" s="23">
        <f>lc_detailed!AG144</f>
        <v>0</v>
      </c>
      <c r="H143" s="23">
        <f>lc_detailed!AH144</f>
        <v>0</v>
      </c>
      <c r="I143" s="23">
        <f>lc_detailed!AI144</f>
        <v>0</v>
      </c>
      <c r="J143" s="23">
        <f>lc_detailed!AK144</f>
        <v>0</v>
      </c>
      <c r="K143" s="23">
        <f>lc_detailed!AL144</f>
        <v>0</v>
      </c>
      <c r="L143" s="23">
        <f>lc_detailed!Y144</f>
        <v>0</v>
      </c>
    </row>
    <row r="144" spans="1:12" x14ac:dyDescent="0.2">
      <c r="A144">
        <f>lc_detailed!W145</f>
        <v>0</v>
      </c>
      <c r="B144" s="23">
        <f>lc_detailed!AB145</f>
        <v>0</v>
      </c>
      <c r="C144" s="23">
        <f>lc_detailed!AC145</f>
        <v>0</v>
      </c>
      <c r="D144" s="23">
        <f>lc_detailed!AD145</f>
        <v>0</v>
      </c>
      <c r="E144" s="23">
        <f>lc_detailed!AE145</f>
        <v>0</v>
      </c>
      <c r="F144" s="23">
        <f>lc_detailed!AF145</f>
        <v>0</v>
      </c>
      <c r="G144" s="23">
        <f>lc_detailed!AG145</f>
        <v>0</v>
      </c>
      <c r="H144" s="23">
        <f>lc_detailed!AH145</f>
        <v>0</v>
      </c>
      <c r="I144" s="23">
        <f>lc_detailed!AI145</f>
        <v>0</v>
      </c>
      <c r="J144" s="23">
        <f>lc_detailed!AK145</f>
        <v>0</v>
      </c>
      <c r="K144" s="23">
        <f>lc_detailed!AL145</f>
        <v>0</v>
      </c>
      <c r="L144" s="23">
        <f>lc_detailed!Y145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lc_detailed</vt:lpstr>
      <vt:lpstr>lc_summary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2026-06-24T07:00:40Z</dcterms:modified>
</cp:coreProperties>
</file>