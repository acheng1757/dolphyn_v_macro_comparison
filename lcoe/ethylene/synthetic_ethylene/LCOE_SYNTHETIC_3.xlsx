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0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 wrapText="1"/>
    </xf>
    <xf numFmtId="0" fontId="2" fillId="5" borderId="0" applyAlignment="1" pivotButton="0" quotePrefix="0" xfId="0">
      <alignment horizontal="left" wrapText="1"/>
    </xf>
    <xf numFmtId="2" fontId="0" fillId="0" borderId="0" pivotButton="0" quotePrefix="0" xfId="0"/>
    <xf numFmtId="0" fontId="0" fillId="14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H108"/>
  <sheetViews>
    <sheetView tabSelected="1" topLeftCell="AD22" zoomScale="125" zoomScaleNormal="157" workbookViewId="0">
      <selection activeCell="AI48" sqref="AI48"/>
    </sheetView>
  </sheetViews>
  <sheetFormatPr baseColWidth="10" defaultRowHeight="16"/>
  <cols>
    <col width="2.6640625" customWidth="1" style="1" min="1" max="1"/>
    <col width="43.5" bestFit="1" customWidth="1" style="1" min="2" max="2"/>
    <col width="12.6640625" bestFit="1" customWidth="1" style="1" min="3" max="3"/>
    <col width="12.6640625" customWidth="1" style="1" min="4" max="4"/>
    <col width="32.33203125" customWidth="1" style="1" min="5" max="5"/>
    <col width="33.33203125" bestFit="1" customWidth="1" style="1" min="6" max="6"/>
    <col width="39" bestFit="1" customWidth="1" style="1" min="7" max="7"/>
    <col width="33.6640625" bestFit="1" customWidth="1" style="1" min="8" max="8"/>
    <col width="35" bestFit="1" customWidth="1" style="1" min="9" max="9"/>
    <col width="29.83203125" bestFit="1" customWidth="1" style="1" min="10" max="10"/>
    <col width="35.6640625" bestFit="1" customWidth="1" style="1" min="11" max="11"/>
    <col width="34.1640625" bestFit="1" customWidth="1" style="1" min="12" max="12"/>
    <col width="40.6640625" bestFit="1" customWidth="1" style="1" min="13" max="13"/>
    <col width="28.5" bestFit="1" customWidth="1" style="1" min="14" max="14"/>
    <col width="3" customWidth="1" style="1" min="15" max="15"/>
    <col width="12.83203125" bestFit="1" customWidth="1" style="1" min="16" max="16"/>
    <col width="11" customWidth="1" style="1" min="17" max="18"/>
    <col width="9.33203125" customWidth="1" style="1" min="19" max="19"/>
    <col width="15" customWidth="1" style="1" min="20" max="20"/>
    <col width="9.6640625" customWidth="1" style="1" min="21" max="21"/>
    <col width="3.33203125" customWidth="1" min="22" max="22"/>
    <col width="18.83203125" customWidth="1" style="1" min="23" max="23"/>
    <col width="19.83203125" customWidth="1" style="1" min="24" max="24"/>
    <col width="15.6640625" bestFit="1" customWidth="1" style="1" min="25" max="25"/>
    <col width="15.6640625" customWidth="1" style="1" min="26" max="26"/>
    <col width="18.33203125" bestFit="1" customWidth="1" style="1" min="27" max="27"/>
    <col width="14.1640625" bestFit="1" customWidth="1" style="1" min="28" max="28"/>
    <col width="15.1640625" bestFit="1" customWidth="1" style="1" min="29" max="29"/>
    <col width="17.33203125" bestFit="1" customWidth="1" style="1" min="30" max="30"/>
    <col width="15.5" customWidth="1" style="1" min="31" max="31"/>
    <col width="17" bestFit="1" customWidth="1" style="1" min="32" max="32"/>
    <col width="13.6640625" bestFit="1" customWidth="1" style="1" min="33" max="33"/>
    <col width="12.1640625" bestFit="1" customWidth="1" style="1" min="34" max="34"/>
    <col width="14.5" bestFit="1" customWidth="1" style="1" min="35" max="35"/>
    <col width="10.5" customWidth="1" style="1" min="36" max="36"/>
    <col width="17.83203125" bestFit="1" customWidth="1" style="1" min="37" max="37"/>
    <col width="19.6640625" bestFit="1" customWidth="1" style="1" min="38" max="38"/>
    <col width="12.1640625" customWidth="1" style="1" min="39" max="39"/>
    <col width="17.83203125" bestFit="1" customWidth="1" style="1" min="40" max="40"/>
    <col width="19.33203125" bestFit="1" customWidth="1" style="1" min="41" max="41"/>
    <col width="3.33203125" customWidth="1" style="1" min="42" max="42"/>
    <col width="22" bestFit="1" customWidth="1" style="1" min="43" max="43"/>
    <col width="25.1640625" bestFit="1" customWidth="1" style="1" min="44" max="44"/>
    <col width="14.6640625" bestFit="1" customWidth="1" style="1" min="45" max="45"/>
    <col width="17" bestFit="1" customWidth="1" style="1" min="46" max="46"/>
    <col width="3.6640625" customWidth="1" style="1" min="47" max="47"/>
    <col width="25.6640625" bestFit="1" customWidth="1" style="1" min="48" max="48"/>
    <col width="3.33203125" customWidth="1" style="1" min="49" max="49"/>
    <col width="22" bestFit="1" customWidth="1" style="1" min="50" max="50"/>
    <col width="17.6640625" bestFit="1" customWidth="1" style="1" min="51" max="51"/>
    <col width="22.83203125" bestFit="1" customWidth="1" style="1" min="52" max="52"/>
    <col width="18.33203125" bestFit="1" customWidth="1" style="1" min="53" max="53"/>
    <col width="22" bestFit="1" customWidth="1" style="1" min="54" max="54"/>
    <col width="2.6640625" customWidth="1" style="1" min="55" max="55"/>
    <col width="20.83203125" bestFit="1" customWidth="1" style="1" min="56" max="56"/>
    <col width="2.6640625" customWidth="1" style="1" min="57" max="57"/>
    <col width="22.5" bestFit="1" customWidth="1" style="1" min="58" max="58"/>
    <col width="10.83203125" customWidth="1" style="1" min="59" max="59"/>
    <col width="17.1640625" bestFit="1" customWidth="1" style="1" min="60" max="60"/>
    <col width="10.83203125" customWidth="1" style="1" min="61" max="77"/>
    <col width="10.83203125" customWidth="1" style="1" min="78" max="16384"/>
  </cols>
  <sheetData>
    <row r="2">
      <c r="B2" s="1" t="inlineStr">
        <is>
          <t>Asset Parameters (normalized by commodity feedstock)</t>
        </is>
      </c>
      <c r="P2" s="1" t="inlineStr">
        <is>
          <t>Duals</t>
        </is>
      </c>
      <c r="W2" s="1" t="inlineStr">
        <is>
          <t>LCOE for assets with ethane capacity ($/t-ethylene)</t>
        </is>
      </c>
      <c r="Y2" s="1" t="inlineStr">
        <is>
          <t>CI</t>
        </is>
      </c>
      <c r="Z2" s="1" t="inlineStr">
        <is>
          <t>CREDIT</t>
        </is>
      </c>
      <c r="AJ2" s="1" t="inlineStr">
        <is>
          <t>CARBON INTENSITY</t>
        </is>
      </c>
      <c r="AM2" s="1" t="inlineStr">
        <is>
          <t>CREDIT</t>
        </is>
      </c>
      <c r="AQ2" s="1" t="inlineStr">
        <is>
          <t>Carbon Content</t>
        </is>
      </c>
      <c r="AV2" s="1" t="inlineStr">
        <is>
          <t>Carbon Inputs</t>
        </is>
      </c>
      <c r="AX2" s="1" t="inlineStr">
        <is>
          <t>Carbon Outputs</t>
        </is>
      </c>
      <c r="BF2" s="17" t="inlineStr">
        <is>
          <t>Assumptions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CCS</t>
        </is>
      </c>
      <c r="E3" s="2" t="inlineStr">
        <is>
          <t>h2_consumption (MWh/t-CO2Captured)</t>
        </is>
      </c>
      <c r="F3" s="2" t="inlineStr">
        <is>
          <t>elec_consumption (MWh/t-CO2Captured)</t>
        </is>
      </c>
      <c r="G3" s="2" t="inlineStr">
        <is>
          <t>ethylene_production (t-ethylene/t-CO2Captured)</t>
        </is>
      </c>
      <c r="H3" s="2" t="inlineStr">
        <is>
          <t>natgas_production (MWh/t-CO2Captured)</t>
        </is>
      </c>
      <c r="I3" s="2" t="inlineStr">
        <is>
          <t>gasoline_production (MWh/t-CO2Captured)</t>
        </is>
      </c>
      <c r="J3" s="2" t="inlineStr">
        <is>
          <t>emission_rate (t-CO2/t-CO2Captured)</t>
        </is>
      </c>
      <c r="K3" s="2" t="inlineStr">
        <is>
          <t>investment_cost ($/yr per t-CO2Captured/hr)</t>
        </is>
      </c>
      <c r="L3" s="2" t="inlineStr">
        <is>
          <t>fixed_om_cost ($/yr per t-CO2Captured/hr)</t>
        </is>
      </c>
      <c r="M3" s="2" t="inlineStr">
        <is>
          <t>variable_om_cost ($/t-CO2Captured)</t>
        </is>
      </c>
      <c r="N3" s="7" t="inlineStr">
        <is>
          <t>LPG production (t-LPG p t-ethylene)</t>
        </is>
      </c>
      <c r="P3" s="14" t="inlineStr">
        <is>
          <t>co2_sink ($/t)</t>
        </is>
      </c>
      <c r="Q3" s="14" t="inlineStr">
        <is>
          <t>co2_captured ($/t)</t>
        </is>
      </c>
      <c r="R3" s="14" t="inlineStr">
        <is>
          <t>elec_demand ($/MWh)</t>
        </is>
      </c>
      <c r="S3" s="14" t="inlineStr">
        <is>
          <t>h2_balance ($/MWh)</t>
        </is>
      </c>
      <c r="T3" s="14" t="inlineStr">
        <is>
          <t>gasoline_balance ($/MWh)</t>
        </is>
      </c>
      <c r="U3" s="14" t="inlineStr">
        <is>
          <t>ng_balance ($/MWh)</t>
        </is>
      </c>
      <c r="W3" s="4" t="inlineStr">
        <is>
          <t>id_LC</t>
        </is>
      </c>
      <c r="X3" s="4" t="inlineStr">
        <is>
          <t>commodity_LC</t>
        </is>
      </c>
      <c r="Y3" s="3" t="inlineStr">
        <is>
          <t>LCOE ($/t-ethylene)</t>
        </is>
      </c>
      <c r="Z3" s="6" t="inlineStr">
        <is>
          <t>LCOE ($/t-ethylene)</t>
        </is>
      </c>
      <c r="AA3" s="7" t="inlineStr">
        <is>
          <t>Diff. Between Methods</t>
        </is>
      </c>
      <c r="AB3" s="4" t="inlineStr">
        <is>
          <t>h2_consumption</t>
        </is>
      </c>
      <c r="AC3" s="4" t="inlineStr">
        <is>
          <t>elec_consumption</t>
        </is>
      </c>
      <c r="AD3" s="4" t="inlineStr">
        <is>
          <t>co2captured_consumption</t>
        </is>
      </c>
      <c r="AE3" s="4" t="inlineStr">
        <is>
          <t>natgas_production</t>
        </is>
      </c>
      <c r="AF3" s="4" t="inlineStr">
        <is>
          <t>gasoline_production</t>
        </is>
      </c>
      <c r="AG3" s="4" t="inlineStr">
        <is>
          <t>investment_cost</t>
        </is>
      </c>
      <c r="AH3" s="4" t="inlineStr">
        <is>
          <t>fixed_om_cost</t>
        </is>
      </c>
      <c r="AI3" s="4" t="inlineStr">
        <is>
          <t>variable_om_cost</t>
        </is>
      </c>
      <c r="AJ3" s="3" t="inlineStr">
        <is>
          <t>CI</t>
        </is>
      </c>
      <c r="AK3" s="3" t="inlineStr">
        <is>
          <t>modified capture cost</t>
        </is>
      </c>
      <c r="AL3" s="3" t="inlineStr">
        <is>
          <t>modified emissions cost</t>
        </is>
      </c>
      <c r="AM3" s="6" t="inlineStr">
        <is>
          <t>CI</t>
        </is>
      </c>
      <c r="AN3" s="6" t="inlineStr">
        <is>
          <t>modified capture cost</t>
        </is>
      </c>
      <c r="AO3" s="6" t="inlineStr">
        <is>
          <t>modified emissions cost</t>
        </is>
      </c>
      <c r="AQ3" s="7" t="inlineStr">
        <is>
          <t>Ethylene (t-CO2/t-ethylene)</t>
        </is>
      </c>
      <c r="AR3" s="7" t="inlineStr">
        <is>
          <t>Gasoline (t-CO2/MWh-gasoline)</t>
        </is>
      </c>
      <c r="AS3" s="7" t="inlineStr">
        <is>
          <t>LPG (t-CO2/t-LPG)</t>
        </is>
      </c>
      <c r="AT3" s="7" t="inlineStr">
        <is>
          <t>NG (t-CO2/MWh-NG)</t>
        </is>
      </c>
      <c r="AV3" s="7" t="inlineStr">
        <is>
          <t>CO2Captured (t-CO2/t-ethylene)</t>
        </is>
      </c>
      <c r="AX3" s="7" t="inlineStr">
        <is>
          <t>Ethylene (t-CO2/t-ethylene)</t>
        </is>
      </c>
      <c r="AY3" s="7" t="inlineStr">
        <is>
          <t>NG (t-CO2/t-ethylene)</t>
        </is>
      </c>
      <c r="AZ3" s="7" t="inlineStr">
        <is>
          <t>Emissions (t-CO2/t-ethylene)</t>
        </is>
      </c>
      <c r="BA3" s="7" t="inlineStr">
        <is>
          <t>LPG (t-CO2/t-ethylene)</t>
        </is>
      </c>
      <c r="BB3" s="7" t="inlineStr">
        <is>
          <t>Gasoline (t-CO2/t-ethylene)</t>
        </is>
      </c>
      <c r="BD3" s="7" t="inlineStr">
        <is>
          <t>INPUT - OUTPUT (diff LPG)</t>
        </is>
      </c>
      <c r="BF3" s="19" t="inlineStr">
        <is>
          <t>Ethylene Carbon Content</t>
        </is>
      </c>
      <c r="BG3" s="18">
        <f>22/7</f>
        <v/>
      </c>
      <c r="BH3" s="18" t="inlineStr">
        <is>
          <t>t-CO2/t-ethylene</t>
        </is>
      </c>
    </row>
    <row r="4">
      <c r="B4" s="13" t="inlineStr">
        <is>
          <t>CA_S-H2in</t>
        </is>
      </c>
      <c r="C4" s="12" t="inlineStr">
        <is>
          <t>CO2Captured</t>
        </is>
      </c>
      <c r="D4" s="12" t="n">
        <v>0</v>
      </c>
      <c r="E4" s="12" t="n">
        <v>5.5446013778157</v>
      </c>
      <c r="F4" s="12" t="n">
        <v>0.1763</v>
      </c>
      <c r="G4" s="12" t="n">
        <v>0.1137656427758816</v>
      </c>
      <c r="H4" s="12" t="n">
        <v>0.1570262415358362</v>
      </c>
      <c r="I4" s="12" t="n">
        <v>0.7770682541979523</v>
      </c>
      <c r="J4" s="12" t="n">
        <v>0.06301888662522059</v>
      </c>
      <c r="K4" s="12" t="n">
        <v>174237.66</v>
      </c>
      <c r="L4" s="12" t="n">
        <v>95841.64999999999</v>
      </c>
      <c r="M4" s="12" t="n">
        <v>-43.02</v>
      </c>
      <c r="N4" s="24" t="n">
        <v>1.01</v>
      </c>
      <c r="P4" s="15" t="n">
        <v>73.71884</v>
      </c>
      <c r="Q4" s="15" t="n">
        <v>-6.091002</v>
      </c>
      <c r="R4" s="15" t="n">
        <v>21.266241</v>
      </c>
      <c r="S4" s="15" t="n">
        <v>7.267779</v>
      </c>
      <c r="T4" s="16" t="n">
        <v>-128.077631</v>
      </c>
      <c r="U4" s="15" t="n">
        <v>7.96358</v>
      </c>
      <c r="W4" s="1">
        <f>B4</f>
        <v/>
      </c>
      <c r="X4" s="1">
        <f>C4</f>
        <v/>
      </c>
      <c r="Y4" s="11">
        <f>SUM(AB4:AI4)+AK4+AL4</f>
        <v/>
      </c>
      <c r="Z4" s="11">
        <f>SUM(AB4:AI4)+AN4+AO4</f>
        <v/>
      </c>
      <c r="AA4" s="5">
        <f>Y4-Z4</f>
        <v/>
      </c>
      <c r="AB4" s="5">
        <f>E4/G4*S4</f>
        <v/>
      </c>
      <c r="AC4" s="1">
        <f>F4/G4*R4</f>
        <v/>
      </c>
      <c r="AD4" s="1">
        <f>1/G4*(P4+Q4)</f>
        <v/>
      </c>
      <c r="AE4" s="1">
        <f>H4/G4*U4*-1</f>
        <v/>
      </c>
      <c r="AF4" s="1">
        <f>I4/G4*T4</f>
        <v/>
      </c>
      <c r="AG4" s="1">
        <f>K4/G4/(0.9*8760)</f>
        <v/>
      </c>
      <c r="AH4" s="1">
        <f>L4/G4/(0.9*8760)</f>
        <v/>
      </c>
      <c r="AI4" s="1">
        <f>M4</f>
        <v/>
      </c>
      <c r="AJ4" s="1">
        <f>AY4+AZ4+BB4</f>
        <v/>
      </c>
      <c r="AK4" s="1" t="n">
        <v>0</v>
      </c>
      <c r="AL4" s="1">
        <f>AJ4*P4</f>
        <v/>
      </c>
      <c r="AM4" s="1">
        <f>AY4+AZ4+BB4</f>
        <v/>
      </c>
      <c r="AN4" s="1" t="n">
        <v>0</v>
      </c>
      <c r="AO4" s="1">
        <f>AM4*P4</f>
        <v/>
      </c>
      <c r="AQ4" s="9">
        <f>$BG$3</f>
        <v/>
      </c>
      <c r="AR4" s="10">
        <f>$BG$4</f>
        <v/>
      </c>
      <c r="AS4" s="10" t="n">
        <v>3.1429329</v>
      </c>
      <c r="AT4" s="9">
        <f>$BG$5</f>
        <v/>
      </c>
      <c r="AV4" s="10">
        <f>1/G4</f>
        <v/>
      </c>
      <c r="AX4" s="10">
        <f>AQ4</f>
        <v/>
      </c>
      <c r="AY4" s="10">
        <f>AT4*H4/G4</f>
        <v/>
      </c>
      <c r="AZ4" s="10">
        <f>J4/G4</f>
        <v/>
      </c>
      <c r="BA4" s="10">
        <f>AS4*N4</f>
        <v/>
      </c>
      <c r="BB4" s="10">
        <f>AR4*I4/G4</f>
        <v/>
      </c>
      <c r="BD4" s="10">
        <f>AV4-SUM(AX4:BB4)</f>
        <v/>
      </c>
      <c r="BF4" s="19" t="inlineStr">
        <is>
          <t>Gasoline Carbon Content</t>
        </is>
      </c>
      <c r="BG4" s="18" t="n">
        <v>0.243968185183795</v>
      </c>
      <c r="BH4" s="18" t="inlineStr">
        <is>
          <t>t-CO2/MWh-gasoline</t>
        </is>
      </c>
    </row>
    <row r="5">
      <c r="B5" s="13" t="inlineStr">
        <is>
          <t>NW_S-H2in</t>
        </is>
      </c>
      <c r="C5" s="12" t="inlineStr">
        <is>
          <t>CO2Captured</t>
        </is>
      </c>
      <c r="D5" s="12" t="n">
        <v>0.9</v>
      </c>
      <c r="E5" s="12" t="n">
        <v>5.5446013778157</v>
      </c>
      <c r="F5" s="12" t="n">
        <v>0.1763</v>
      </c>
      <c r="G5" s="12" t="n">
        <v>0.1137656427758816</v>
      </c>
      <c r="H5" s="12" t="n">
        <v>0.1570262415358362</v>
      </c>
      <c r="I5" s="12" t="n">
        <v>0.7770682541979523</v>
      </c>
      <c r="J5" s="12" t="n">
        <v>0.06301888662522059</v>
      </c>
      <c r="K5" s="12" t="n">
        <v>174237.66</v>
      </c>
      <c r="L5" s="12" t="n">
        <v>95841.64999999999</v>
      </c>
      <c r="M5" s="12" t="n">
        <v>-43.02</v>
      </c>
      <c r="N5" s="24" t="n">
        <v>1.01</v>
      </c>
      <c r="P5" s="15" t="n">
        <v>73.71884</v>
      </c>
      <c r="Q5" s="15" t="n">
        <v>-6.091002</v>
      </c>
      <c r="R5" s="15" t="n">
        <v>21.266241</v>
      </c>
      <c r="S5" s="15" t="n">
        <v>7.267779</v>
      </c>
      <c r="T5" s="16" t="n">
        <v>-128.077631</v>
      </c>
      <c r="U5" s="15" t="n">
        <v>7.96358</v>
      </c>
      <c r="W5" s="1">
        <f>B5</f>
        <v/>
      </c>
      <c r="X5" s="1">
        <f>C5</f>
        <v/>
      </c>
      <c r="Y5" s="11">
        <f>SUM(AB5:AI5)+AK5+AL5</f>
        <v/>
      </c>
      <c r="Z5" s="11">
        <f>SUM(AB5:AI5)+AN5+AO5</f>
        <v/>
      </c>
      <c r="AA5" s="5">
        <f>Y5-Z5</f>
        <v/>
      </c>
      <c r="AB5" s="5">
        <f>E5/G5*S5</f>
        <v/>
      </c>
      <c r="AC5" s="1">
        <f>F5/G5*R5</f>
        <v/>
      </c>
      <c r="AD5" s="1">
        <f>1/G5*(P5+Q5)</f>
        <v/>
      </c>
      <c r="AE5" s="1">
        <f>H5/G5*U5*-1</f>
        <v/>
      </c>
      <c r="AF5" s="1">
        <f>I5/G5*T5</f>
        <v/>
      </c>
      <c r="AG5" s="1">
        <f>K5/G5/(0.9*8760)</f>
        <v/>
      </c>
      <c r="AH5" s="1">
        <f>L5/G5/(0.9*8760)</f>
        <v/>
      </c>
      <c r="AI5" s="1">
        <f>M5</f>
        <v/>
      </c>
      <c r="AJ5" s="1">
        <f>AY5+AZ5+BB5</f>
        <v/>
      </c>
      <c r="AK5" s="1" t="n">
        <v>0</v>
      </c>
      <c r="AL5" s="1">
        <f>AJ5*P5</f>
        <v/>
      </c>
      <c r="AM5" s="1">
        <f>AY5+AZ5+BB5</f>
        <v/>
      </c>
      <c r="AN5" s="1" t="n">
        <v>0</v>
      </c>
      <c r="AO5" s="1">
        <f>AM5*P5</f>
        <v/>
      </c>
      <c r="AQ5" s="9">
        <f>$BG$3</f>
        <v/>
      </c>
      <c r="AR5" s="10">
        <f>$BG$4</f>
        <v/>
      </c>
      <c r="AS5" s="10" t="n">
        <v>3.1429329</v>
      </c>
      <c r="AT5" s="9">
        <f>$BG$5</f>
        <v/>
      </c>
      <c r="AV5" s="10">
        <f>1/G5</f>
        <v/>
      </c>
      <c r="AX5" s="10">
        <f>AQ5</f>
        <v/>
      </c>
      <c r="AY5" s="10">
        <f>AT5*H5/G5</f>
        <v/>
      </c>
      <c r="AZ5" s="10">
        <f>J5/G5</f>
        <v/>
      </c>
      <c r="BA5" s="10">
        <f>AS5*N5</f>
        <v/>
      </c>
      <c r="BB5" s="10">
        <f>AR5*I5/G5</f>
        <v/>
      </c>
      <c r="BD5" s="10">
        <f>AV5-SUM(AX5:BB5)</f>
        <v/>
      </c>
      <c r="BF5" s="19" t="inlineStr">
        <is>
          <t>Natural Gas Carbon Content</t>
        </is>
      </c>
      <c r="BG5" s="18" t="n">
        <v>0.182890835326593</v>
      </c>
      <c r="BH5" s="18" t="inlineStr">
        <is>
          <t>t-CO2/MWh-natgas</t>
        </is>
      </c>
    </row>
    <row r="6">
      <c r="B6" s="13" t="inlineStr">
        <is>
          <t>SW_S-H2in</t>
        </is>
      </c>
      <c r="C6" s="12" t="inlineStr">
        <is>
          <t>CO2Captured</t>
        </is>
      </c>
      <c r="D6" s="12" t="n">
        <v>0</v>
      </c>
      <c r="E6" s="12" t="n">
        <v>5.5446013778157</v>
      </c>
      <c r="F6" s="12" t="n">
        <v>0.1763</v>
      </c>
      <c r="G6" s="12" t="n">
        <v>0.1137656427758816</v>
      </c>
      <c r="H6" s="12" t="n">
        <v>0.1570262415358362</v>
      </c>
      <c r="I6" s="12" t="n">
        <v>0.7770682541979523</v>
      </c>
      <c r="J6" s="12" t="n">
        <v>0.06301888662522059</v>
      </c>
      <c r="K6" s="12" t="n">
        <v>174237.66</v>
      </c>
      <c r="L6" s="12" t="n">
        <v>95841.64999999999</v>
      </c>
      <c r="M6" s="12" t="n">
        <v>-43.02</v>
      </c>
      <c r="N6" s="24" t="n">
        <v>1.01</v>
      </c>
      <c r="P6" s="15" t="n">
        <v>73.71884</v>
      </c>
      <c r="Q6" s="15" t="n">
        <v>-16.179128</v>
      </c>
      <c r="R6" s="15" t="n">
        <v>21.500722</v>
      </c>
      <c r="S6" s="15" t="n">
        <v>7.532437</v>
      </c>
      <c r="T6" s="16" t="n">
        <v>-140.741334</v>
      </c>
      <c r="U6" s="15" t="n">
        <v>5.407672</v>
      </c>
      <c r="W6" s="1">
        <f>B6</f>
        <v/>
      </c>
      <c r="X6" s="1">
        <f>C6</f>
        <v/>
      </c>
      <c r="Y6" s="11">
        <f>SUM(AB6:AI6)+AK6+AL6</f>
        <v/>
      </c>
      <c r="Z6" s="11">
        <f>SUM(AB6:AI6)+AN6+AO6</f>
        <v/>
      </c>
      <c r="AA6" s="5">
        <f>Y6-Z6</f>
        <v/>
      </c>
      <c r="AB6" s="5">
        <f>E6/G6*S6</f>
        <v/>
      </c>
      <c r="AC6" s="1">
        <f>F6/G6*R6</f>
        <v/>
      </c>
      <c r="AD6" s="1">
        <f>1/G6*(P6+Q6)</f>
        <v/>
      </c>
      <c r="AE6" s="1">
        <f>H6/G6*U6*-1</f>
        <v/>
      </c>
      <c r="AF6" s="1">
        <f>I6/G6*T6</f>
        <v/>
      </c>
      <c r="AG6" s="1">
        <f>K6/G6/(0.9*8760)</f>
        <v/>
      </c>
      <c r="AH6" s="1">
        <f>L6/G6/(0.9*8760)</f>
        <v/>
      </c>
      <c r="AI6" s="1">
        <f>M6</f>
        <v/>
      </c>
      <c r="AJ6" s="1">
        <f>AY6+AZ6+BB6</f>
        <v/>
      </c>
      <c r="AK6" s="1" t="n">
        <v>0</v>
      </c>
      <c r="AL6" s="1">
        <f>AJ6*P6</f>
        <v/>
      </c>
      <c r="AM6" s="1">
        <f>AY6+AZ6+BB6</f>
        <v/>
      </c>
      <c r="AN6" s="1" t="n">
        <v>0</v>
      </c>
      <c r="AO6" s="1">
        <f>AM6*P6</f>
        <v/>
      </c>
      <c r="AQ6" s="9">
        <f>$BG$3</f>
        <v/>
      </c>
      <c r="AR6" s="10">
        <f>$BG$4</f>
        <v/>
      </c>
      <c r="AS6" s="10" t="n">
        <v>3.1429329</v>
      </c>
      <c r="AT6" s="9">
        <f>$BG$5</f>
        <v/>
      </c>
      <c r="AV6" s="10">
        <f>1/G6</f>
        <v/>
      </c>
      <c r="AX6" s="10">
        <f>AQ6</f>
        <v/>
      </c>
      <c r="AY6" s="10">
        <f>AT6*H6/G6</f>
        <v/>
      </c>
      <c r="AZ6" s="10">
        <f>J6/G6</f>
        <v/>
      </c>
      <c r="BA6" s="10">
        <f>AS6*N6</f>
        <v/>
      </c>
      <c r="BB6" s="10">
        <f>AR6*I6/G6</f>
        <v/>
      </c>
      <c r="BD6" s="10">
        <f>AV6-SUM(AX6:BB6)</f>
        <v/>
      </c>
      <c r="BF6" s="19" t="inlineStr">
        <is>
          <t>LPG Carbon Content</t>
        </is>
      </c>
      <c r="BG6" s="18">
        <f>0.22/14</f>
        <v/>
      </c>
      <c r="BH6" s="18" t="inlineStr">
        <is>
          <t>t-CO2/t-LPG</t>
        </is>
      </c>
    </row>
    <row r="7">
      <c r="B7" s="13" t="inlineStr">
        <is>
          <t>TX_S-H2in</t>
        </is>
      </c>
      <c r="C7" s="12" t="inlineStr">
        <is>
          <t>CO2Captured</t>
        </is>
      </c>
      <c r="D7" s="12" t="n">
        <v>0.9</v>
      </c>
      <c r="E7" s="12" t="n">
        <v>5.5446013778157</v>
      </c>
      <c r="F7" s="12" t="n">
        <v>0.1763</v>
      </c>
      <c r="G7" s="12" t="n">
        <v>0.1137656427758816</v>
      </c>
      <c r="H7" s="12" t="n">
        <v>0.1570262415358362</v>
      </c>
      <c r="I7" s="12" t="n">
        <v>0.7770682541979523</v>
      </c>
      <c r="J7" s="12" t="n">
        <v>0.06301888662522059</v>
      </c>
      <c r="K7" s="12" t="n">
        <v>174237.66</v>
      </c>
      <c r="L7" s="12" t="n">
        <v>95841.64999999999</v>
      </c>
      <c r="M7" s="12" t="n">
        <v>-43.02</v>
      </c>
      <c r="N7" s="24" t="n">
        <v>1.01</v>
      </c>
      <c r="P7" s="15" t="n">
        <v>73.71884</v>
      </c>
      <c r="Q7" s="15" t="n">
        <v>-16.179128</v>
      </c>
      <c r="R7" s="15" t="n">
        <v>21.500722</v>
      </c>
      <c r="S7" s="15" t="n">
        <v>7.532437</v>
      </c>
      <c r="T7" s="16" t="n">
        <v>-140.741334</v>
      </c>
      <c r="U7" s="15" t="n">
        <v>5.407672</v>
      </c>
      <c r="W7" s="1">
        <f>B7</f>
        <v/>
      </c>
      <c r="X7" s="1">
        <f>C7</f>
        <v/>
      </c>
      <c r="Y7" s="11">
        <f>SUM(AB7:AI7)+AK7+AL7</f>
        <v/>
      </c>
      <c r="Z7" s="11">
        <f>SUM(AB7:AI7)+AN7+AO7</f>
        <v/>
      </c>
      <c r="AA7" s="5">
        <f>Y7-Z7</f>
        <v/>
      </c>
      <c r="AB7" s="5">
        <f>E7/G7*S7</f>
        <v/>
      </c>
      <c r="AC7" s="1">
        <f>F7/G7*R7</f>
        <v/>
      </c>
      <c r="AD7" s="1">
        <f>1/G7*(P7+Q7)</f>
        <v/>
      </c>
      <c r="AE7" s="1">
        <f>H7/G7*U7*-1</f>
        <v/>
      </c>
      <c r="AF7" s="1">
        <f>I7/G7*T7</f>
        <v/>
      </c>
      <c r="AG7" s="1">
        <f>K7/G7/(0.9*8760)</f>
        <v/>
      </c>
      <c r="AH7" s="1">
        <f>L7/G7/(0.9*8760)</f>
        <v/>
      </c>
      <c r="AI7" s="1">
        <f>M7</f>
        <v/>
      </c>
      <c r="AJ7" s="1">
        <f>AY7+AZ7+BB7</f>
        <v/>
      </c>
      <c r="AK7" s="1" t="n">
        <v>0</v>
      </c>
      <c r="AL7" s="1">
        <f>AJ7*P7</f>
        <v/>
      </c>
      <c r="AM7" s="1">
        <f>AY7+AZ7+BB7</f>
        <v/>
      </c>
      <c r="AN7" s="1" t="n">
        <v>0</v>
      </c>
      <c r="AO7" s="1">
        <f>AM7*P7</f>
        <v/>
      </c>
      <c r="AQ7" s="9">
        <f>$BG$3</f>
        <v/>
      </c>
      <c r="AR7" s="10">
        <f>$BG$4</f>
        <v/>
      </c>
      <c r="AS7" s="10" t="n">
        <v>3.1429329</v>
      </c>
      <c r="AT7" s="9">
        <f>$BG$5</f>
        <v/>
      </c>
      <c r="AV7" s="10">
        <f>1/G7</f>
        <v/>
      </c>
      <c r="AX7" s="10">
        <f>AQ7</f>
        <v/>
      </c>
      <c r="AY7" s="10">
        <f>AT7*H7/G7</f>
        <v/>
      </c>
      <c r="AZ7" s="10">
        <f>J7/G7</f>
        <v/>
      </c>
      <c r="BA7" s="10">
        <f>AS7*N7</f>
        <v/>
      </c>
      <c r="BB7" s="10">
        <f>AR7*I7/G7</f>
        <v/>
      </c>
      <c r="BD7" s="10">
        <f>AV7-SUM(AX7:BB7)</f>
        <v/>
      </c>
      <c r="BF7" s="19" t="inlineStr">
        <is>
          <t>Capacity Factor</t>
        </is>
      </c>
      <c r="BG7" s="18" t="n">
        <v>0.9</v>
      </c>
      <c r="BH7" s="18" t="inlineStr">
        <is>
          <t>%</t>
        </is>
      </c>
    </row>
    <row r="8">
      <c r="B8" s="13" t="inlineStr">
        <is>
          <t>NCEN_S-H2in</t>
        </is>
      </c>
      <c r="C8" s="12" t="inlineStr">
        <is>
          <t>CO2Captured</t>
        </is>
      </c>
      <c r="D8" s="12" t="n">
        <v>0</v>
      </c>
      <c r="E8" s="12" t="n">
        <v>5.5446013778157</v>
      </c>
      <c r="F8" s="12" t="n">
        <v>0.1763</v>
      </c>
      <c r="G8" s="12" t="n">
        <v>0.1137656427758816</v>
      </c>
      <c r="H8" s="12" t="n">
        <v>0.1570262415358362</v>
      </c>
      <c r="I8" s="12" t="n">
        <v>0.7770682541979523</v>
      </c>
      <c r="J8" s="12" t="n">
        <v>0.06301888662522059</v>
      </c>
      <c r="K8" s="12" t="n">
        <v>174237.66</v>
      </c>
      <c r="L8" s="12" t="n">
        <v>95841.64999999999</v>
      </c>
      <c r="M8" s="12" t="n">
        <v>-43.02</v>
      </c>
      <c r="N8" s="24" t="n">
        <v>1.01</v>
      </c>
      <c r="P8" s="15" t="n">
        <v>73.71884</v>
      </c>
      <c r="Q8" s="15" t="n">
        <v>-23.276809</v>
      </c>
      <c r="R8" s="15" t="n">
        <v>20.789991</v>
      </c>
      <c r="S8" s="15" t="n">
        <v>9.19598</v>
      </c>
      <c r="T8" s="16" t="n">
        <v>-150.755789</v>
      </c>
      <c r="U8" s="15" t="n">
        <v>8.960454</v>
      </c>
      <c r="W8" s="1">
        <f>B8</f>
        <v/>
      </c>
      <c r="X8" s="1">
        <f>C8</f>
        <v/>
      </c>
      <c r="Y8" s="11">
        <f>SUM(AB8:AI8)+AK8+AL8</f>
        <v/>
      </c>
      <c r="Z8" s="11">
        <f>SUM(AB8:AI8)+AN8+AO8</f>
        <v/>
      </c>
      <c r="AA8" s="5">
        <f>Y8-Z8</f>
        <v/>
      </c>
      <c r="AB8" s="5">
        <f>E8/G8*S8</f>
        <v/>
      </c>
      <c r="AC8" s="1">
        <f>F8/G8*R8</f>
        <v/>
      </c>
      <c r="AD8" s="1">
        <f>1/G8*(P8+Q8)</f>
        <v/>
      </c>
      <c r="AE8" s="1">
        <f>H8/G8*U8*-1</f>
        <v/>
      </c>
      <c r="AF8" s="1">
        <f>I8/G8*T8</f>
        <v/>
      </c>
      <c r="AG8" s="1">
        <f>K8/G8/(0.9*8760)</f>
        <v/>
      </c>
      <c r="AH8" s="1">
        <f>L8/G8/(0.9*8760)</f>
        <v/>
      </c>
      <c r="AI8" s="1">
        <f>M8</f>
        <v/>
      </c>
      <c r="AJ8" s="1">
        <f>AY8+AZ8+BB8</f>
        <v/>
      </c>
      <c r="AK8" s="1" t="n">
        <v>0</v>
      </c>
      <c r="AL8" s="1">
        <f>AJ8*P8</f>
        <v/>
      </c>
      <c r="AM8" s="1">
        <f>AY8+AZ8+BB8</f>
        <v/>
      </c>
      <c r="AN8" s="1" t="n">
        <v>0</v>
      </c>
      <c r="AO8" s="1">
        <f>AM8*P8</f>
        <v/>
      </c>
      <c r="AQ8" s="9">
        <f>$BG$3</f>
        <v/>
      </c>
      <c r="AR8" s="10">
        <f>$BG$4</f>
        <v/>
      </c>
      <c r="AS8" s="10" t="n">
        <v>3.1429329</v>
      </c>
      <c r="AT8" s="9">
        <f>$BG$5</f>
        <v/>
      </c>
      <c r="AV8" s="10">
        <f>1/G8</f>
        <v/>
      </c>
      <c r="AX8" s="10">
        <f>AQ8</f>
        <v/>
      </c>
      <c r="AY8" s="10">
        <f>AT8*H8/G8</f>
        <v/>
      </c>
      <c r="AZ8" s="10">
        <f>J8/G8</f>
        <v/>
      </c>
      <c r="BA8" s="10">
        <f>AS8*N8</f>
        <v/>
      </c>
      <c r="BB8" s="10">
        <f>AR8*I8/G8</f>
        <v/>
      </c>
      <c r="BD8" s="10">
        <f>AV8-SUM(AX8:BB8)</f>
        <v/>
      </c>
    </row>
    <row r="9">
      <c r="B9" s="13" t="inlineStr">
        <is>
          <t>CEN_S-H2in</t>
        </is>
      </c>
      <c r="C9" s="12" t="inlineStr">
        <is>
          <t>CO2Captured</t>
        </is>
      </c>
      <c r="D9" s="12" t="n">
        <v>0.9</v>
      </c>
      <c r="E9" s="12" t="n">
        <v>5.5446013778157</v>
      </c>
      <c r="F9" s="12" t="n">
        <v>0.1763</v>
      </c>
      <c r="G9" s="12" t="n">
        <v>0.1137656427758816</v>
      </c>
      <c r="H9" s="12" t="n">
        <v>0.1570262415358362</v>
      </c>
      <c r="I9" s="12" t="n">
        <v>0.7770682541979523</v>
      </c>
      <c r="J9" s="12" t="n">
        <v>0.06301888662522059</v>
      </c>
      <c r="K9" s="12" t="n">
        <v>174237.66</v>
      </c>
      <c r="L9" s="12" t="n">
        <v>95841.64999999999</v>
      </c>
      <c r="M9" s="12" t="n">
        <v>-43.02</v>
      </c>
      <c r="N9" s="24" t="n">
        <v>1.01</v>
      </c>
      <c r="P9" s="15" t="n">
        <v>73.71884</v>
      </c>
      <c r="Q9" s="15" t="n">
        <v>-23.276809</v>
      </c>
      <c r="R9" s="15" t="n">
        <v>20.789991</v>
      </c>
      <c r="S9" s="15" t="n">
        <v>9.19598</v>
      </c>
      <c r="T9" s="16" t="n">
        <v>-150.755789</v>
      </c>
      <c r="U9" s="15" t="n">
        <v>8.960454</v>
      </c>
      <c r="W9" s="1">
        <f>B9</f>
        <v/>
      </c>
      <c r="X9" s="1">
        <f>C9</f>
        <v/>
      </c>
      <c r="Y9" s="11">
        <f>SUM(AB9:AI9)+AK9+AL9</f>
        <v/>
      </c>
      <c r="Z9" s="11">
        <f>SUM(AB9:AI9)+AN9+AO9</f>
        <v/>
      </c>
      <c r="AA9" s="5">
        <f>Y9-Z9</f>
        <v/>
      </c>
      <c r="AB9" s="5">
        <f>E9/G9*S9</f>
        <v/>
      </c>
      <c r="AC9" s="1">
        <f>F9/G9*R9</f>
        <v/>
      </c>
      <c r="AD9" s="1">
        <f>1/G9*(P9+Q9)</f>
        <v/>
      </c>
      <c r="AE9" s="1">
        <f>H9/G9*U9*-1</f>
        <v/>
      </c>
      <c r="AF9" s="1">
        <f>I9/G9*T9</f>
        <v/>
      </c>
      <c r="AG9" s="1">
        <f>K9/G9/(0.9*8760)</f>
        <v/>
      </c>
      <c r="AH9" s="1">
        <f>L9/G9/(0.9*8760)</f>
        <v/>
      </c>
      <c r="AI9" s="1">
        <f>M9</f>
        <v/>
      </c>
      <c r="AJ9" s="1">
        <f>AY9+AZ9+BB9</f>
        <v/>
      </c>
      <c r="AK9" s="1" t="n">
        <v>0</v>
      </c>
      <c r="AL9" s="1">
        <f>AJ9*P9</f>
        <v/>
      </c>
      <c r="AM9" s="1">
        <f>AY9+AZ9+BB9</f>
        <v/>
      </c>
      <c r="AN9" s="1" t="n">
        <v>0</v>
      </c>
      <c r="AO9" s="1">
        <f>AM9*P9</f>
        <v/>
      </c>
      <c r="AQ9" s="9">
        <f>$BG$3</f>
        <v/>
      </c>
      <c r="AR9" s="10">
        <f>$BG$4</f>
        <v/>
      </c>
      <c r="AS9" s="10" t="n">
        <v>3.1429329</v>
      </c>
      <c r="AT9" s="9">
        <f>$BG$5</f>
        <v/>
      </c>
      <c r="AV9" s="10">
        <f>1/G9</f>
        <v/>
      </c>
      <c r="AX9" s="10">
        <f>AQ9</f>
        <v/>
      </c>
      <c r="AY9" s="10">
        <f>AT9*H9/G9</f>
        <v/>
      </c>
      <c r="AZ9" s="10">
        <f>J9/G9</f>
        <v/>
      </c>
      <c r="BA9" s="10">
        <f>AS9*N9</f>
        <v/>
      </c>
      <c r="BB9" s="10">
        <f>AR9*I9/G9</f>
        <v/>
      </c>
      <c r="BD9" s="10">
        <f>AV9-SUM(AX9:BB9)</f>
        <v/>
      </c>
    </row>
    <row r="10">
      <c r="B10" s="13" t="inlineStr">
        <is>
          <t>SE_S-H2in</t>
        </is>
      </c>
      <c r="C10" s="12" t="inlineStr">
        <is>
          <t>CO2Captured</t>
        </is>
      </c>
      <c r="D10" s="12" t="n">
        <v>0</v>
      </c>
      <c r="E10" s="12" t="n">
        <v>5.5446013778157</v>
      </c>
      <c r="F10" s="12" t="n">
        <v>0.1763</v>
      </c>
      <c r="G10" s="12" t="n">
        <v>0.1137656427758816</v>
      </c>
      <c r="H10" s="12" t="n">
        <v>0.1570262415358362</v>
      </c>
      <c r="I10" s="12" t="n">
        <v>0.7770682541979523</v>
      </c>
      <c r="J10" s="12" t="n">
        <v>0.06301888662522059</v>
      </c>
      <c r="K10" s="12" t="n">
        <v>174237.66</v>
      </c>
      <c r="L10" s="12" t="n">
        <v>95841.64999999999</v>
      </c>
      <c r="M10" s="12" t="n">
        <v>-43.02</v>
      </c>
      <c r="N10" s="24" t="n">
        <v>1.01</v>
      </c>
      <c r="P10" s="15" t="n">
        <v>73.71884</v>
      </c>
      <c r="Q10" s="15" t="n">
        <v>3.828238</v>
      </c>
      <c r="R10" s="15" t="n">
        <v>20.274928</v>
      </c>
      <c r="S10" s="15" t="n">
        <v>8.466452</v>
      </c>
      <c r="T10" s="16" t="n">
        <v>-116.150516</v>
      </c>
      <c r="U10" s="15" t="n">
        <v>12.963218</v>
      </c>
      <c r="W10" s="1">
        <f>B10</f>
        <v/>
      </c>
      <c r="X10" s="1">
        <f>C10</f>
        <v/>
      </c>
      <c r="Y10" s="11">
        <f>SUM(AB10:AI10)+AK10+AL10</f>
        <v/>
      </c>
      <c r="Z10" s="11">
        <f>SUM(AB10:AI10)+AN10+AO10</f>
        <v/>
      </c>
      <c r="AA10" s="5">
        <f>Y10-Z10</f>
        <v/>
      </c>
      <c r="AB10" s="5">
        <f>E10/G10*S10</f>
        <v/>
      </c>
      <c r="AC10" s="1">
        <f>F10/G10*R10</f>
        <v/>
      </c>
      <c r="AD10" s="1">
        <f>1/G10*(P10+Q10)</f>
        <v/>
      </c>
      <c r="AE10" s="1">
        <f>H10/G10*U10*-1</f>
        <v/>
      </c>
      <c r="AF10" s="1">
        <f>I10/G10*T10</f>
        <v/>
      </c>
      <c r="AG10" s="1">
        <f>K10/G10/(0.9*8760)</f>
        <v/>
      </c>
      <c r="AH10" s="1">
        <f>L10/G10/(0.9*8760)</f>
        <v/>
      </c>
      <c r="AI10" s="1">
        <f>M10</f>
        <v/>
      </c>
      <c r="AJ10" s="1">
        <f>AY10+AZ10+BB10</f>
        <v/>
      </c>
      <c r="AK10" s="1" t="n">
        <v>0</v>
      </c>
      <c r="AL10" s="1">
        <f>AJ10*P10</f>
        <v/>
      </c>
      <c r="AM10" s="1">
        <f>AY10+AZ10+BB10</f>
        <v/>
      </c>
      <c r="AN10" s="1" t="n">
        <v>0</v>
      </c>
      <c r="AO10" s="1">
        <f>AM10*P10</f>
        <v/>
      </c>
      <c r="AQ10" s="9">
        <f>$BG$3</f>
        <v/>
      </c>
      <c r="AR10" s="10">
        <f>$BG$4</f>
        <v/>
      </c>
      <c r="AS10" s="10" t="n">
        <v>3.1429329</v>
      </c>
      <c r="AT10" s="9">
        <f>$BG$5</f>
        <v/>
      </c>
      <c r="AV10" s="10">
        <f>1/G10</f>
        <v/>
      </c>
      <c r="AX10" s="10">
        <f>AQ10</f>
        <v/>
      </c>
      <c r="AY10" s="10">
        <f>AT10*H10/G10</f>
        <v/>
      </c>
      <c r="AZ10" s="10">
        <f>J10/G10</f>
        <v/>
      </c>
      <c r="BA10" s="10">
        <f>AS10*N10</f>
        <v/>
      </c>
      <c r="BB10" s="10">
        <f>AR10*I10/G10</f>
        <v/>
      </c>
      <c r="BD10" s="10">
        <f>AV10-SUM(AX10:BB10)</f>
        <v/>
      </c>
    </row>
    <row r="11">
      <c r="B11" s="13" t="inlineStr">
        <is>
          <t>MIDAT_S-H2in</t>
        </is>
      </c>
      <c r="C11" s="12" t="inlineStr">
        <is>
          <t>CO2Captured</t>
        </is>
      </c>
      <c r="D11" s="12" t="n">
        <v>0.9</v>
      </c>
      <c r="E11" s="12" t="n">
        <v>5.5446013778157</v>
      </c>
      <c r="F11" s="12" t="n">
        <v>0.1763</v>
      </c>
      <c r="G11" s="12" t="n">
        <v>0.1137656427758816</v>
      </c>
      <c r="H11" s="12" t="n">
        <v>0.1570262415358362</v>
      </c>
      <c r="I11" s="12" t="n">
        <v>0.7770682541979523</v>
      </c>
      <c r="J11" s="12" t="n">
        <v>0.06301888662522059</v>
      </c>
      <c r="K11" s="12" t="n">
        <v>174237.66</v>
      </c>
      <c r="L11" s="12" t="n">
        <v>95841.64999999999</v>
      </c>
      <c r="M11" s="12" t="n">
        <v>-43.02</v>
      </c>
      <c r="N11" s="24" t="n">
        <v>1.01</v>
      </c>
      <c r="P11" s="15" t="n">
        <v>73.71884</v>
      </c>
      <c r="Q11" s="15" t="n">
        <v>3.828238</v>
      </c>
      <c r="R11" s="15" t="n">
        <v>20.274928</v>
      </c>
      <c r="S11" s="15" t="n">
        <v>8.466452</v>
      </c>
      <c r="T11" s="16" t="n">
        <v>-116.150516</v>
      </c>
      <c r="U11" s="15" t="n">
        <v>12.963218</v>
      </c>
      <c r="W11" s="1">
        <f>B11</f>
        <v/>
      </c>
      <c r="X11" s="1">
        <f>C11</f>
        <v/>
      </c>
      <c r="Y11" s="11">
        <f>SUM(AB11:AI11)+AK11+AL11</f>
        <v/>
      </c>
      <c r="Z11" s="11">
        <f>SUM(AB11:AI11)+AN11+AO11</f>
        <v/>
      </c>
      <c r="AA11" s="5">
        <f>Y11-Z11</f>
        <v/>
      </c>
      <c r="AB11" s="5">
        <f>E11/G11*S11</f>
        <v/>
      </c>
      <c r="AC11" s="1">
        <f>F11/G11*R11</f>
        <v/>
      </c>
      <c r="AD11" s="1">
        <f>1/G11*(P11+Q11)</f>
        <v/>
      </c>
      <c r="AE11" s="1">
        <f>H11/G11*U11*-1</f>
        <v/>
      </c>
      <c r="AF11" s="1">
        <f>I11/G11*T11</f>
        <v/>
      </c>
      <c r="AG11" s="1">
        <f>K11/G11/(0.9*8760)</f>
        <v/>
      </c>
      <c r="AH11" s="1">
        <f>L11/G11/(0.9*8760)</f>
        <v/>
      </c>
      <c r="AI11" s="1">
        <f>M11</f>
        <v/>
      </c>
      <c r="AJ11" s="1">
        <f>AY11+AZ11+BB11</f>
        <v/>
      </c>
      <c r="AK11" s="1" t="n">
        <v>0</v>
      </c>
      <c r="AL11" s="1">
        <f>AJ11*P11</f>
        <v/>
      </c>
      <c r="AM11" s="1">
        <f>AY11+AZ11+BB11</f>
        <v/>
      </c>
      <c r="AN11" s="1" t="n">
        <v>0</v>
      </c>
      <c r="AO11" s="1">
        <f>AM11*P11</f>
        <v/>
      </c>
      <c r="AQ11" s="9">
        <f>$BG$3</f>
        <v/>
      </c>
      <c r="AR11" s="10">
        <f>$BG$4</f>
        <v/>
      </c>
      <c r="AS11" s="10" t="n">
        <v>3.1429329</v>
      </c>
      <c r="AT11" s="9">
        <f>$BG$5</f>
        <v/>
      </c>
      <c r="AV11" s="10">
        <f>1/G11</f>
        <v/>
      </c>
      <c r="AX11" s="10">
        <f>AQ11</f>
        <v/>
      </c>
      <c r="AY11" s="10">
        <f>AT11*H11/G11</f>
        <v/>
      </c>
      <c r="AZ11" s="10">
        <f>J11/G11</f>
        <v/>
      </c>
      <c r="BA11" s="10">
        <f>AS11*N11</f>
        <v/>
      </c>
      <c r="BB11" s="10">
        <f>AR11*I11/G11</f>
        <v/>
      </c>
      <c r="BD11" s="10">
        <f>AV11-SUM(AX11:BB11)</f>
        <v/>
      </c>
    </row>
    <row r="12">
      <c r="B12" s="13" t="inlineStr">
        <is>
          <t>NE_S-H2in</t>
        </is>
      </c>
      <c r="C12" s="12" t="inlineStr">
        <is>
          <t>CO2Captured</t>
        </is>
      </c>
      <c r="D12" s="12" t="n">
        <v>0</v>
      </c>
      <c r="E12" s="12" t="n">
        <v>5.5446013778157</v>
      </c>
      <c r="F12" s="12" t="n">
        <v>0.1763</v>
      </c>
      <c r="G12" s="12" t="n">
        <v>0.1137656427758816</v>
      </c>
      <c r="H12" s="12" t="n">
        <v>0.1570262415358362</v>
      </c>
      <c r="I12" s="12" t="n">
        <v>0.7770682541979523</v>
      </c>
      <c r="J12" s="12" t="n">
        <v>0.06301888662522059</v>
      </c>
      <c r="K12" s="12" t="n">
        <v>174237.66</v>
      </c>
      <c r="L12" s="12" t="n">
        <v>95841.64999999999</v>
      </c>
      <c r="M12" s="12" t="n">
        <v>-43.02</v>
      </c>
      <c r="N12" s="24" t="n">
        <v>1.01</v>
      </c>
      <c r="P12" s="15" t="n">
        <v>73.71884</v>
      </c>
      <c r="Q12" s="15" t="n">
        <v>-6.097314</v>
      </c>
      <c r="R12" s="15" t="n">
        <v>22.90669</v>
      </c>
      <c r="S12" s="15" t="n">
        <v>13.197062</v>
      </c>
      <c r="T12" s="16" t="n">
        <v>-129.528977</v>
      </c>
      <c r="U12" s="15" t="n">
        <v>14.953878</v>
      </c>
      <c r="W12" s="1">
        <f>B12</f>
        <v/>
      </c>
      <c r="X12" s="1">
        <f>C12</f>
        <v/>
      </c>
      <c r="Y12" s="11">
        <f>SUM(AB12:AI12)+AK12+AL12</f>
        <v/>
      </c>
      <c r="Z12" s="11">
        <f>SUM(AB12:AI12)+AN12+AO12</f>
        <v/>
      </c>
      <c r="AA12" s="5">
        <f>Y12-Z12</f>
        <v/>
      </c>
      <c r="AB12" s="5">
        <f>E12/G12*S12</f>
        <v/>
      </c>
      <c r="AC12" s="1">
        <f>F12/G12*R12</f>
        <v/>
      </c>
      <c r="AD12" s="1">
        <f>1/G12*(P12+Q12)</f>
        <v/>
      </c>
      <c r="AE12" s="1">
        <f>H12/G12*U12*-1</f>
        <v/>
      </c>
      <c r="AF12" s="1">
        <f>I12/G12*T12</f>
        <v/>
      </c>
      <c r="AG12" s="1">
        <f>K12/G12/(0.9*8760)</f>
        <v/>
      </c>
      <c r="AH12" s="1">
        <f>L12/G12/(0.9*8760)</f>
        <v/>
      </c>
      <c r="AI12" s="1">
        <f>M12</f>
        <v/>
      </c>
      <c r="AJ12" s="1">
        <f>AY12+AZ12+BB12</f>
        <v/>
      </c>
      <c r="AK12" s="1" t="n">
        <v>0</v>
      </c>
      <c r="AL12" s="1">
        <f>AJ12*P12</f>
        <v/>
      </c>
      <c r="AM12" s="1">
        <f>AY12+AZ12+BB12</f>
        <v/>
      </c>
      <c r="AN12" s="1" t="n">
        <v>0</v>
      </c>
      <c r="AO12" s="1">
        <f>AM12*P12</f>
        <v/>
      </c>
      <c r="AQ12" s="9">
        <f>$BG$3</f>
        <v/>
      </c>
      <c r="AR12" s="10">
        <f>$BG$4</f>
        <v/>
      </c>
      <c r="AS12" s="10" t="n">
        <v>3.1429329</v>
      </c>
      <c r="AT12" s="9">
        <f>$BG$5</f>
        <v/>
      </c>
      <c r="AV12" s="10">
        <f>1/G12</f>
        <v/>
      </c>
      <c r="AX12" s="10">
        <f>AQ12</f>
        <v/>
      </c>
      <c r="AY12" s="10">
        <f>AT12*H12/G12</f>
        <v/>
      </c>
      <c r="AZ12" s="10">
        <f>J12/G12</f>
        <v/>
      </c>
      <c r="BA12" s="10">
        <f>AS12*N12</f>
        <v/>
      </c>
      <c r="BB12" s="10">
        <f>AR12*I12/G12</f>
        <v/>
      </c>
      <c r="BD12" s="10">
        <f>AV12-SUM(AX12:BB12)</f>
        <v/>
      </c>
    </row>
    <row r="13">
      <c r="B13" s="13" t="inlineStr">
        <is>
          <t>CA_S-CC90-H2in</t>
        </is>
      </c>
      <c r="C13" s="12" t="inlineStr">
        <is>
          <t>CO2Captured</t>
        </is>
      </c>
      <c r="D13" s="12" t="n">
        <v>0.9</v>
      </c>
      <c r="E13" s="12" t="n">
        <v>5.875472707775769</v>
      </c>
      <c r="F13" s="12" t="n">
        <v>0.2382</v>
      </c>
      <c r="G13" s="12" t="n">
        <v>0.1205545509342977</v>
      </c>
      <c r="H13" s="12" t="n">
        <v>0.1663967044122965</v>
      </c>
      <c r="I13" s="12" t="n">
        <v>0.8234394158408681</v>
      </c>
      <c r="J13" s="12" t="n">
        <v>0.0071050046335975</v>
      </c>
      <c r="K13" s="12" t="n">
        <v>203942.22</v>
      </c>
      <c r="L13" s="12" t="n">
        <v>112111.54</v>
      </c>
      <c r="M13" s="12" t="n">
        <v>-45.26</v>
      </c>
      <c r="N13" s="24" t="n">
        <v>1.01</v>
      </c>
      <c r="P13" s="15" t="n">
        <v>73.71884</v>
      </c>
      <c r="Q13" s="15" t="n">
        <v>-6.097314</v>
      </c>
      <c r="R13" s="15" t="n">
        <v>22.90669</v>
      </c>
      <c r="S13" s="15" t="n">
        <v>13.197062</v>
      </c>
      <c r="T13" s="16" t="n">
        <v>-129.528977</v>
      </c>
      <c r="U13" s="15" t="n">
        <v>14.953878</v>
      </c>
      <c r="W13" s="1">
        <f>B13</f>
        <v/>
      </c>
      <c r="X13" s="1">
        <f>C13</f>
        <v/>
      </c>
      <c r="Y13" s="11">
        <f>SUM(AB13:AI13)+AK13+AL13</f>
        <v/>
      </c>
      <c r="Z13" s="11">
        <f>SUM(AB13:AI13)+AN13+AO13</f>
        <v/>
      </c>
      <c r="AA13" s="5">
        <f>Y13-Z13</f>
        <v/>
      </c>
      <c r="AB13" s="5">
        <f>E13/G13*S13</f>
        <v/>
      </c>
      <c r="AC13" s="1">
        <f>F13/G13*R13</f>
        <v/>
      </c>
      <c r="AD13" s="1">
        <f>1/G13*(P13+Q13)</f>
        <v/>
      </c>
      <c r="AE13" s="1">
        <f>H13/G13*U13*-1</f>
        <v/>
      </c>
      <c r="AF13" s="1">
        <f>I13/G13*T13</f>
        <v/>
      </c>
      <c r="AG13" s="1">
        <f>K13/G13/(0.9*8760)</f>
        <v/>
      </c>
      <c r="AH13" s="1">
        <f>L13/G13/(0.9*8760)</f>
        <v/>
      </c>
      <c r="AI13" s="1">
        <f>M13</f>
        <v/>
      </c>
      <c r="AJ13" s="1">
        <f>AY13+AZ13+BB13</f>
        <v/>
      </c>
      <c r="AK13" s="1" t="n">
        <v>0</v>
      </c>
      <c r="AL13" s="1">
        <f>AJ13*P13</f>
        <v/>
      </c>
      <c r="AM13" s="1">
        <f>AY13+AZ13+BB13</f>
        <v/>
      </c>
      <c r="AN13" s="1" t="n">
        <v>0</v>
      </c>
      <c r="AO13" s="1">
        <f>AM13*P13</f>
        <v/>
      </c>
      <c r="AQ13" s="9">
        <f>$BG$3</f>
        <v/>
      </c>
      <c r="AR13" s="10">
        <f>$BG$4</f>
        <v/>
      </c>
      <c r="AS13" s="10" t="n">
        <v>3.1429329</v>
      </c>
      <c r="AT13" s="9">
        <f>$BG$5</f>
        <v/>
      </c>
      <c r="AV13" s="10">
        <f>1/G13</f>
        <v/>
      </c>
      <c r="AX13" s="10">
        <f>AQ13</f>
        <v/>
      </c>
      <c r="AY13" s="10">
        <f>AT13*H13/G13</f>
        <v/>
      </c>
      <c r="AZ13" s="10">
        <f>J13/G13</f>
        <v/>
      </c>
      <c r="BA13" s="10">
        <f>AS13*N13</f>
        <v/>
      </c>
      <c r="BB13" s="10">
        <f>AR13*I13/G13</f>
        <v/>
      </c>
      <c r="BD13" s="10">
        <f>AV13-SUM(AX13:BB13)</f>
        <v/>
      </c>
    </row>
    <row r="14">
      <c r="B14" s="13" t="inlineStr">
        <is>
          <t>NW_S-CC90-H2in</t>
        </is>
      </c>
      <c r="C14" s="12" t="inlineStr">
        <is>
          <t>CO2Captured</t>
        </is>
      </c>
      <c r="D14" s="12" t="n">
        <v>0</v>
      </c>
      <c r="E14" s="12" t="n">
        <v>5.875472707775769</v>
      </c>
      <c r="F14" s="12" t="n">
        <v>0.2382</v>
      </c>
      <c r="G14" s="12" t="n">
        <v>0.1205545509342977</v>
      </c>
      <c r="H14" s="12" t="n">
        <v>0.1663967044122965</v>
      </c>
      <c r="I14" s="12" t="n">
        <v>0.8234394158408681</v>
      </c>
      <c r="J14" s="12" t="n">
        <v>0.0071050046335975</v>
      </c>
      <c r="K14" s="12" t="n">
        <v>203942.22</v>
      </c>
      <c r="L14" s="12" t="n">
        <v>112111.54</v>
      </c>
      <c r="M14" s="12" t="n">
        <v>-45.26</v>
      </c>
      <c r="N14" s="24" t="n">
        <v>1.01</v>
      </c>
      <c r="P14" s="15" t="n">
        <v>73.71884</v>
      </c>
      <c r="Q14" s="15" t="n">
        <v>-6.199254</v>
      </c>
      <c r="R14" s="15" t="n">
        <v>22.465142</v>
      </c>
      <c r="S14" s="15" t="n">
        <v>13.285634</v>
      </c>
      <c r="T14" s="16" t="n">
        <v>-129.681448</v>
      </c>
      <c r="U14" s="15" t="n">
        <v>15.046749</v>
      </c>
      <c r="W14" s="1">
        <f>B14</f>
        <v/>
      </c>
      <c r="X14" s="1">
        <f>C14</f>
        <v/>
      </c>
      <c r="Y14" s="11">
        <f>SUM(AB14:AI14)+AK14+AL14</f>
        <v/>
      </c>
      <c r="Z14" s="11">
        <f>SUM(AB14:AI14)+AN14+AO14</f>
        <v/>
      </c>
      <c r="AA14" s="5">
        <f>Y14-Z14</f>
        <v/>
      </c>
      <c r="AB14" s="5">
        <f>E14/G14*S14</f>
        <v/>
      </c>
      <c r="AC14" s="1">
        <f>F14/G14*R14</f>
        <v/>
      </c>
      <c r="AD14" s="1">
        <f>1/G14*(P14+Q14)</f>
        <v/>
      </c>
      <c r="AE14" s="1">
        <f>H14/G14*U14*-1</f>
        <v/>
      </c>
      <c r="AF14" s="1">
        <f>I14/G14*T14</f>
        <v/>
      </c>
      <c r="AG14" s="1">
        <f>K14/G14/(0.9*8760)</f>
        <v/>
      </c>
      <c r="AH14" s="1">
        <f>L14/G14/(0.9*8760)</f>
        <v/>
      </c>
      <c r="AI14" s="1">
        <f>M14</f>
        <v/>
      </c>
      <c r="AJ14" s="1">
        <f>AY14+AZ14+BB14</f>
        <v/>
      </c>
      <c r="AK14" s="1" t="n">
        <v>0</v>
      </c>
      <c r="AL14" s="1">
        <f>AJ14*P14</f>
        <v/>
      </c>
      <c r="AM14" s="1">
        <f>AY14+AZ14+BB14</f>
        <v/>
      </c>
      <c r="AN14" s="1" t="n">
        <v>0</v>
      </c>
      <c r="AO14" s="1">
        <f>AM14*P14</f>
        <v/>
      </c>
      <c r="AQ14" s="9">
        <f>$BG$3</f>
        <v/>
      </c>
      <c r="AR14" s="10">
        <f>$BG$4</f>
        <v/>
      </c>
      <c r="AS14" s="10" t="n">
        <v>3.1429329</v>
      </c>
      <c r="AT14" s="9">
        <f>$BG$5</f>
        <v/>
      </c>
      <c r="AV14" s="10">
        <f>1/G14</f>
        <v/>
      </c>
      <c r="AX14" s="10">
        <f>AQ14</f>
        <v/>
      </c>
      <c r="AY14" s="10">
        <f>AT14*H14/G14</f>
        <v/>
      </c>
      <c r="AZ14" s="10">
        <f>J14/G14</f>
        <v/>
      </c>
      <c r="BA14" s="10">
        <f>AS14*N14</f>
        <v/>
      </c>
      <c r="BB14" s="10">
        <f>AR14*I14/G14</f>
        <v/>
      </c>
      <c r="BD14" s="10">
        <f>AV14-SUM(AX14:BB14)</f>
        <v/>
      </c>
    </row>
    <row r="15">
      <c r="B15" s="13" t="inlineStr">
        <is>
          <t>SW_S-CC90-H2in</t>
        </is>
      </c>
      <c r="C15" s="12" t="inlineStr">
        <is>
          <t>CO2Captured</t>
        </is>
      </c>
      <c r="D15" s="12" t="n">
        <v>0.9</v>
      </c>
      <c r="E15" s="12" t="n">
        <v>5.875472707775769</v>
      </c>
      <c r="F15" s="12" t="n">
        <v>0.2382</v>
      </c>
      <c r="G15" s="12" t="n">
        <v>0.1205545509342977</v>
      </c>
      <c r="H15" s="12" t="n">
        <v>0.1663967044122965</v>
      </c>
      <c r="I15" s="12" t="n">
        <v>0.8234394158408681</v>
      </c>
      <c r="J15" s="12" t="n">
        <v>0.0071050046335975</v>
      </c>
      <c r="K15" s="12" t="n">
        <v>203942.22</v>
      </c>
      <c r="L15" s="12" t="n">
        <v>112111.54</v>
      </c>
      <c r="M15" s="12" t="n">
        <v>-45.26</v>
      </c>
      <c r="N15" s="24" t="n">
        <v>1.01</v>
      </c>
      <c r="P15" s="15" t="n">
        <v>73.71884</v>
      </c>
      <c r="Q15" s="15" t="n">
        <v>-6.199254</v>
      </c>
      <c r="R15" s="15" t="n">
        <v>22.465142</v>
      </c>
      <c r="S15" s="15" t="n">
        <v>13.285634</v>
      </c>
      <c r="T15" s="16" t="n">
        <v>-129.681448</v>
      </c>
      <c r="U15" s="15" t="n">
        <v>15.046749</v>
      </c>
      <c r="W15" s="1">
        <f>B15</f>
        <v/>
      </c>
      <c r="X15" s="1">
        <f>C15</f>
        <v/>
      </c>
      <c r="Y15" s="11">
        <f>SUM(AB15:AI15)+AK15+AL15</f>
        <v/>
      </c>
      <c r="Z15" s="11">
        <f>SUM(AB15:AI15)+AN15+AO15</f>
        <v/>
      </c>
      <c r="AA15" s="5">
        <f>Y15-Z15</f>
        <v/>
      </c>
      <c r="AB15" s="5">
        <f>E15/G15*S15</f>
        <v/>
      </c>
      <c r="AC15" s="1">
        <f>F15/G15*R15</f>
        <v/>
      </c>
      <c r="AD15" s="1">
        <f>1/G15*(P15+Q15)</f>
        <v/>
      </c>
      <c r="AE15" s="1">
        <f>H15/G15*U15*-1</f>
        <v/>
      </c>
      <c r="AF15" s="1">
        <f>I15/G15*T15</f>
        <v/>
      </c>
      <c r="AG15" s="1">
        <f>K15/G15/(0.9*8760)</f>
        <v/>
      </c>
      <c r="AH15" s="1">
        <f>L15/G15/(0.9*8760)</f>
        <v/>
      </c>
      <c r="AI15" s="1">
        <f>M15</f>
        <v/>
      </c>
      <c r="AJ15" s="1">
        <f>AY15+AZ15+BB15</f>
        <v/>
      </c>
      <c r="AK15" s="1" t="n">
        <v>0</v>
      </c>
      <c r="AL15" s="1">
        <f>AJ15*P15</f>
        <v/>
      </c>
      <c r="AM15" s="1">
        <f>AY15+AZ15+BB15</f>
        <v/>
      </c>
      <c r="AN15" s="1" t="n">
        <v>0</v>
      </c>
      <c r="AO15" s="1">
        <f>AM15*P15</f>
        <v/>
      </c>
      <c r="AQ15" s="9">
        <f>$BG$3</f>
        <v/>
      </c>
      <c r="AR15" s="10">
        <f>$BG$4</f>
        <v/>
      </c>
      <c r="AS15" s="10" t="n">
        <v>3.1429329</v>
      </c>
      <c r="AT15" s="9">
        <f>$BG$5</f>
        <v/>
      </c>
      <c r="AV15" s="10">
        <f>1/G15</f>
        <v/>
      </c>
      <c r="AX15" s="10">
        <f>AQ15</f>
        <v/>
      </c>
      <c r="AY15" s="10">
        <f>AT15*H15/G15</f>
        <v/>
      </c>
      <c r="AZ15" s="10">
        <f>J15/G15</f>
        <v/>
      </c>
      <c r="BA15" s="10">
        <f>AS15*N15</f>
        <v/>
      </c>
      <c r="BB15" s="10">
        <f>AR15*I15/G15</f>
        <v/>
      </c>
      <c r="BD15" s="10">
        <f>AV15-SUM(AX15:BB15)</f>
        <v/>
      </c>
    </row>
    <row r="16">
      <c r="B16" s="13" t="inlineStr">
        <is>
          <t>TX_S-CC90-H2in</t>
        </is>
      </c>
      <c r="C16" s="12" t="inlineStr">
        <is>
          <t>CO2Captured</t>
        </is>
      </c>
      <c r="D16" s="12" t="n">
        <v>0</v>
      </c>
      <c r="E16" s="12" t="n">
        <v>5.875472707775769</v>
      </c>
      <c r="F16" s="12" t="n">
        <v>0.2382</v>
      </c>
      <c r="G16" s="12" t="n">
        <v>0.1205545509342977</v>
      </c>
      <c r="H16" s="12" t="n">
        <v>0.1663967044122965</v>
      </c>
      <c r="I16" s="12" t="n">
        <v>0.8234394158408681</v>
      </c>
      <c r="J16" s="12" t="n">
        <v>0.0071050046335975</v>
      </c>
      <c r="K16" s="12" t="n">
        <v>203942.22</v>
      </c>
      <c r="L16" s="12" t="n">
        <v>112111.54</v>
      </c>
      <c r="M16" s="12" t="n">
        <v>-45.26</v>
      </c>
      <c r="N16" s="24" t="n">
        <v>1.01</v>
      </c>
      <c r="P16" s="15" t="n">
        <v>73.71884</v>
      </c>
      <c r="Q16" s="15" t="n">
        <v>-5.000084</v>
      </c>
      <c r="R16" s="15" t="n">
        <v>21.357777</v>
      </c>
      <c r="S16" s="15" t="n">
        <v>7.54831</v>
      </c>
      <c r="T16" s="16" t="n">
        <v>-126.782873</v>
      </c>
      <c r="U16" s="15" t="n">
        <v>8.60172</v>
      </c>
      <c r="W16" s="1">
        <f>B16</f>
        <v/>
      </c>
      <c r="X16" s="1">
        <f>C16</f>
        <v/>
      </c>
      <c r="Y16" s="11">
        <f>SUM(AB16:AI16)+AK16+AL16</f>
        <v/>
      </c>
      <c r="Z16" s="11">
        <f>SUM(AB16:AI16)+AN16+AO16</f>
        <v/>
      </c>
      <c r="AA16" s="5">
        <f>Y16-Z16</f>
        <v/>
      </c>
      <c r="AB16" s="5">
        <f>E16/G16*S16</f>
        <v/>
      </c>
      <c r="AC16" s="1">
        <f>F16/G16*R16</f>
        <v/>
      </c>
      <c r="AD16" s="1">
        <f>1/G16*(P16+Q16)</f>
        <v/>
      </c>
      <c r="AE16" s="1">
        <f>H16/G16*U16*-1</f>
        <v/>
      </c>
      <c r="AF16" s="1">
        <f>I16/G16*T16</f>
        <v/>
      </c>
      <c r="AG16" s="1">
        <f>K16/G16/(0.9*8760)</f>
        <v/>
      </c>
      <c r="AH16" s="1">
        <f>L16/G16/(0.9*8760)</f>
        <v/>
      </c>
      <c r="AI16" s="1">
        <f>M16</f>
        <v/>
      </c>
      <c r="AJ16" s="1">
        <f>AY16+AZ16+BB16</f>
        <v/>
      </c>
      <c r="AK16" s="1" t="n">
        <v>0</v>
      </c>
      <c r="AL16" s="1">
        <f>AJ16*P16</f>
        <v/>
      </c>
      <c r="AM16" s="1">
        <f>AY16+AZ16+BB16</f>
        <v/>
      </c>
      <c r="AN16" s="1" t="n">
        <v>0</v>
      </c>
      <c r="AO16" s="1">
        <f>AM16*P16</f>
        <v/>
      </c>
      <c r="AQ16" s="9">
        <f>$BG$3</f>
        <v/>
      </c>
      <c r="AR16" s="10">
        <f>$BG$4</f>
        <v/>
      </c>
      <c r="AS16" s="10" t="n">
        <v>3.1429329</v>
      </c>
      <c r="AT16" s="9">
        <f>$BG$5</f>
        <v/>
      </c>
      <c r="AV16" s="10">
        <f>1/G16</f>
        <v/>
      </c>
      <c r="AX16" s="10">
        <f>AQ16</f>
        <v/>
      </c>
      <c r="AY16" s="10">
        <f>AT16*H16/G16</f>
        <v/>
      </c>
      <c r="AZ16" s="10">
        <f>J16/G16</f>
        <v/>
      </c>
      <c r="BA16" s="10">
        <f>AS16*N16</f>
        <v/>
      </c>
      <c r="BB16" s="10">
        <f>AR16*I16/G16</f>
        <v/>
      </c>
      <c r="BD16" s="10">
        <f>AV16-SUM(AX16:BB16)</f>
        <v/>
      </c>
    </row>
    <row r="17">
      <c r="B17" s="13" t="inlineStr">
        <is>
          <t>NCEN_S-CC90-H2in</t>
        </is>
      </c>
      <c r="C17" s="12" t="inlineStr">
        <is>
          <t>CO2Captured</t>
        </is>
      </c>
      <c r="D17" s="12" t="n">
        <v>0.9</v>
      </c>
      <c r="E17" s="12" t="n">
        <v>5.875472707775769</v>
      </c>
      <c r="F17" s="12" t="n">
        <v>0.2382</v>
      </c>
      <c r="G17" s="12" t="n">
        <v>0.1205545509342977</v>
      </c>
      <c r="H17" s="12" t="n">
        <v>0.1663967044122965</v>
      </c>
      <c r="I17" s="12" t="n">
        <v>0.8234394158408681</v>
      </c>
      <c r="J17" s="12" t="n">
        <v>0.0071050046335975</v>
      </c>
      <c r="K17" s="12" t="n">
        <v>203942.22</v>
      </c>
      <c r="L17" s="12" t="n">
        <v>112111.54</v>
      </c>
      <c r="M17" s="12" t="n">
        <v>-45.26</v>
      </c>
      <c r="N17" s="24" t="n">
        <v>1.01</v>
      </c>
      <c r="P17" s="15" t="n">
        <v>73.71884</v>
      </c>
      <c r="Q17" s="15" t="n">
        <v>-5.000084</v>
      </c>
      <c r="R17" s="15" t="n">
        <v>21.357777</v>
      </c>
      <c r="S17" s="15" t="n">
        <v>7.54831</v>
      </c>
      <c r="T17" s="16" t="n">
        <v>-126.782873</v>
      </c>
      <c r="U17" s="15" t="n">
        <v>8.60172</v>
      </c>
      <c r="W17" s="1">
        <f>B17</f>
        <v/>
      </c>
      <c r="X17" s="1">
        <f>C17</f>
        <v/>
      </c>
      <c r="Y17" s="11">
        <f>SUM(AB17:AI17)+AK17+AL17</f>
        <v/>
      </c>
      <c r="Z17" s="11">
        <f>SUM(AB17:AI17)+AN17+AO17</f>
        <v/>
      </c>
      <c r="AA17" s="5">
        <f>Y17-Z17</f>
        <v/>
      </c>
      <c r="AB17" s="5">
        <f>E17/G17*S17</f>
        <v/>
      </c>
      <c r="AC17" s="1">
        <f>F17/G17*R17</f>
        <v/>
      </c>
      <c r="AD17" s="1">
        <f>1/G17*(P17+Q17)</f>
        <v/>
      </c>
      <c r="AE17" s="1">
        <f>H17/G17*U17*-1</f>
        <v/>
      </c>
      <c r="AF17" s="1">
        <f>I17/G17*T17</f>
        <v/>
      </c>
      <c r="AG17" s="1">
        <f>K17/G17/(0.9*8760)</f>
        <v/>
      </c>
      <c r="AH17" s="1">
        <f>L17/G17/(0.9*8760)</f>
        <v/>
      </c>
      <c r="AI17" s="1">
        <f>M17</f>
        <v/>
      </c>
      <c r="AJ17" s="1">
        <f>AY17+AZ17+BB17</f>
        <v/>
      </c>
      <c r="AK17" s="1" t="n">
        <v>0</v>
      </c>
      <c r="AL17" s="1">
        <f>AJ17*P17</f>
        <v/>
      </c>
      <c r="AM17" s="1">
        <f>AY17+AZ17+BB17</f>
        <v/>
      </c>
      <c r="AN17" s="1" t="n">
        <v>0</v>
      </c>
      <c r="AO17" s="1">
        <f>AM17*P17</f>
        <v/>
      </c>
      <c r="AQ17" s="9">
        <f>$BG$3</f>
        <v/>
      </c>
      <c r="AR17" s="10">
        <f>$BG$4</f>
        <v/>
      </c>
      <c r="AS17" s="10" t="n">
        <v>3.1429329</v>
      </c>
      <c r="AT17" s="9">
        <f>$BG$5</f>
        <v/>
      </c>
      <c r="AV17" s="10">
        <f>1/G17</f>
        <v/>
      </c>
      <c r="AX17" s="10">
        <f>AQ17</f>
        <v/>
      </c>
      <c r="AY17" s="10">
        <f>AT17*H17/G17</f>
        <v/>
      </c>
      <c r="AZ17" s="10">
        <f>J17/G17</f>
        <v/>
      </c>
      <c r="BA17" s="10">
        <f>AS17*N17</f>
        <v/>
      </c>
      <c r="BB17" s="10">
        <f>AR17*I17/G17</f>
        <v/>
      </c>
      <c r="BD17" s="10">
        <f>AV17-SUM(AX17:BB17)</f>
        <v/>
      </c>
    </row>
    <row r="18">
      <c r="B18" s="13" t="inlineStr">
        <is>
          <t>CEN_S-CC90-H2in</t>
        </is>
      </c>
      <c r="C18" s="12" t="inlineStr">
        <is>
          <t>CO2Captured</t>
        </is>
      </c>
      <c r="D18" s="12" t="n">
        <v>0</v>
      </c>
      <c r="E18" s="12" t="n">
        <v>5.875472707775769</v>
      </c>
      <c r="F18" s="12" t="n">
        <v>0.2382</v>
      </c>
      <c r="G18" s="12" t="n">
        <v>0.1205545509342977</v>
      </c>
      <c r="H18" s="12" t="n">
        <v>0.1663967044122965</v>
      </c>
      <c r="I18" s="12" t="n">
        <v>0.8234394158408681</v>
      </c>
      <c r="J18" s="12" t="n">
        <v>0.0071050046335975</v>
      </c>
      <c r="K18" s="12" t="n">
        <v>203942.22</v>
      </c>
      <c r="L18" s="12" t="n">
        <v>112111.54</v>
      </c>
      <c r="M18" s="12" t="n">
        <v>-45.26</v>
      </c>
      <c r="N18" s="24" t="n">
        <v>1.01</v>
      </c>
      <c r="P18" s="15" t="n">
        <v>73.71884</v>
      </c>
      <c r="Q18" s="15" t="n">
        <v>6.341225</v>
      </c>
      <c r="R18" s="15" t="n">
        <v>20.232007</v>
      </c>
      <c r="S18" s="15" t="n">
        <v>8.132035999999999</v>
      </c>
      <c r="T18" s="16" t="n">
        <v>-112.989964</v>
      </c>
      <c r="U18" s="15" t="n">
        <v>12.309823</v>
      </c>
      <c r="W18" s="1">
        <f>B18</f>
        <v/>
      </c>
      <c r="X18" s="1">
        <f>C18</f>
        <v/>
      </c>
      <c r="Y18" s="11">
        <f>SUM(AB18:AI18)+AK18+AL18</f>
        <v/>
      </c>
      <c r="Z18" s="11">
        <f>SUM(AB18:AI18)+AN18+AO18</f>
        <v/>
      </c>
      <c r="AA18" s="5">
        <f>Y18-Z18</f>
        <v/>
      </c>
      <c r="AB18" s="5">
        <f>E18/G18*S18</f>
        <v/>
      </c>
      <c r="AC18" s="1">
        <f>F18/G18*R18</f>
        <v/>
      </c>
      <c r="AD18" s="1">
        <f>1/G18*(P18+Q18)</f>
        <v/>
      </c>
      <c r="AE18" s="1">
        <f>H18/G18*U18*-1</f>
        <v/>
      </c>
      <c r="AF18" s="1">
        <f>I18/G18*T18</f>
        <v/>
      </c>
      <c r="AG18" s="1">
        <f>K18/G18/(0.9*8760)</f>
        <v/>
      </c>
      <c r="AH18" s="1">
        <f>L18/G18/(0.9*8760)</f>
        <v/>
      </c>
      <c r="AI18" s="1">
        <f>M18</f>
        <v/>
      </c>
      <c r="AJ18" s="1">
        <f>AY18+AZ18+BB18</f>
        <v/>
      </c>
      <c r="AK18" s="1" t="n">
        <v>0</v>
      </c>
      <c r="AL18" s="1">
        <f>AJ18*P18</f>
        <v/>
      </c>
      <c r="AM18" s="1">
        <f>AY18+AZ18+BB18</f>
        <v/>
      </c>
      <c r="AN18" s="1" t="n">
        <v>0</v>
      </c>
      <c r="AO18" s="1">
        <f>AM18*P18</f>
        <v/>
      </c>
      <c r="AQ18" s="9">
        <f>$BG$3</f>
        <v/>
      </c>
      <c r="AR18" s="10">
        <f>$BG$4</f>
        <v/>
      </c>
      <c r="AS18" s="10" t="n">
        <v>3.1429329</v>
      </c>
      <c r="AT18" s="9">
        <f>$BG$5</f>
        <v/>
      </c>
      <c r="AV18" s="10">
        <f>1/G18</f>
        <v/>
      </c>
      <c r="AX18" s="10">
        <f>AQ18</f>
        <v/>
      </c>
      <c r="AY18" s="10">
        <f>AT18*H18/G18</f>
        <v/>
      </c>
      <c r="AZ18" s="10">
        <f>J18/G18</f>
        <v/>
      </c>
      <c r="BA18" s="10">
        <f>AS18*N18</f>
        <v/>
      </c>
      <c r="BB18" s="10">
        <f>AR18*I18/G18</f>
        <v/>
      </c>
      <c r="BD18" s="10">
        <f>AV18-SUM(AX18:BB18)</f>
        <v/>
      </c>
    </row>
    <row r="19">
      <c r="B19" s="13" t="inlineStr">
        <is>
          <t>SE_S-CC90-H2in</t>
        </is>
      </c>
      <c r="C19" s="12" t="inlineStr">
        <is>
          <t>CO2Captured</t>
        </is>
      </c>
      <c r="D19" s="12" t="n">
        <v>0.9</v>
      </c>
      <c r="E19" s="12" t="n">
        <v>5.875472707775769</v>
      </c>
      <c r="F19" s="12" t="n">
        <v>0.2382</v>
      </c>
      <c r="G19" s="12" t="n">
        <v>0.1205545509342977</v>
      </c>
      <c r="H19" s="12" t="n">
        <v>0.1663967044122965</v>
      </c>
      <c r="I19" s="12" t="n">
        <v>0.8234394158408681</v>
      </c>
      <c r="J19" s="12" t="n">
        <v>0.0071050046335975</v>
      </c>
      <c r="K19" s="12" t="n">
        <v>203942.22</v>
      </c>
      <c r="L19" s="12" t="n">
        <v>112111.54</v>
      </c>
      <c r="M19" s="12" t="n">
        <v>-45.26</v>
      </c>
      <c r="N19" s="24" t="n">
        <v>1.01</v>
      </c>
      <c r="P19" s="15" t="n">
        <v>73.71884</v>
      </c>
      <c r="Q19" s="15" t="n">
        <v>6.341225</v>
      </c>
      <c r="R19" s="15" t="n">
        <v>20.232007</v>
      </c>
      <c r="S19" s="15" t="n">
        <v>8.132035999999999</v>
      </c>
      <c r="T19" s="16" t="n">
        <v>-112.989964</v>
      </c>
      <c r="U19" s="15" t="n">
        <v>12.309823</v>
      </c>
      <c r="W19" s="1">
        <f>B19</f>
        <v/>
      </c>
      <c r="X19" s="1">
        <f>C19</f>
        <v/>
      </c>
      <c r="Y19" s="11">
        <f>SUM(AB19:AI19)+AK19+AL19</f>
        <v/>
      </c>
      <c r="Z19" s="11">
        <f>SUM(AB19:AI19)+AN19+AO19</f>
        <v/>
      </c>
      <c r="AA19" s="5">
        <f>Y19-Z19</f>
        <v/>
      </c>
      <c r="AB19" s="5">
        <f>E19/G19*S19</f>
        <v/>
      </c>
      <c r="AC19" s="1">
        <f>F19/G19*R19</f>
        <v/>
      </c>
      <c r="AD19" s="1">
        <f>1/G19*(P19+Q19)</f>
        <v/>
      </c>
      <c r="AE19" s="1">
        <f>H19/G19*U19*-1</f>
        <v/>
      </c>
      <c r="AF19" s="1">
        <f>I19/G19*T19</f>
        <v/>
      </c>
      <c r="AG19" s="1">
        <f>K19/G19/(0.9*8760)</f>
        <v/>
      </c>
      <c r="AH19" s="1">
        <f>L19/G19/(0.9*8760)</f>
        <v/>
      </c>
      <c r="AI19" s="1">
        <f>M19</f>
        <v/>
      </c>
      <c r="AJ19" s="1">
        <f>AY19+AZ19+BB19</f>
        <v/>
      </c>
      <c r="AK19" s="1" t="n">
        <v>0</v>
      </c>
      <c r="AL19" s="1">
        <f>AJ19*P19</f>
        <v/>
      </c>
      <c r="AM19" s="1">
        <f>AY19+AZ19+BB19</f>
        <v/>
      </c>
      <c r="AN19" s="1" t="n">
        <v>0</v>
      </c>
      <c r="AO19" s="1">
        <f>AM19*P19</f>
        <v/>
      </c>
      <c r="AQ19" s="9">
        <f>$BG$3</f>
        <v/>
      </c>
      <c r="AR19" s="10">
        <f>$BG$4</f>
        <v/>
      </c>
      <c r="AS19" s="10" t="n">
        <v>3.1429329</v>
      </c>
      <c r="AT19" s="9">
        <f>$BG$5</f>
        <v/>
      </c>
      <c r="AV19" s="10">
        <f>1/G19</f>
        <v/>
      </c>
      <c r="AX19" s="10">
        <f>AQ19</f>
        <v/>
      </c>
      <c r="AY19" s="10">
        <f>AT19*H19/G19</f>
        <v/>
      </c>
      <c r="AZ19" s="10">
        <f>J19/G19</f>
        <v/>
      </c>
      <c r="BA19" s="10">
        <f>AS19*N19</f>
        <v/>
      </c>
      <c r="BB19" s="10">
        <f>AR19*I19/G19</f>
        <v/>
      </c>
      <c r="BD19" s="10">
        <f>AV19-SUM(AX19:BB19)</f>
        <v/>
      </c>
    </row>
    <row r="20">
      <c r="B20" s="13" t="inlineStr">
        <is>
          <t>MIDAT_S-CC90-H2in</t>
        </is>
      </c>
      <c r="C20" s="12" t="inlineStr">
        <is>
          <t>CO2Captured</t>
        </is>
      </c>
      <c r="D20" s="12" t="n">
        <v>0</v>
      </c>
      <c r="E20" s="12" t="n">
        <v>5.875472707775769</v>
      </c>
      <c r="F20" s="12" t="n">
        <v>0.2382</v>
      </c>
      <c r="G20" s="12" t="n">
        <v>0.1205545509342977</v>
      </c>
      <c r="H20" s="12" t="n">
        <v>0.1663967044122965</v>
      </c>
      <c r="I20" s="12" t="n">
        <v>0.8234394158408681</v>
      </c>
      <c r="J20" s="12" t="n">
        <v>0.0071050046335975</v>
      </c>
      <c r="K20" s="12" t="n">
        <v>203942.22</v>
      </c>
      <c r="L20" s="12" t="n">
        <v>112111.54</v>
      </c>
      <c r="M20" s="12" t="n">
        <v>-45.26</v>
      </c>
      <c r="N20" s="24" t="n">
        <v>1.01</v>
      </c>
      <c r="P20" s="15" t="n">
        <v>73.71884</v>
      </c>
      <c r="Q20" s="15" t="n">
        <v>-4.302149</v>
      </c>
      <c r="R20" s="15" t="n">
        <v>21.021514</v>
      </c>
      <c r="S20" s="15" t="n">
        <v>9.044067999999999</v>
      </c>
      <c r="T20" s="16" t="n">
        <v>-126.225199</v>
      </c>
      <c r="U20" s="15" t="n">
        <v>10.321106</v>
      </c>
      <c r="W20" s="1">
        <f>B20</f>
        <v/>
      </c>
      <c r="X20" s="1">
        <f>C20</f>
        <v/>
      </c>
      <c r="Y20" s="11">
        <f>SUM(AB20:AI20)+AK20+AL20</f>
        <v/>
      </c>
      <c r="Z20" s="11">
        <f>SUM(AB20:AI20)+AN20+AO20</f>
        <v/>
      </c>
      <c r="AA20" s="5">
        <f>Y20-Z20</f>
        <v/>
      </c>
      <c r="AB20" s="5">
        <f>E20/G20*S20</f>
        <v/>
      </c>
      <c r="AC20" s="1">
        <f>F20/G20*R20</f>
        <v/>
      </c>
      <c r="AD20" s="1">
        <f>1/G20*(P20+Q20)</f>
        <v/>
      </c>
      <c r="AE20" s="1">
        <f>H20/G20*U20*-1</f>
        <v/>
      </c>
      <c r="AF20" s="1">
        <f>I20/G20*T20</f>
        <v/>
      </c>
      <c r="AG20" s="1">
        <f>K20/G20/(0.9*8760)</f>
        <v/>
      </c>
      <c r="AH20" s="1">
        <f>L20/G20/(0.9*8760)</f>
        <v/>
      </c>
      <c r="AI20" s="1">
        <f>M20</f>
        <v/>
      </c>
      <c r="AJ20" s="1">
        <f>AY20+AZ20+BB20</f>
        <v/>
      </c>
      <c r="AK20" s="1" t="n">
        <v>0</v>
      </c>
      <c r="AL20" s="1">
        <f>AJ20*P20</f>
        <v/>
      </c>
      <c r="AM20" s="1">
        <f>AY20+AZ20+BB20</f>
        <v/>
      </c>
      <c r="AN20" s="1" t="n">
        <v>0</v>
      </c>
      <c r="AO20" s="1">
        <f>AM20*P20</f>
        <v/>
      </c>
      <c r="AQ20" s="9">
        <f>$BG$3</f>
        <v/>
      </c>
      <c r="AR20" s="10">
        <f>$BG$4</f>
        <v/>
      </c>
      <c r="AS20" s="10" t="n">
        <v>3.1429329</v>
      </c>
      <c r="AT20" s="9">
        <f>$BG$5</f>
        <v/>
      </c>
      <c r="AV20" s="10">
        <f>1/G20</f>
        <v/>
      </c>
      <c r="AX20" s="10">
        <f>AQ20</f>
        <v/>
      </c>
      <c r="AY20" s="10">
        <f>AT20*H20/G20</f>
        <v/>
      </c>
      <c r="AZ20" s="10">
        <f>J20/G20</f>
        <v/>
      </c>
      <c r="BA20" s="10">
        <f>AS20*N20</f>
        <v/>
      </c>
      <c r="BB20" s="10">
        <f>AR20*I20/G20</f>
        <v/>
      </c>
      <c r="BD20" s="10">
        <f>AV20-SUM(AX20:BB20)</f>
        <v/>
      </c>
    </row>
    <row r="21">
      <c r="B21" s="13" t="inlineStr">
        <is>
          <t>NE_S-CC90-H2in</t>
        </is>
      </c>
      <c r="C21" s="12" t="inlineStr">
        <is>
          <t>CO2Captured</t>
        </is>
      </c>
      <c r="D21" s="12" t="n">
        <v>0.9</v>
      </c>
      <c r="E21" s="12" t="n">
        <v>5.875472707775769</v>
      </c>
      <c r="F21" s="12" t="n">
        <v>0.2382</v>
      </c>
      <c r="G21" s="12" t="n">
        <v>0.1205545509342977</v>
      </c>
      <c r="H21" s="12" t="n">
        <v>0.1663967044122965</v>
      </c>
      <c r="I21" s="12" t="n">
        <v>0.8234394158408681</v>
      </c>
      <c r="J21" s="12" t="n">
        <v>0.0071050046335975</v>
      </c>
      <c r="K21" s="12" t="n">
        <v>203942.22</v>
      </c>
      <c r="L21" s="12" t="n">
        <v>112111.54</v>
      </c>
      <c r="M21" s="12" t="n">
        <v>-45.26</v>
      </c>
      <c r="N21" s="24" t="n">
        <v>1.01</v>
      </c>
      <c r="P21" s="15" t="n">
        <v>73.71884</v>
      </c>
      <c r="Q21" s="15" t="n">
        <v>-4.302149</v>
      </c>
      <c r="R21" s="15" t="n">
        <v>21.021514</v>
      </c>
      <c r="S21" s="15" t="n">
        <v>9.044067999999999</v>
      </c>
      <c r="T21" s="16" t="n">
        <v>-126.225199</v>
      </c>
      <c r="U21" s="15" t="n">
        <v>10.321106</v>
      </c>
      <c r="W21" s="1">
        <f>B21</f>
        <v/>
      </c>
      <c r="X21" s="1">
        <f>C21</f>
        <v/>
      </c>
      <c r="Y21" s="11">
        <f>SUM(AB21:AI21)+AK21+AL21</f>
        <v/>
      </c>
      <c r="Z21" s="11">
        <f>SUM(AB21:AI21)+AN21+AO21</f>
        <v/>
      </c>
      <c r="AA21" s="5">
        <f>Y21-Z21</f>
        <v/>
      </c>
      <c r="AB21" s="5">
        <f>E21/G21*S21</f>
        <v/>
      </c>
      <c r="AC21" s="1">
        <f>F21/G21*R21</f>
        <v/>
      </c>
      <c r="AD21" s="1">
        <f>1/G21*(P21+Q21)</f>
        <v/>
      </c>
      <c r="AE21" s="1">
        <f>H21/G21*U21*-1</f>
        <v/>
      </c>
      <c r="AF21" s="1">
        <f>I21/G21*T21</f>
        <v/>
      </c>
      <c r="AG21" s="1">
        <f>K21/G21/(0.9*8760)</f>
        <v/>
      </c>
      <c r="AH21" s="1">
        <f>L21/G21/(0.9*8760)</f>
        <v/>
      </c>
      <c r="AI21" s="1">
        <f>M21</f>
        <v/>
      </c>
      <c r="AJ21" s="1">
        <f>AY21+AZ21+BB21</f>
        <v/>
      </c>
      <c r="AK21" s="1" t="n">
        <v>0</v>
      </c>
      <c r="AL21" s="1">
        <f>AJ21*P21</f>
        <v/>
      </c>
      <c r="AM21" s="1">
        <f>AY21+AZ21+BB21</f>
        <v/>
      </c>
      <c r="AN21" s="1" t="n">
        <v>0</v>
      </c>
      <c r="AO21" s="1">
        <f>AM21*P21</f>
        <v/>
      </c>
      <c r="AQ21" s="9">
        <f>$BG$3</f>
        <v/>
      </c>
      <c r="AR21" s="10">
        <f>$BG$4</f>
        <v/>
      </c>
      <c r="AS21" s="10" t="n">
        <v>3.1429329</v>
      </c>
      <c r="AT21" s="9">
        <f>$BG$5</f>
        <v/>
      </c>
      <c r="AV21" s="10">
        <f>1/G21</f>
        <v/>
      </c>
      <c r="AX21" s="10">
        <f>AQ21</f>
        <v/>
      </c>
      <c r="AY21" s="10">
        <f>AT21*H21/G21</f>
        <v/>
      </c>
      <c r="AZ21" s="10">
        <f>J21/G21</f>
        <v/>
      </c>
      <c r="BA21" s="10">
        <f>AS21*N21</f>
        <v/>
      </c>
      <c r="BB21" s="10">
        <f>AR21*I21/G21</f>
        <v/>
      </c>
      <c r="BD21" s="10">
        <f>AV21-SUM(AX21:BB21)</f>
        <v/>
      </c>
    </row>
    <row r="22">
      <c r="B22" s="13" t="n"/>
      <c r="C22" s="12" t="inlineStr">
        <is>
          <t>CO2Captured</t>
        </is>
      </c>
      <c r="D22" s="12" t="n">
        <v>0.9</v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24" t="n">
        <v>1.01</v>
      </c>
      <c r="P22" s="15" t="n">
        <v>73.71884</v>
      </c>
      <c r="Q22" s="15" t="n">
        <v>-4.302149</v>
      </c>
      <c r="R22" s="15" t="n">
        <v>21.021514</v>
      </c>
      <c r="S22" s="15" t="n">
        <v>9.044067999999999</v>
      </c>
      <c r="T22" s="16" t="n">
        <v>-126.225199</v>
      </c>
      <c r="U22" s="15" t="n">
        <v>10.321106</v>
      </c>
      <c r="W22" s="1">
        <f>B22</f>
        <v/>
      </c>
      <c r="X22" s="1">
        <f>C22</f>
        <v/>
      </c>
      <c r="Y22" s="11">
        <f>SUM(AB22:AI22)+AK22+AL22</f>
        <v/>
      </c>
      <c r="Z22" s="11">
        <f>SUM(AB22:AI22)+AN22+AO22</f>
        <v/>
      </c>
      <c r="AA22" s="5">
        <f>Y22-Z22</f>
        <v/>
      </c>
      <c r="AB22" s="5">
        <f>E22/G22*S22</f>
        <v/>
      </c>
      <c r="AC22" s="1">
        <f>F22/G22*R22</f>
        <v/>
      </c>
      <c r="AD22" s="1">
        <f>1/G22*(P22+Q22)</f>
        <v/>
      </c>
      <c r="AE22" s="1">
        <f>H22/G22*U22*-1</f>
        <v/>
      </c>
      <c r="AF22" s="1">
        <f>I22/G22*T22</f>
        <v/>
      </c>
      <c r="AG22" s="1">
        <f>K22/G22/(0.9*8760)</f>
        <v/>
      </c>
      <c r="AH22" s="1">
        <f>L22/G22/(0.9*8760)</f>
        <v/>
      </c>
      <c r="AI22" s="1">
        <f>M22</f>
        <v/>
      </c>
      <c r="AJ22" s="1">
        <f>AY22+AZ22+BB22</f>
        <v/>
      </c>
      <c r="AK22" s="1" t="n">
        <v>0</v>
      </c>
      <c r="AL22" s="1">
        <f>AJ22*P22</f>
        <v/>
      </c>
      <c r="AM22" s="1">
        <f>AY22+AZ22+BB22</f>
        <v/>
      </c>
      <c r="AN22" s="1" t="n">
        <v>0</v>
      </c>
      <c r="AO22" s="1">
        <f>AM22*P22</f>
        <v/>
      </c>
      <c r="AQ22" s="9">
        <f>$BG$3</f>
        <v/>
      </c>
      <c r="AR22" s="10">
        <f>$BG$4</f>
        <v/>
      </c>
      <c r="AS22" s="10" t="n">
        <v>3.1429329</v>
      </c>
      <c r="AT22" s="9">
        <f>$BG$5</f>
        <v/>
      </c>
      <c r="AV22" s="10">
        <f>1/G22</f>
        <v/>
      </c>
      <c r="AX22" s="10">
        <f>AQ22</f>
        <v/>
      </c>
      <c r="AY22" s="10">
        <f>AT22*H22/G22</f>
        <v/>
      </c>
      <c r="AZ22" s="10">
        <f>J22/G22</f>
        <v/>
      </c>
      <c r="BA22" s="10">
        <f>AS22*N22</f>
        <v/>
      </c>
      <c r="BB22" s="10">
        <f>AR22*I22/G22</f>
        <v/>
      </c>
      <c r="BD22" s="10">
        <f>AV22-SUM(AX22:BB22)</f>
        <v/>
      </c>
    </row>
    <row r="23">
      <c r="B23" s="13" t="n"/>
      <c r="C23" s="12" t="inlineStr">
        <is>
          <t>CO2Captured</t>
        </is>
      </c>
      <c r="D23" s="12" t="n">
        <v>0.9</v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4" t="n">
        <v>1.01</v>
      </c>
      <c r="P23" s="15" t="n">
        <v>73.71884</v>
      </c>
      <c r="Q23" s="15" t="n">
        <v>-4.302149</v>
      </c>
      <c r="R23" s="15" t="n">
        <v>21.021514</v>
      </c>
      <c r="S23" s="15" t="n">
        <v>9.044067999999999</v>
      </c>
      <c r="T23" s="16" t="n">
        <v>-126.225199</v>
      </c>
      <c r="U23" s="15" t="n">
        <v>10.321106</v>
      </c>
      <c r="W23" s="1">
        <f>B23</f>
        <v/>
      </c>
      <c r="X23" s="1">
        <f>C23</f>
        <v/>
      </c>
      <c r="Y23" s="11">
        <f>SUM(AB23:AI23)+AK23+AL23</f>
        <v/>
      </c>
      <c r="Z23" s="11">
        <f>SUM(AB23:AI23)+AN23+AO23</f>
        <v/>
      </c>
      <c r="AA23" s="5">
        <f>Y23-Z23</f>
        <v/>
      </c>
      <c r="AB23" s="5">
        <f>E23/G23*S23</f>
        <v/>
      </c>
      <c r="AC23" s="1">
        <f>F23/G23*R23</f>
        <v/>
      </c>
      <c r="AD23" s="1">
        <f>1/G23*(P23+Q23)</f>
        <v/>
      </c>
      <c r="AE23" s="1">
        <f>H23/G23*U23*-1</f>
        <v/>
      </c>
      <c r="AF23" s="1">
        <f>I23/G23*T23</f>
        <v/>
      </c>
      <c r="AG23" s="1">
        <f>K23/G23/(0.9*8760)</f>
        <v/>
      </c>
      <c r="AH23" s="1">
        <f>L23/G23/(0.9*8760)</f>
        <v/>
      </c>
      <c r="AI23" s="1">
        <f>M23</f>
        <v/>
      </c>
      <c r="AJ23" s="1">
        <f>AY23+AZ23+BB23</f>
        <v/>
      </c>
      <c r="AK23" s="1" t="n">
        <v>0</v>
      </c>
      <c r="AL23" s="1">
        <f>AJ23*P23</f>
        <v/>
      </c>
      <c r="AM23" s="1">
        <f>AY23+AZ23+BB23</f>
        <v/>
      </c>
      <c r="AN23" s="1" t="n">
        <v>0</v>
      </c>
      <c r="AO23" s="1">
        <f>AM23*P23</f>
        <v/>
      </c>
      <c r="AQ23" s="9">
        <f>$BG$3</f>
        <v/>
      </c>
      <c r="AR23" s="10">
        <f>$BG$4</f>
        <v/>
      </c>
      <c r="AS23" s="10" t="n">
        <v>3.1429329</v>
      </c>
      <c r="AT23" s="9">
        <f>$BG$5</f>
        <v/>
      </c>
      <c r="AV23" s="10">
        <f>1/G23</f>
        <v/>
      </c>
      <c r="AX23" s="10">
        <f>AQ23</f>
        <v/>
      </c>
      <c r="AY23" s="10">
        <f>AT23*H23/G23</f>
        <v/>
      </c>
      <c r="AZ23" s="10">
        <f>J23/G23</f>
        <v/>
      </c>
      <c r="BA23" s="10">
        <f>AS23*N23</f>
        <v/>
      </c>
      <c r="BB23" s="10">
        <f>AR23*I23/G23</f>
        <v/>
      </c>
      <c r="BD23" s="10">
        <f>AV23-SUM(AX23:BB23)</f>
        <v/>
      </c>
    </row>
    <row r="24">
      <c r="B24" s="13" t="n"/>
      <c r="C24" s="12" t="inlineStr">
        <is>
          <t>CO2Captured</t>
        </is>
      </c>
      <c r="D24" s="12" t="n">
        <v>0.9</v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4" t="n">
        <v>1.01</v>
      </c>
      <c r="P24" s="15" t="n">
        <v>73.71884</v>
      </c>
      <c r="Q24" s="15" t="n">
        <v>-4.302149</v>
      </c>
      <c r="R24" s="15" t="n">
        <v>21.021514</v>
      </c>
      <c r="S24" s="15" t="n">
        <v>9.044067999999999</v>
      </c>
      <c r="T24" s="16" t="n">
        <v>-126.225199</v>
      </c>
      <c r="U24" s="15" t="n">
        <v>10.321106</v>
      </c>
      <c r="W24" s="1">
        <f>B24</f>
        <v/>
      </c>
      <c r="X24" s="1">
        <f>C24</f>
        <v/>
      </c>
      <c r="Y24" s="11">
        <f>SUM(AB24:AI24)+AK24+AL24</f>
        <v/>
      </c>
      <c r="Z24" s="11">
        <f>SUM(AB24:AI24)+AN24+AO24</f>
        <v/>
      </c>
      <c r="AA24" s="5">
        <f>Y24-Z24</f>
        <v/>
      </c>
      <c r="AB24" s="5">
        <f>E24/G24*S24</f>
        <v/>
      </c>
      <c r="AC24" s="1">
        <f>F24/G24*R24</f>
        <v/>
      </c>
      <c r="AD24" s="1">
        <f>1/G24*(P24+Q24)</f>
        <v/>
      </c>
      <c r="AE24" s="1">
        <f>H24/G24*U24*-1</f>
        <v/>
      </c>
      <c r="AF24" s="1">
        <f>I24/G24*T24</f>
        <v/>
      </c>
      <c r="AG24" s="1">
        <f>K24/G24/(0.9*8760)</f>
        <v/>
      </c>
      <c r="AH24" s="1">
        <f>L24/G24/(0.9*8760)</f>
        <v/>
      </c>
      <c r="AI24" s="1">
        <f>M24</f>
        <v/>
      </c>
      <c r="AJ24" s="1">
        <f>AY24+AZ24+BB24</f>
        <v/>
      </c>
      <c r="AK24" s="1" t="n">
        <v>0</v>
      </c>
      <c r="AL24" s="1">
        <f>AJ24*P24</f>
        <v/>
      </c>
      <c r="AM24" s="1">
        <f>AY24+AZ24+BB24</f>
        <v/>
      </c>
      <c r="AN24" s="1" t="n">
        <v>0</v>
      </c>
      <c r="AO24" s="1">
        <f>AM24*P24</f>
        <v/>
      </c>
      <c r="AQ24" s="9">
        <f>$BG$3</f>
        <v/>
      </c>
      <c r="AR24" s="10">
        <f>$BG$4</f>
        <v/>
      </c>
      <c r="AS24" s="10" t="n">
        <v>3.1429329</v>
      </c>
      <c r="AT24" s="9">
        <f>$BG$5</f>
        <v/>
      </c>
      <c r="AV24" s="10">
        <f>1/G24</f>
        <v/>
      </c>
      <c r="AX24" s="10">
        <f>AQ24</f>
        <v/>
      </c>
      <c r="AY24" s="10">
        <f>AT24*H24/G24</f>
        <v/>
      </c>
      <c r="AZ24" s="10">
        <f>J24/G24</f>
        <v/>
      </c>
      <c r="BA24" s="10">
        <f>AS24*N24</f>
        <v/>
      </c>
      <c r="BB24" s="10">
        <f>AR24*I24/G24</f>
        <v/>
      </c>
      <c r="BD24" s="10">
        <f>AV24-SUM(AX24:BB24)</f>
        <v/>
      </c>
    </row>
    <row r="25">
      <c r="B25" s="13" t="n"/>
      <c r="C25" s="12" t="inlineStr">
        <is>
          <t>CO2Captured</t>
        </is>
      </c>
      <c r="D25" s="12" t="n">
        <v>0.9</v>
      </c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4" t="n">
        <v>1.01</v>
      </c>
      <c r="P25" s="15" t="n">
        <v>73.71884</v>
      </c>
      <c r="Q25" s="15" t="n">
        <v>-4.302149</v>
      </c>
      <c r="R25" s="15" t="n">
        <v>21.021514</v>
      </c>
      <c r="S25" s="15" t="n">
        <v>9.044067999999999</v>
      </c>
      <c r="T25" s="16" t="n">
        <v>-126.225199</v>
      </c>
      <c r="U25" s="15" t="n">
        <v>10.321106</v>
      </c>
      <c r="W25" s="1">
        <f>B25</f>
        <v/>
      </c>
      <c r="X25" s="1">
        <f>C25</f>
        <v/>
      </c>
      <c r="Y25" s="11">
        <f>SUM(AB25:AI25)+AK25+AL25</f>
        <v/>
      </c>
      <c r="Z25" s="11">
        <f>SUM(AB25:AI25)+AN25+AO25</f>
        <v/>
      </c>
      <c r="AA25" s="5">
        <f>Y25-Z25</f>
        <v/>
      </c>
      <c r="AB25" s="5">
        <f>E25/G25*S25</f>
        <v/>
      </c>
      <c r="AC25" s="1">
        <f>F25/G25*R25</f>
        <v/>
      </c>
      <c r="AD25" s="1">
        <f>1/G25*(P25+Q25)</f>
        <v/>
      </c>
      <c r="AE25" s="1">
        <f>H25/G25*U25*-1</f>
        <v/>
      </c>
      <c r="AF25" s="1">
        <f>I25/G25*T25</f>
        <v/>
      </c>
      <c r="AG25" s="1">
        <f>K25/G25/(0.9*8760)</f>
        <v/>
      </c>
      <c r="AH25" s="1">
        <f>L25/G25/(0.9*8760)</f>
        <v/>
      </c>
      <c r="AI25" s="1">
        <f>M25</f>
        <v/>
      </c>
      <c r="AJ25" s="1">
        <f>AY25+AZ25+BB25</f>
        <v/>
      </c>
      <c r="AK25" s="1" t="n">
        <v>0</v>
      </c>
      <c r="AL25" s="1">
        <f>AJ25*P25</f>
        <v/>
      </c>
      <c r="AM25" s="1">
        <f>AY25+AZ25+BB25</f>
        <v/>
      </c>
      <c r="AN25" s="1" t="n">
        <v>0</v>
      </c>
      <c r="AO25" s="1">
        <f>AM25*P25</f>
        <v/>
      </c>
      <c r="AQ25" s="9">
        <f>$BG$3</f>
        <v/>
      </c>
      <c r="AR25" s="10">
        <f>$BG$4</f>
        <v/>
      </c>
      <c r="AS25" s="10" t="n">
        <v>3.1429329</v>
      </c>
      <c r="AT25" s="9">
        <f>$BG$5</f>
        <v/>
      </c>
      <c r="AV25" s="10">
        <f>1/G25</f>
        <v/>
      </c>
      <c r="AX25" s="10">
        <f>AQ25</f>
        <v/>
      </c>
      <c r="AY25" s="10">
        <f>AT25*H25/G25</f>
        <v/>
      </c>
      <c r="AZ25" s="10">
        <f>J25/G25</f>
        <v/>
      </c>
      <c r="BA25" s="10">
        <f>AS25*N25</f>
        <v/>
      </c>
      <c r="BB25" s="10">
        <f>AR25*I25/G25</f>
        <v/>
      </c>
      <c r="BD25" s="10">
        <f>AV25-SUM(AX25:BB25)</f>
        <v/>
      </c>
    </row>
    <row r="26">
      <c r="B26" s="13" t="n"/>
      <c r="C26" s="12" t="inlineStr">
        <is>
          <t>CO2Captured</t>
        </is>
      </c>
      <c r="D26" s="12" t="n">
        <v>0.9</v>
      </c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24" t="n">
        <v>1.01</v>
      </c>
      <c r="P26" s="15" t="n">
        <v>73.71884</v>
      </c>
      <c r="Q26" s="15" t="n">
        <v>-4.302149</v>
      </c>
      <c r="R26" s="15" t="n">
        <v>21.021514</v>
      </c>
      <c r="S26" s="15" t="n">
        <v>9.044067999999999</v>
      </c>
      <c r="T26" s="16" t="n">
        <v>-126.225199</v>
      </c>
      <c r="U26" s="15" t="n">
        <v>10.321106</v>
      </c>
      <c r="W26" s="1">
        <f>B26</f>
        <v/>
      </c>
      <c r="X26" s="1">
        <f>C26</f>
        <v/>
      </c>
      <c r="Y26" s="11">
        <f>SUM(AB26:AI26)+AK26+AL26</f>
        <v/>
      </c>
      <c r="Z26" s="11">
        <f>SUM(AB26:AI26)+AN26+AO26</f>
        <v/>
      </c>
      <c r="AA26" s="5">
        <f>Y26-Z26</f>
        <v/>
      </c>
      <c r="AB26" s="5">
        <f>E26/G26*S26</f>
        <v/>
      </c>
      <c r="AC26" s="1">
        <f>F26/G26*R26</f>
        <v/>
      </c>
      <c r="AD26" s="1">
        <f>1/G26*(P26+Q26)</f>
        <v/>
      </c>
      <c r="AE26" s="1">
        <f>H26/G26*U26*-1</f>
        <v/>
      </c>
      <c r="AF26" s="1">
        <f>I26/G26*T26</f>
        <v/>
      </c>
      <c r="AG26" s="1">
        <f>K26/G26/(0.9*8760)</f>
        <v/>
      </c>
      <c r="AH26" s="1">
        <f>L26/G26/(0.9*8760)</f>
        <v/>
      </c>
      <c r="AI26" s="1">
        <f>M26</f>
        <v/>
      </c>
      <c r="AJ26" s="1">
        <f>AY26+AZ26+BB26</f>
        <v/>
      </c>
      <c r="AK26" s="1" t="n">
        <v>0</v>
      </c>
      <c r="AL26" s="1">
        <f>AJ26*P26</f>
        <v/>
      </c>
      <c r="AM26" s="1">
        <f>AY26+AZ26+BB26</f>
        <v/>
      </c>
      <c r="AN26" s="1" t="n">
        <v>0</v>
      </c>
      <c r="AO26" s="1">
        <f>AM26*P26</f>
        <v/>
      </c>
      <c r="AQ26" s="9">
        <f>$BG$3</f>
        <v/>
      </c>
      <c r="AR26" s="10">
        <f>$BG$4</f>
        <v/>
      </c>
      <c r="AS26" s="10" t="n">
        <v>3.1429329</v>
      </c>
      <c r="AT26" s="9">
        <f>$BG$5</f>
        <v/>
      </c>
      <c r="AV26" s="10">
        <f>1/G26</f>
        <v/>
      </c>
      <c r="AX26" s="10">
        <f>AQ26</f>
        <v/>
      </c>
      <c r="AY26" s="10">
        <f>AT26*H26/G26</f>
        <v/>
      </c>
      <c r="AZ26" s="10">
        <f>J26/G26</f>
        <v/>
      </c>
      <c r="BA26" s="10">
        <f>AS26*N26</f>
        <v/>
      </c>
      <c r="BB26" s="10">
        <f>AR26*I26/G26</f>
        <v/>
      </c>
      <c r="BD26" s="10">
        <f>AV26-SUM(AX26:BB26)</f>
        <v/>
      </c>
    </row>
    <row r="27">
      <c r="B27" s="13" t="n"/>
      <c r="C27" s="12" t="inlineStr">
        <is>
          <t>CO2Captured</t>
        </is>
      </c>
      <c r="D27" s="12" t="n">
        <v>0.9</v>
      </c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4" t="n">
        <v>1.01</v>
      </c>
      <c r="P27" s="15" t="n">
        <v>73.71884</v>
      </c>
      <c r="Q27" s="15" t="n">
        <v>-4.302149</v>
      </c>
      <c r="R27" s="15" t="n">
        <v>21.021514</v>
      </c>
      <c r="S27" s="15" t="n">
        <v>9.044067999999999</v>
      </c>
      <c r="T27" s="16" t="n">
        <v>-126.225199</v>
      </c>
      <c r="U27" s="15" t="n">
        <v>10.321106</v>
      </c>
      <c r="W27" s="1">
        <f>B27</f>
        <v/>
      </c>
      <c r="X27" s="1">
        <f>C27</f>
        <v/>
      </c>
      <c r="Y27" s="11">
        <f>SUM(AB27:AI27)+AK27+AL27</f>
        <v/>
      </c>
      <c r="Z27" s="11">
        <f>SUM(AB27:AI27)+AN27+AO27</f>
        <v/>
      </c>
      <c r="AA27" s="5">
        <f>Y27-Z27</f>
        <v/>
      </c>
      <c r="AB27" s="5">
        <f>E27/G27*S27</f>
        <v/>
      </c>
      <c r="AC27" s="1">
        <f>F27/G27*R27</f>
        <v/>
      </c>
      <c r="AD27" s="1">
        <f>1/G27*(P27+Q27)</f>
        <v/>
      </c>
      <c r="AE27" s="1">
        <f>H27/G27*U27*-1</f>
        <v/>
      </c>
      <c r="AF27" s="1">
        <f>I27/G27*T27</f>
        <v/>
      </c>
      <c r="AG27" s="1">
        <f>K27/G27/(0.9*8760)</f>
        <v/>
      </c>
      <c r="AH27" s="1">
        <f>L27/G27/(0.9*8760)</f>
        <v/>
      </c>
      <c r="AI27" s="1">
        <f>M27</f>
        <v/>
      </c>
      <c r="AJ27" s="1">
        <f>AY27+AZ27+BB27</f>
        <v/>
      </c>
      <c r="AK27" s="1" t="n">
        <v>0</v>
      </c>
      <c r="AL27" s="1">
        <f>AJ27*P27</f>
        <v/>
      </c>
      <c r="AM27" s="1">
        <f>AY27+AZ27+BB27</f>
        <v/>
      </c>
      <c r="AN27" s="1" t="n">
        <v>0</v>
      </c>
      <c r="AO27" s="1">
        <f>AM27*P27</f>
        <v/>
      </c>
      <c r="AQ27" s="9">
        <f>$BG$3</f>
        <v/>
      </c>
      <c r="AR27" s="10">
        <f>$BG$4</f>
        <v/>
      </c>
      <c r="AS27" s="10" t="n">
        <v>3.1429329</v>
      </c>
      <c r="AT27" s="9">
        <f>$BG$5</f>
        <v/>
      </c>
      <c r="AV27" s="10">
        <f>1/G27</f>
        <v/>
      </c>
      <c r="AX27" s="10">
        <f>AQ27</f>
        <v/>
      </c>
      <c r="AY27" s="10">
        <f>AT27*H27/G27</f>
        <v/>
      </c>
      <c r="AZ27" s="10">
        <f>J27/G27</f>
        <v/>
      </c>
      <c r="BA27" s="10">
        <f>AS27*N27</f>
        <v/>
      </c>
      <c r="BB27" s="10">
        <f>AR27*I27/G27</f>
        <v/>
      </c>
      <c r="BD27" s="10">
        <f>AV27-SUM(AX27:BB27)</f>
        <v/>
      </c>
    </row>
    <row r="28">
      <c r="B28" s="13" t="n"/>
      <c r="C28" s="12" t="inlineStr">
        <is>
          <t>CO2Captured</t>
        </is>
      </c>
      <c r="D28" s="12" t="n">
        <v>0.9</v>
      </c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24" t="n">
        <v>1.01</v>
      </c>
      <c r="P28" s="15" t="n">
        <v>73.71884</v>
      </c>
      <c r="Q28" s="15" t="n">
        <v>-4.302149</v>
      </c>
      <c r="R28" s="15" t="n">
        <v>21.021514</v>
      </c>
      <c r="S28" s="15" t="n">
        <v>9.044067999999999</v>
      </c>
      <c r="T28" s="16" t="n">
        <v>-126.225199</v>
      </c>
      <c r="U28" s="15" t="n">
        <v>10.321106</v>
      </c>
      <c r="W28" s="1">
        <f>B28</f>
        <v/>
      </c>
      <c r="X28" s="1">
        <f>C28</f>
        <v/>
      </c>
      <c r="Y28" s="11">
        <f>SUM(AB28:AI28)+AK28+AL28</f>
        <v/>
      </c>
      <c r="Z28" s="11">
        <f>SUM(AB28:AI28)+AN28+AO28</f>
        <v/>
      </c>
      <c r="AA28" s="5">
        <f>Y28-Z28</f>
        <v/>
      </c>
      <c r="AB28" s="5">
        <f>E28/G28*S28</f>
        <v/>
      </c>
      <c r="AC28" s="1">
        <f>F28/G28*R28</f>
        <v/>
      </c>
      <c r="AD28" s="1">
        <f>1/G28*(P28+Q28)</f>
        <v/>
      </c>
      <c r="AE28" s="1">
        <f>H28/G28*U28*-1</f>
        <v/>
      </c>
      <c r="AF28" s="1">
        <f>I28/G28*T28</f>
        <v/>
      </c>
      <c r="AG28" s="1">
        <f>K28/G28/(0.9*8760)</f>
        <v/>
      </c>
      <c r="AH28" s="1">
        <f>L28/G28/(0.9*8760)</f>
        <v/>
      </c>
      <c r="AI28" s="1">
        <f>M28</f>
        <v/>
      </c>
      <c r="AJ28" s="1">
        <f>AY28+AZ28+BB28</f>
        <v/>
      </c>
      <c r="AK28" s="1" t="n">
        <v>0</v>
      </c>
      <c r="AL28" s="1">
        <f>AJ28*P28</f>
        <v/>
      </c>
      <c r="AM28" s="1">
        <f>AY28+AZ28+BB28</f>
        <v/>
      </c>
      <c r="AN28" s="1" t="n">
        <v>0</v>
      </c>
      <c r="AO28" s="1">
        <f>AM28*P28</f>
        <v/>
      </c>
      <c r="AQ28" s="9">
        <f>$BG$3</f>
        <v/>
      </c>
      <c r="AR28" s="10">
        <f>$BG$4</f>
        <v/>
      </c>
      <c r="AS28" s="10" t="n">
        <v>3.1429329</v>
      </c>
      <c r="AT28" s="9">
        <f>$BG$5</f>
        <v/>
      </c>
      <c r="AV28" s="10">
        <f>1/G28</f>
        <v/>
      </c>
      <c r="AX28" s="10">
        <f>AQ28</f>
        <v/>
      </c>
      <c r="AY28" s="10">
        <f>AT28*H28/G28</f>
        <v/>
      </c>
      <c r="AZ28" s="10">
        <f>J28/G28</f>
        <v/>
      </c>
      <c r="BA28" s="10">
        <f>AS28*N28</f>
        <v/>
      </c>
      <c r="BB28" s="10">
        <f>AR28*I28/G28</f>
        <v/>
      </c>
      <c r="BD28" s="10">
        <f>AV28-SUM(AX28:BB28)</f>
        <v/>
      </c>
    </row>
    <row r="29">
      <c r="B29" s="13" t="n"/>
      <c r="C29" s="12" t="inlineStr">
        <is>
          <t>CO2Captured</t>
        </is>
      </c>
      <c r="D29" s="12" t="n">
        <v>0.9</v>
      </c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4" t="n">
        <v>1.01</v>
      </c>
      <c r="P29" s="15" t="n">
        <v>73.71884</v>
      </c>
      <c r="Q29" s="15" t="n">
        <v>-4.302149</v>
      </c>
      <c r="R29" s="15" t="n">
        <v>21.021514</v>
      </c>
      <c r="S29" s="15" t="n">
        <v>9.044067999999999</v>
      </c>
      <c r="T29" s="16" t="n">
        <v>-126.225199</v>
      </c>
      <c r="U29" s="15" t="n">
        <v>10.321106</v>
      </c>
      <c r="W29" s="1">
        <f>B29</f>
        <v/>
      </c>
      <c r="X29" s="1">
        <f>C29</f>
        <v/>
      </c>
      <c r="Y29" s="11">
        <f>SUM(AB29:AI29)+AK29+AL29</f>
        <v/>
      </c>
      <c r="Z29" s="11">
        <f>SUM(AB29:AI29)+AN29+AO29</f>
        <v/>
      </c>
      <c r="AA29" s="5">
        <f>Y29-Z29</f>
        <v/>
      </c>
      <c r="AB29" s="5">
        <f>E29/G29*S29</f>
        <v/>
      </c>
      <c r="AC29" s="1">
        <f>F29/G29*R29</f>
        <v/>
      </c>
      <c r="AD29" s="1">
        <f>1/G29*(P29+Q29)</f>
        <v/>
      </c>
      <c r="AE29" s="1">
        <f>H29/G29*U29*-1</f>
        <v/>
      </c>
      <c r="AF29" s="1">
        <f>I29/G29*T29</f>
        <v/>
      </c>
      <c r="AG29" s="1">
        <f>K29/G29/(0.9*8760)</f>
        <v/>
      </c>
      <c r="AH29" s="1">
        <f>L29/G29/(0.9*8760)</f>
        <v/>
      </c>
      <c r="AI29" s="1">
        <f>M29</f>
        <v/>
      </c>
      <c r="AJ29" s="1">
        <f>AY29+AZ29+BB29</f>
        <v/>
      </c>
      <c r="AK29" s="1" t="n">
        <v>0</v>
      </c>
      <c r="AL29" s="1">
        <f>AJ29*P29</f>
        <v/>
      </c>
      <c r="AM29" s="1">
        <f>AY29+AZ29+BB29</f>
        <v/>
      </c>
      <c r="AN29" s="1" t="n">
        <v>0</v>
      </c>
      <c r="AO29" s="1">
        <f>AM29*P29</f>
        <v/>
      </c>
      <c r="AQ29" s="9">
        <f>$BG$3</f>
        <v/>
      </c>
      <c r="AR29" s="10">
        <f>$BG$4</f>
        <v/>
      </c>
      <c r="AS29" s="10" t="n">
        <v>3.1429329</v>
      </c>
      <c r="AT29" s="9">
        <f>$BG$5</f>
        <v/>
      </c>
      <c r="AV29" s="10">
        <f>1/G29</f>
        <v/>
      </c>
      <c r="AX29" s="10">
        <f>AQ29</f>
        <v/>
      </c>
      <c r="AY29" s="10">
        <f>AT29*H29/G29</f>
        <v/>
      </c>
      <c r="AZ29" s="10">
        <f>J29/G29</f>
        <v/>
      </c>
      <c r="BA29" s="10">
        <f>AS29*N29</f>
        <v/>
      </c>
      <c r="BB29" s="10">
        <f>AR29*I29/G29</f>
        <v/>
      </c>
      <c r="BD29" s="10">
        <f>AV29-SUM(AX29:BB29)</f>
        <v/>
      </c>
    </row>
    <row r="30">
      <c r="B30" s="13" t="n"/>
      <c r="C30" s="12" t="inlineStr">
        <is>
          <t>CO2Captured</t>
        </is>
      </c>
      <c r="D30" s="12" t="n">
        <v>0.9</v>
      </c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4" t="n">
        <v>1.01</v>
      </c>
      <c r="P30" s="15" t="n">
        <v>73.71884</v>
      </c>
      <c r="Q30" s="15" t="n">
        <v>-4.302149</v>
      </c>
      <c r="R30" s="15" t="n">
        <v>21.021514</v>
      </c>
      <c r="S30" s="15" t="n">
        <v>9.044067999999999</v>
      </c>
      <c r="T30" s="16" t="n">
        <v>-126.225199</v>
      </c>
      <c r="U30" s="15" t="n">
        <v>10.321106</v>
      </c>
      <c r="W30" s="1">
        <f>B30</f>
        <v/>
      </c>
      <c r="X30" s="1">
        <f>C30</f>
        <v/>
      </c>
      <c r="Y30" s="11">
        <f>SUM(AB30:AI30)+AK30+AL30</f>
        <v/>
      </c>
      <c r="Z30" s="11">
        <f>SUM(AB30:AI30)+AN30+AO30</f>
        <v/>
      </c>
      <c r="AA30" s="5">
        <f>Y30-Z30</f>
        <v/>
      </c>
      <c r="AB30" s="5">
        <f>E30/G30*S30</f>
        <v/>
      </c>
      <c r="AC30" s="1">
        <f>F30/G30*R30</f>
        <v/>
      </c>
      <c r="AD30" s="1">
        <f>1/G30*(P30+Q30)</f>
        <v/>
      </c>
      <c r="AE30" s="1">
        <f>H30/G30*U30*-1</f>
        <v/>
      </c>
      <c r="AF30" s="1">
        <f>I30/G30*T30</f>
        <v/>
      </c>
      <c r="AG30" s="1">
        <f>K30/G30/(0.9*8760)</f>
        <v/>
      </c>
      <c r="AH30" s="1">
        <f>L30/G30/(0.9*8760)</f>
        <v/>
      </c>
      <c r="AI30" s="1">
        <f>M30</f>
        <v/>
      </c>
      <c r="AJ30" s="1">
        <f>AY30+AZ30+BB30</f>
        <v/>
      </c>
      <c r="AK30" s="1" t="n">
        <v>0</v>
      </c>
      <c r="AL30" s="1">
        <f>AJ30*P30</f>
        <v/>
      </c>
      <c r="AM30" s="1">
        <f>AY30+AZ30+BB30</f>
        <v/>
      </c>
      <c r="AN30" s="1" t="n">
        <v>0</v>
      </c>
      <c r="AO30" s="1">
        <f>AM30*P30</f>
        <v/>
      </c>
      <c r="AQ30" s="9">
        <f>$BG$3</f>
        <v/>
      </c>
      <c r="AR30" s="10">
        <f>$BG$4</f>
        <v/>
      </c>
      <c r="AS30" s="10" t="n">
        <v>3.1429329</v>
      </c>
      <c r="AT30" s="9">
        <f>$BG$5</f>
        <v/>
      </c>
      <c r="AV30" s="10">
        <f>1/G30</f>
        <v/>
      </c>
      <c r="AX30" s="10">
        <f>AQ30</f>
        <v/>
      </c>
      <c r="AY30" s="10">
        <f>AT30*H30/G30</f>
        <v/>
      </c>
      <c r="AZ30" s="10">
        <f>J30/G30</f>
        <v/>
      </c>
      <c r="BA30" s="10">
        <f>AS30*N30</f>
        <v/>
      </c>
      <c r="BB30" s="10">
        <f>AR30*I30/G30</f>
        <v/>
      </c>
      <c r="BD30" s="10">
        <f>AV30-SUM(AX30:BB30)</f>
        <v/>
      </c>
    </row>
    <row r="31">
      <c r="B31" s="13" t="n"/>
      <c r="C31" s="12" t="inlineStr">
        <is>
          <t>CO2Captured</t>
        </is>
      </c>
      <c r="D31" s="12" t="n">
        <v>0.9</v>
      </c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4" t="n">
        <v>1.01</v>
      </c>
      <c r="P31" s="15" t="n">
        <v>73.71884</v>
      </c>
      <c r="Q31" s="15" t="n">
        <v>-4.302149</v>
      </c>
      <c r="R31" s="15" t="n">
        <v>21.021514</v>
      </c>
      <c r="S31" s="15" t="n">
        <v>9.044067999999999</v>
      </c>
      <c r="T31" s="16" t="n">
        <v>-126.225199</v>
      </c>
      <c r="U31" s="15" t="n">
        <v>10.321106</v>
      </c>
      <c r="W31" s="1">
        <f>B31</f>
        <v/>
      </c>
      <c r="X31" s="1">
        <f>C31</f>
        <v/>
      </c>
      <c r="Y31" s="11">
        <f>SUM(AB31:AI31)+AK31+AL31</f>
        <v/>
      </c>
      <c r="Z31" s="11">
        <f>SUM(AB31:AI31)+AN31+AO31</f>
        <v/>
      </c>
      <c r="AA31" s="5">
        <f>Y31-Z31</f>
        <v/>
      </c>
      <c r="AB31" s="5">
        <f>E31/G31*S31</f>
        <v/>
      </c>
      <c r="AC31" s="1">
        <f>F31/G31*R31</f>
        <v/>
      </c>
      <c r="AD31" s="1">
        <f>1/G31*(P31+Q31)</f>
        <v/>
      </c>
      <c r="AE31" s="1">
        <f>H31/G31*U31*-1</f>
        <v/>
      </c>
      <c r="AF31" s="1">
        <f>I31/G31*T31</f>
        <v/>
      </c>
      <c r="AG31" s="1">
        <f>K31/G31/(0.9*8760)</f>
        <v/>
      </c>
      <c r="AH31" s="1">
        <f>L31/G31/(0.9*8760)</f>
        <v/>
      </c>
      <c r="AI31" s="1">
        <f>M31</f>
        <v/>
      </c>
      <c r="AJ31" s="1">
        <f>AY31+AZ31+BB31</f>
        <v/>
      </c>
      <c r="AK31" s="1" t="n">
        <v>0</v>
      </c>
      <c r="AL31" s="1">
        <f>AJ31*P31</f>
        <v/>
      </c>
      <c r="AM31" s="1">
        <f>AY31+AZ31+BB31</f>
        <v/>
      </c>
      <c r="AN31" s="1" t="n">
        <v>0</v>
      </c>
      <c r="AO31" s="1">
        <f>AM31*P31</f>
        <v/>
      </c>
      <c r="AQ31" s="9">
        <f>$BG$3</f>
        <v/>
      </c>
      <c r="AR31" s="10">
        <f>$BG$4</f>
        <v/>
      </c>
      <c r="AS31" s="10" t="n">
        <v>3.1429329</v>
      </c>
      <c r="AT31" s="9">
        <f>$BG$5</f>
        <v/>
      </c>
      <c r="AV31" s="10">
        <f>1/G31</f>
        <v/>
      </c>
      <c r="AX31" s="10">
        <f>AQ31</f>
        <v/>
      </c>
      <c r="AY31" s="10">
        <f>AT31*H31/G31</f>
        <v/>
      </c>
      <c r="AZ31" s="10">
        <f>J31/G31</f>
        <v/>
      </c>
      <c r="BA31" s="10">
        <f>AS31*N31</f>
        <v/>
      </c>
      <c r="BB31" s="10">
        <f>AR31*I31/G31</f>
        <v/>
      </c>
      <c r="BD31" s="10">
        <f>AV31-SUM(AX31:BB31)</f>
        <v/>
      </c>
    </row>
    <row r="32">
      <c r="B32" s="13" t="n"/>
      <c r="C32" s="12" t="inlineStr">
        <is>
          <t>CO2Captured</t>
        </is>
      </c>
      <c r="D32" s="12" t="n">
        <v>0.9</v>
      </c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24" t="n">
        <v>1.01</v>
      </c>
      <c r="P32" s="15" t="n">
        <v>73.71884</v>
      </c>
      <c r="Q32" s="15" t="n">
        <v>-4.302149</v>
      </c>
      <c r="R32" s="15" t="n">
        <v>21.021514</v>
      </c>
      <c r="S32" s="15" t="n">
        <v>9.044067999999999</v>
      </c>
      <c r="T32" s="16" t="n">
        <v>-126.225199</v>
      </c>
      <c r="U32" s="15" t="n">
        <v>10.321106</v>
      </c>
      <c r="W32" s="1">
        <f>B32</f>
        <v/>
      </c>
      <c r="X32" s="1">
        <f>C32</f>
        <v/>
      </c>
      <c r="Y32" s="11">
        <f>SUM(AB32:AI32)+AK32+AL32</f>
        <v/>
      </c>
      <c r="Z32" s="11">
        <f>SUM(AB32:AI32)+AN32+AO32</f>
        <v/>
      </c>
      <c r="AA32" s="5">
        <f>Y32-Z32</f>
        <v/>
      </c>
      <c r="AB32" s="5">
        <f>E32/G32*S32</f>
        <v/>
      </c>
      <c r="AC32" s="1">
        <f>F32/G32*R32</f>
        <v/>
      </c>
      <c r="AD32" s="1">
        <f>1/G32*(P32+Q32)</f>
        <v/>
      </c>
      <c r="AE32" s="1">
        <f>H32/G32*U32*-1</f>
        <v/>
      </c>
      <c r="AF32" s="1">
        <f>I32/G32*T32</f>
        <v/>
      </c>
      <c r="AG32" s="1">
        <f>K32/G32/(0.9*8760)</f>
        <v/>
      </c>
      <c r="AH32" s="1">
        <f>L32/G32/(0.9*8760)</f>
        <v/>
      </c>
      <c r="AI32" s="1">
        <f>M32</f>
        <v/>
      </c>
      <c r="AJ32" s="1">
        <f>AY32+AZ32+BB32</f>
        <v/>
      </c>
      <c r="AK32" s="1" t="n">
        <v>0</v>
      </c>
      <c r="AL32" s="1">
        <f>AJ32*P32</f>
        <v/>
      </c>
      <c r="AM32" s="1">
        <f>AY32+AZ32+BB32</f>
        <v/>
      </c>
      <c r="AN32" s="1" t="n">
        <v>0</v>
      </c>
      <c r="AO32" s="1">
        <f>AM32*P32</f>
        <v/>
      </c>
      <c r="AQ32" s="9">
        <f>$BG$3</f>
        <v/>
      </c>
      <c r="AR32" s="10">
        <f>$BG$4</f>
        <v/>
      </c>
      <c r="AS32" s="10" t="n">
        <v>3.1429329</v>
      </c>
      <c r="AT32" s="9">
        <f>$BG$5</f>
        <v/>
      </c>
      <c r="AV32" s="10">
        <f>1/G32</f>
        <v/>
      </c>
      <c r="AX32" s="10">
        <f>AQ32</f>
        <v/>
      </c>
      <c r="AY32" s="10">
        <f>AT32*H32/G32</f>
        <v/>
      </c>
      <c r="AZ32" s="10">
        <f>J32/G32</f>
        <v/>
      </c>
      <c r="BA32" s="10">
        <f>AS32*N32</f>
        <v/>
      </c>
      <c r="BB32" s="10">
        <f>AR32*I32/G32</f>
        <v/>
      </c>
      <c r="BD32" s="10">
        <f>AV32-SUM(AX32:BB32)</f>
        <v/>
      </c>
    </row>
    <row r="33">
      <c r="B33" s="13" t="n"/>
      <c r="C33" s="12" t="inlineStr">
        <is>
          <t>CO2Captured</t>
        </is>
      </c>
      <c r="D33" s="12" t="n">
        <v>0.9</v>
      </c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24" t="n">
        <v>1.01</v>
      </c>
      <c r="P33" s="15" t="n">
        <v>73.71884</v>
      </c>
      <c r="Q33" s="15" t="n">
        <v>-4.302149</v>
      </c>
      <c r="R33" s="15" t="n">
        <v>21.021514</v>
      </c>
      <c r="S33" s="15" t="n">
        <v>9.044067999999999</v>
      </c>
      <c r="T33" s="16" t="n">
        <v>-126.225199</v>
      </c>
      <c r="U33" s="15" t="n">
        <v>10.321106</v>
      </c>
      <c r="W33" s="1">
        <f>B33</f>
        <v/>
      </c>
      <c r="X33" s="1">
        <f>C33</f>
        <v/>
      </c>
      <c r="Y33" s="11">
        <f>SUM(AB33:AI33)+AK33+AL33</f>
        <v/>
      </c>
      <c r="Z33" s="11">
        <f>SUM(AB33:AI33)+AN33+AO33</f>
        <v/>
      </c>
      <c r="AA33" s="5">
        <f>Y33-Z33</f>
        <v/>
      </c>
      <c r="AB33" s="5">
        <f>E33/G33*S33</f>
        <v/>
      </c>
      <c r="AC33" s="1">
        <f>F33/G33*R33</f>
        <v/>
      </c>
      <c r="AD33" s="1">
        <f>1/G33*(P33+Q33)</f>
        <v/>
      </c>
      <c r="AE33" s="1">
        <f>H33/G33*U33*-1</f>
        <v/>
      </c>
      <c r="AF33" s="1">
        <f>I33/G33*T33</f>
        <v/>
      </c>
      <c r="AG33" s="1">
        <f>K33/G33/(0.9*8760)</f>
        <v/>
      </c>
      <c r="AH33" s="1">
        <f>L33/G33/(0.9*8760)</f>
        <v/>
      </c>
      <c r="AI33" s="1">
        <f>M33</f>
        <v/>
      </c>
      <c r="AJ33" s="1">
        <f>AY33+AZ33+BB33</f>
        <v/>
      </c>
      <c r="AK33" s="1" t="n">
        <v>0</v>
      </c>
      <c r="AL33" s="1">
        <f>AJ33*P33</f>
        <v/>
      </c>
      <c r="AM33" s="1">
        <f>AY33+AZ33+BB33</f>
        <v/>
      </c>
      <c r="AN33" s="1" t="n">
        <v>0</v>
      </c>
      <c r="AO33" s="1">
        <f>AM33*P33</f>
        <v/>
      </c>
      <c r="AQ33" s="9">
        <f>$BG$3</f>
        <v/>
      </c>
      <c r="AR33" s="10">
        <f>$BG$4</f>
        <v/>
      </c>
      <c r="AS33" s="10" t="n">
        <v>3.1429329</v>
      </c>
      <c r="AT33" s="9">
        <f>$BG$5</f>
        <v/>
      </c>
      <c r="AV33" s="10">
        <f>1/G33</f>
        <v/>
      </c>
      <c r="AX33" s="10">
        <f>AQ33</f>
        <v/>
      </c>
      <c r="AY33" s="10">
        <f>AT33*H33/G33</f>
        <v/>
      </c>
      <c r="AZ33" s="10">
        <f>J33/G33</f>
        <v/>
      </c>
      <c r="BA33" s="10">
        <f>AS33*N33</f>
        <v/>
      </c>
      <c r="BB33" s="10">
        <f>AR33*I33/G33</f>
        <v/>
      </c>
      <c r="BD33" s="10">
        <f>AV33-SUM(AX33:BB33)</f>
        <v/>
      </c>
    </row>
    <row r="34">
      <c r="B34" s="13" t="n"/>
      <c r="C34" s="12" t="inlineStr">
        <is>
          <t>CO2Captured</t>
        </is>
      </c>
      <c r="D34" s="12" t="n">
        <v>0.9</v>
      </c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24" t="n">
        <v>1.01</v>
      </c>
      <c r="P34" s="15" t="n">
        <v>73.71884</v>
      </c>
      <c r="Q34" s="15" t="n">
        <v>-4.302149</v>
      </c>
      <c r="R34" s="15" t="n">
        <v>21.021514</v>
      </c>
      <c r="S34" s="15" t="n">
        <v>9.044067999999999</v>
      </c>
      <c r="T34" s="16" t="n">
        <v>-126.225199</v>
      </c>
      <c r="U34" s="15" t="n">
        <v>10.321106</v>
      </c>
      <c r="W34" s="1">
        <f>B34</f>
        <v/>
      </c>
      <c r="X34" s="1">
        <f>C34</f>
        <v/>
      </c>
      <c r="Y34" s="11">
        <f>SUM(AB34:AI34)+AK34+AL34</f>
        <v/>
      </c>
      <c r="Z34" s="11">
        <f>SUM(AB34:AI34)+AN34+AO34</f>
        <v/>
      </c>
      <c r="AA34" s="5">
        <f>Y34-Z34</f>
        <v/>
      </c>
      <c r="AB34" s="5">
        <f>E34/G34*S34</f>
        <v/>
      </c>
      <c r="AC34" s="1">
        <f>F34/G34*R34</f>
        <v/>
      </c>
      <c r="AD34" s="1">
        <f>1/G34*(P34+Q34)</f>
        <v/>
      </c>
      <c r="AE34" s="1">
        <f>H34/G34*U34*-1</f>
        <v/>
      </c>
      <c r="AF34" s="1">
        <f>I34/G34*T34</f>
        <v/>
      </c>
      <c r="AG34" s="1">
        <f>K34/G34/(0.9*8760)</f>
        <v/>
      </c>
      <c r="AH34" s="1">
        <f>L34/G34/(0.9*8760)</f>
        <v/>
      </c>
      <c r="AI34" s="1">
        <f>M34</f>
        <v/>
      </c>
      <c r="AJ34" s="1">
        <f>AY34+AZ34+BB34</f>
        <v/>
      </c>
      <c r="AK34" s="1" t="n">
        <v>0</v>
      </c>
      <c r="AL34" s="1">
        <f>AJ34*P34</f>
        <v/>
      </c>
      <c r="AM34" s="1">
        <f>AY34+AZ34+BB34</f>
        <v/>
      </c>
      <c r="AN34" s="1" t="n">
        <v>0</v>
      </c>
      <c r="AO34" s="1">
        <f>AM34*P34</f>
        <v/>
      </c>
      <c r="AQ34" s="9">
        <f>$BG$3</f>
        <v/>
      </c>
      <c r="AR34" s="10">
        <f>$BG$4</f>
        <v/>
      </c>
      <c r="AS34" s="10" t="n">
        <v>3.1429329</v>
      </c>
      <c r="AT34" s="9">
        <f>$BG$5</f>
        <v/>
      </c>
      <c r="AV34" s="10">
        <f>1/G34</f>
        <v/>
      </c>
      <c r="AX34" s="10">
        <f>AQ34</f>
        <v/>
      </c>
      <c r="AY34" s="10">
        <f>AT34*H34/G34</f>
        <v/>
      </c>
      <c r="AZ34" s="10">
        <f>J34/G34</f>
        <v/>
      </c>
      <c r="BA34" s="10">
        <f>AS34*N34</f>
        <v/>
      </c>
      <c r="BB34" s="10">
        <f>AR34*I34/G34</f>
        <v/>
      </c>
      <c r="BD34" s="10">
        <f>AV34-SUM(AX34:BB34)</f>
        <v/>
      </c>
    </row>
    <row r="35">
      <c r="B35" s="13" t="n"/>
      <c r="C35" s="12" t="inlineStr">
        <is>
          <t>CO2Captured</t>
        </is>
      </c>
      <c r="D35" s="12" t="n">
        <v>0.9</v>
      </c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24" t="n">
        <v>1.01</v>
      </c>
      <c r="P35" s="15" t="n">
        <v>73.71884</v>
      </c>
      <c r="Q35" s="15" t="n">
        <v>-4.302149</v>
      </c>
      <c r="R35" s="15" t="n">
        <v>21.021514</v>
      </c>
      <c r="S35" s="15" t="n">
        <v>9.044067999999999</v>
      </c>
      <c r="T35" s="16" t="n">
        <v>-126.225199</v>
      </c>
      <c r="U35" s="15" t="n">
        <v>10.321106</v>
      </c>
      <c r="W35" s="1">
        <f>B35</f>
        <v/>
      </c>
      <c r="X35" s="1">
        <f>C35</f>
        <v/>
      </c>
      <c r="Y35" s="11">
        <f>SUM(AB35:AI35)+AK35+AL35</f>
        <v/>
      </c>
      <c r="Z35" s="11">
        <f>SUM(AB35:AI35)+AN35+AO35</f>
        <v/>
      </c>
      <c r="AA35" s="5">
        <f>Y35-Z35</f>
        <v/>
      </c>
      <c r="AB35" s="5">
        <f>E35/G35*S35</f>
        <v/>
      </c>
      <c r="AC35" s="1">
        <f>F35/G35*R35</f>
        <v/>
      </c>
      <c r="AD35" s="1">
        <f>1/G35*(P35+Q35)</f>
        <v/>
      </c>
      <c r="AE35" s="1">
        <f>H35/G35*U35*-1</f>
        <v/>
      </c>
      <c r="AF35" s="1">
        <f>I35/G35*T35</f>
        <v/>
      </c>
      <c r="AG35" s="1">
        <f>K35/G35/(0.9*8760)</f>
        <v/>
      </c>
      <c r="AH35" s="1">
        <f>L35/G35/(0.9*8760)</f>
        <v/>
      </c>
      <c r="AI35" s="1">
        <f>M35</f>
        <v/>
      </c>
      <c r="AJ35" s="1">
        <f>AY35+AZ35+BB35</f>
        <v/>
      </c>
      <c r="AK35" s="1" t="n">
        <v>0</v>
      </c>
      <c r="AL35" s="1">
        <f>AJ35*P35</f>
        <v/>
      </c>
      <c r="AM35" s="1">
        <f>AY35+AZ35+BB35</f>
        <v/>
      </c>
      <c r="AN35" s="1" t="n">
        <v>0</v>
      </c>
      <c r="AO35" s="1">
        <f>AM35*P35</f>
        <v/>
      </c>
      <c r="AQ35" s="9">
        <f>$BG$3</f>
        <v/>
      </c>
      <c r="AR35" s="10">
        <f>$BG$4</f>
        <v/>
      </c>
      <c r="AS35" s="10" t="n">
        <v>3.1429329</v>
      </c>
      <c r="AT35" s="9">
        <f>$BG$5</f>
        <v/>
      </c>
      <c r="AV35" s="10">
        <f>1/G35</f>
        <v/>
      </c>
      <c r="AX35" s="10">
        <f>AQ35</f>
        <v/>
      </c>
      <c r="AY35" s="10">
        <f>AT35*H35/G35</f>
        <v/>
      </c>
      <c r="AZ35" s="10">
        <f>J35/G35</f>
        <v/>
      </c>
      <c r="BA35" s="10">
        <f>AS35*N35</f>
        <v/>
      </c>
      <c r="BB35" s="10">
        <f>AR35*I35/G35</f>
        <v/>
      </c>
      <c r="BD35" s="10">
        <f>AV35-SUM(AX35:BB35)</f>
        <v/>
      </c>
    </row>
    <row r="36">
      <c r="B36" s="13" t="n"/>
      <c r="C36" s="12" t="inlineStr">
        <is>
          <t>CO2Captured</t>
        </is>
      </c>
      <c r="D36" s="12" t="n">
        <v>0.9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24" t="n">
        <v>1.01</v>
      </c>
      <c r="P36" s="15" t="n">
        <v>73.71884</v>
      </c>
      <c r="Q36" s="15" t="n">
        <v>-4.302149</v>
      </c>
      <c r="R36" s="15" t="n">
        <v>21.021514</v>
      </c>
      <c r="S36" s="15" t="n">
        <v>9.044067999999999</v>
      </c>
      <c r="T36" s="16" t="n">
        <v>-126.225199</v>
      </c>
      <c r="U36" s="15" t="n">
        <v>10.321106</v>
      </c>
      <c r="W36" s="1">
        <f>B36</f>
        <v/>
      </c>
      <c r="X36" s="1">
        <f>C36</f>
        <v/>
      </c>
      <c r="Y36" s="11">
        <f>SUM(AB36:AI36)+AK36+AL36</f>
        <v/>
      </c>
      <c r="Z36" s="11">
        <f>SUM(AB36:AI36)+AN36+AO36</f>
        <v/>
      </c>
      <c r="AA36" s="5">
        <f>Y36-Z36</f>
        <v/>
      </c>
      <c r="AB36" s="5">
        <f>E36/G36*S36</f>
        <v/>
      </c>
      <c r="AC36" s="1">
        <f>F36/G36*R36</f>
        <v/>
      </c>
      <c r="AD36" s="1">
        <f>1/G36*(P36+Q36)</f>
        <v/>
      </c>
      <c r="AE36" s="1">
        <f>H36/G36*U36*-1</f>
        <v/>
      </c>
      <c r="AF36" s="1">
        <f>I36/G36*T36</f>
        <v/>
      </c>
      <c r="AG36" s="1">
        <f>K36/G36/(0.9*8760)</f>
        <v/>
      </c>
      <c r="AH36" s="1">
        <f>L36/G36/(0.9*8760)</f>
        <v/>
      </c>
      <c r="AI36" s="1">
        <f>M36</f>
        <v/>
      </c>
      <c r="AJ36" s="1">
        <f>AY36+AZ36+BB36</f>
        <v/>
      </c>
      <c r="AK36" s="1" t="n">
        <v>0</v>
      </c>
      <c r="AL36" s="1">
        <f>AJ36*P36</f>
        <v/>
      </c>
      <c r="AM36" s="1">
        <f>AY36+AZ36+BB36</f>
        <v/>
      </c>
      <c r="AN36" s="1" t="n">
        <v>0</v>
      </c>
      <c r="AO36" s="1">
        <f>AM36*P36</f>
        <v/>
      </c>
      <c r="AQ36" s="9">
        <f>$BG$3</f>
        <v/>
      </c>
      <c r="AR36" s="10">
        <f>$BG$4</f>
        <v/>
      </c>
      <c r="AS36" s="10" t="n">
        <v>3.1429329</v>
      </c>
      <c r="AT36" s="9">
        <f>$BG$5</f>
        <v/>
      </c>
      <c r="AV36" s="10">
        <f>1/G36</f>
        <v/>
      </c>
      <c r="AX36" s="10">
        <f>AQ36</f>
        <v/>
      </c>
      <c r="AY36" s="10">
        <f>AT36*H36/G36</f>
        <v/>
      </c>
      <c r="AZ36" s="10">
        <f>J36/G36</f>
        <v/>
      </c>
      <c r="BA36" s="10">
        <f>AS36*N36</f>
        <v/>
      </c>
      <c r="BB36" s="10">
        <f>AR36*I36/G36</f>
        <v/>
      </c>
      <c r="BD36" s="10">
        <f>AV36-SUM(AX36:BB36)</f>
        <v/>
      </c>
    </row>
    <row r="37">
      <c r="B37" s="13" t="n"/>
      <c r="C37" s="12" t="inlineStr">
        <is>
          <t>CO2Captured</t>
        </is>
      </c>
      <c r="D37" s="12" t="n">
        <v>0.9</v>
      </c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4" t="n">
        <v>1.01</v>
      </c>
      <c r="P37" s="15" t="n">
        <v>73.71884</v>
      </c>
      <c r="Q37" s="15" t="n">
        <v>-4.302149</v>
      </c>
      <c r="R37" s="15" t="n">
        <v>21.021514</v>
      </c>
      <c r="S37" s="15" t="n">
        <v>9.044067999999999</v>
      </c>
      <c r="T37" s="16" t="n">
        <v>-126.225199</v>
      </c>
      <c r="U37" s="15" t="n">
        <v>10.321106</v>
      </c>
      <c r="W37" s="1">
        <f>B37</f>
        <v/>
      </c>
      <c r="X37" s="1">
        <f>C37</f>
        <v/>
      </c>
      <c r="Y37" s="11">
        <f>SUM(AB37:AI37)+AK37+AL37</f>
        <v/>
      </c>
      <c r="Z37" s="11">
        <f>SUM(AB37:AI37)+AN37+AO37</f>
        <v/>
      </c>
      <c r="AA37" s="5">
        <f>Y37-Z37</f>
        <v/>
      </c>
      <c r="AB37" s="5">
        <f>E37/G37*S37</f>
        <v/>
      </c>
      <c r="AC37" s="1">
        <f>F37/G37*R37</f>
        <v/>
      </c>
      <c r="AD37" s="1">
        <f>1/G37*(P37+Q37)</f>
        <v/>
      </c>
      <c r="AE37" s="1">
        <f>H37/G37*U37*-1</f>
        <v/>
      </c>
      <c r="AF37" s="1">
        <f>I37/G37*T37</f>
        <v/>
      </c>
      <c r="AG37" s="1">
        <f>K37/G37/(0.9*8760)</f>
        <v/>
      </c>
      <c r="AH37" s="1">
        <f>L37/G37/(0.9*8760)</f>
        <v/>
      </c>
      <c r="AI37" s="1">
        <f>M37</f>
        <v/>
      </c>
      <c r="AJ37" s="1">
        <f>AY37+AZ37+BB37</f>
        <v/>
      </c>
      <c r="AK37" s="1" t="n">
        <v>0</v>
      </c>
      <c r="AL37" s="1">
        <f>AJ37*P37</f>
        <v/>
      </c>
      <c r="AM37" s="1">
        <f>AY37+AZ37+BB37</f>
        <v/>
      </c>
      <c r="AN37" s="1" t="n">
        <v>0</v>
      </c>
      <c r="AO37" s="1">
        <f>AM37*P37</f>
        <v/>
      </c>
      <c r="AQ37" s="9">
        <f>$BG$3</f>
        <v/>
      </c>
      <c r="AR37" s="10">
        <f>$BG$4</f>
        <v/>
      </c>
      <c r="AS37" s="10" t="n">
        <v>3.1429329</v>
      </c>
      <c r="AT37" s="9">
        <f>$BG$5</f>
        <v/>
      </c>
      <c r="AV37" s="10">
        <f>1/G37</f>
        <v/>
      </c>
      <c r="AX37" s="10">
        <f>AQ37</f>
        <v/>
      </c>
      <c r="AY37" s="10">
        <f>AT37*H37/G37</f>
        <v/>
      </c>
      <c r="AZ37" s="10">
        <f>J37/G37</f>
        <v/>
      </c>
      <c r="BA37" s="10">
        <f>AS37*N37</f>
        <v/>
      </c>
      <c r="BB37" s="10">
        <f>AR37*I37/G37</f>
        <v/>
      </c>
      <c r="BD37" s="10">
        <f>AV37-SUM(AX37:BB37)</f>
        <v/>
      </c>
    </row>
    <row r="38">
      <c r="B38" s="13" t="n"/>
      <c r="C38" s="12" t="inlineStr">
        <is>
          <t>CO2Captured</t>
        </is>
      </c>
      <c r="D38" s="12" t="n">
        <v>0.9</v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24" t="n">
        <v>1.01</v>
      </c>
      <c r="P38" s="15" t="n">
        <v>73.71884</v>
      </c>
      <c r="Q38" s="15" t="n">
        <v>-4.302149</v>
      </c>
      <c r="R38" s="15" t="n">
        <v>21.021514</v>
      </c>
      <c r="S38" s="15" t="n">
        <v>9.044067999999999</v>
      </c>
      <c r="T38" s="16" t="n">
        <v>-126.225199</v>
      </c>
      <c r="U38" s="15" t="n">
        <v>10.321106</v>
      </c>
      <c r="W38" s="1">
        <f>B38</f>
        <v/>
      </c>
      <c r="X38" s="1">
        <f>C38</f>
        <v/>
      </c>
      <c r="Y38" s="11">
        <f>SUM(AB38:AI38)+AK38+AL38</f>
        <v/>
      </c>
      <c r="Z38" s="11">
        <f>SUM(AB38:AI38)+AN38+AO38</f>
        <v/>
      </c>
      <c r="AA38" s="5">
        <f>Y38-Z38</f>
        <v/>
      </c>
      <c r="AB38" s="5">
        <f>E38/G38*S38</f>
        <v/>
      </c>
      <c r="AC38" s="1">
        <f>F38/G38*R38</f>
        <v/>
      </c>
      <c r="AD38" s="1">
        <f>1/G38*(P38+Q38)</f>
        <v/>
      </c>
      <c r="AE38" s="1">
        <f>H38/G38*U38*-1</f>
        <v/>
      </c>
      <c r="AF38" s="1">
        <f>I38/G38*T38</f>
        <v/>
      </c>
      <c r="AG38" s="1">
        <f>K38/G38/(0.9*8760)</f>
        <v/>
      </c>
      <c r="AH38" s="1">
        <f>L38/G38/(0.9*8760)</f>
        <v/>
      </c>
      <c r="AI38" s="1">
        <f>M38</f>
        <v/>
      </c>
      <c r="AJ38" s="1">
        <f>AY38+AZ38+BB38</f>
        <v/>
      </c>
      <c r="AK38" s="1" t="n">
        <v>0</v>
      </c>
      <c r="AL38" s="1">
        <f>AJ38*P38</f>
        <v/>
      </c>
      <c r="AM38" s="1">
        <f>AY38+AZ38+BB38</f>
        <v/>
      </c>
      <c r="AN38" s="1" t="n">
        <v>0</v>
      </c>
      <c r="AO38" s="1">
        <f>AM38*P38</f>
        <v/>
      </c>
      <c r="AQ38" s="9">
        <f>$BG$3</f>
        <v/>
      </c>
      <c r="AR38" s="10">
        <f>$BG$4</f>
        <v/>
      </c>
      <c r="AS38" s="10" t="n">
        <v>3.1429329</v>
      </c>
      <c r="AT38" s="9">
        <f>$BG$5</f>
        <v/>
      </c>
      <c r="AV38" s="10">
        <f>1/G38</f>
        <v/>
      </c>
      <c r="AX38" s="10">
        <f>AQ38</f>
        <v/>
      </c>
      <c r="AY38" s="10">
        <f>AT38*H38/G38</f>
        <v/>
      </c>
      <c r="AZ38" s="10">
        <f>J38/G38</f>
        <v/>
      </c>
      <c r="BA38" s="10">
        <f>AS38*N38</f>
        <v/>
      </c>
      <c r="BB38" s="10">
        <f>AR38*I38/G38</f>
        <v/>
      </c>
      <c r="BD38" s="10">
        <f>AV38-SUM(AX38:BB38)</f>
        <v/>
      </c>
    </row>
    <row r="39">
      <c r="B39" s="13" t="n"/>
      <c r="C39" s="12" t="inlineStr">
        <is>
          <t>CO2Captured</t>
        </is>
      </c>
      <c r="D39" s="12" t="n">
        <v>0.9</v>
      </c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4" t="n">
        <v>1.01</v>
      </c>
      <c r="P39" s="15" t="n">
        <v>73.71884</v>
      </c>
      <c r="Q39" s="15" t="n">
        <v>-4.302149</v>
      </c>
      <c r="R39" s="15" t="n">
        <v>21.021514</v>
      </c>
      <c r="S39" s="15" t="n">
        <v>9.044067999999999</v>
      </c>
      <c r="T39" s="16" t="n">
        <v>-126.225199</v>
      </c>
      <c r="U39" s="15" t="n">
        <v>10.321106</v>
      </c>
      <c r="W39" s="1">
        <f>B39</f>
        <v/>
      </c>
      <c r="X39" s="1">
        <f>C39</f>
        <v/>
      </c>
      <c r="Y39" s="11">
        <f>SUM(AB39:AI39)+AK39+AL39</f>
        <v/>
      </c>
      <c r="Z39" s="11">
        <f>SUM(AB39:AI39)+AN39+AO39</f>
        <v/>
      </c>
      <c r="AA39" s="5">
        <f>Y39-Z39</f>
        <v/>
      </c>
      <c r="AB39" s="5">
        <f>E39/G39*S39</f>
        <v/>
      </c>
      <c r="AC39" s="1">
        <f>F39/G39*R39</f>
        <v/>
      </c>
      <c r="AD39" s="1">
        <f>1/G39*(P39+Q39)</f>
        <v/>
      </c>
      <c r="AE39" s="1">
        <f>H39/G39*U39*-1</f>
        <v/>
      </c>
      <c r="AF39" s="1">
        <f>I39/G39*T39</f>
        <v/>
      </c>
      <c r="AG39" s="1">
        <f>K39/G39/(0.9*8760)</f>
        <v/>
      </c>
      <c r="AH39" s="1">
        <f>L39/G39/(0.9*8760)</f>
        <v/>
      </c>
      <c r="AI39" s="1">
        <f>M39</f>
        <v/>
      </c>
      <c r="AJ39" s="1">
        <f>AY39+AZ39+BB39</f>
        <v/>
      </c>
      <c r="AK39" s="1" t="n">
        <v>0</v>
      </c>
      <c r="AL39" s="1">
        <f>AJ39*P39</f>
        <v/>
      </c>
      <c r="AM39" s="1">
        <f>AY39+AZ39+BB39</f>
        <v/>
      </c>
      <c r="AN39" s="1" t="n">
        <v>0</v>
      </c>
      <c r="AO39" s="1">
        <f>AM39*P39</f>
        <v/>
      </c>
      <c r="AQ39" s="9">
        <f>$BG$3</f>
        <v/>
      </c>
      <c r="AR39" s="10">
        <f>$BG$4</f>
        <v/>
      </c>
      <c r="AS39" s="10" t="n">
        <v>3.1429329</v>
      </c>
      <c r="AT39" s="9">
        <f>$BG$5</f>
        <v/>
      </c>
      <c r="AV39" s="10">
        <f>1/G39</f>
        <v/>
      </c>
      <c r="AX39" s="10">
        <f>AQ39</f>
        <v/>
      </c>
      <c r="AY39" s="10">
        <f>AT39*H39/G39</f>
        <v/>
      </c>
      <c r="AZ39" s="10">
        <f>J39/G39</f>
        <v/>
      </c>
      <c r="BA39" s="10">
        <f>AS39*N39</f>
        <v/>
      </c>
      <c r="BB39" s="10">
        <f>AR39*I39/G39</f>
        <v/>
      </c>
      <c r="BD39" s="10">
        <f>AV39-SUM(AX39:BB39)</f>
        <v/>
      </c>
    </row>
    <row r="40">
      <c r="B40" s="13" t="n"/>
      <c r="C40" s="12" t="inlineStr">
        <is>
          <t>CO2Captured</t>
        </is>
      </c>
      <c r="D40" s="12" t="n">
        <v>0.9</v>
      </c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4" t="n">
        <v>1.01</v>
      </c>
      <c r="P40" s="15" t="n">
        <v>73.71884</v>
      </c>
      <c r="Q40" s="15" t="n">
        <v>-4.302149</v>
      </c>
      <c r="R40" s="15" t="n">
        <v>21.021514</v>
      </c>
      <c r="S40" s="15" t="n">
        <v>9.044067999999999</v>
      </c>
      <c r="T40" s="16" t="n">
        <v>-126.225199</v>
      </c>
      <c r="U40" s="15" t="n">
        <v>10.321106</v>
      </c>
      <c r="W40" s="1">
        <f>B40</f>
        <v/>
      </c>
      <c r="X40" s="1">
        <f>C40</f>
        <v/>
      </c>
      <c r="Y40" s="11">
        <f>SUM(AB40:AI40)+AK40+AL40</f>
        <v/>
      </c>
      <c r="Z40" s="11">
        <f>SUM(AB40:AI40)+AN40+AO40</f>
        <v/>
      </c>
      <c r="AA40" s="5">
        <f>Y40-Z40</f>
        <v/>
      </c>
      <c r="AB40" s="5">
        <f>E40/G40*S40</f>
        <v/>
      </c>
      <c r="AC40" s="1">
        <f>F40/G40*R40</f>
        <v/>
      </c>
      <c r="AD40" s="1">
        <f>1/G40*(P40+Q40)</f>
        <v/>
      </c>
      <c r="AE40" s="1">
        <f>H40/G40*U40*-1</f>
        <v/>
      </c>
      <c r="AF40" s="1">
        <f>I40/G40*T40</f>
        <v/>
      </c>
      <c r="AG40" s="1">
        <f>K40/G40/(0.9*8760)</f>
        <v/>
      </c>
      <c r="AH40" s="1">
        <f>L40/G40/(0.9*8760)</f>
        <v/>
      </c>
      <c r="AI40" s="1">
        <f>M40</f>
        <v/>
      </c>
      <c r="AJ40" s="1">
        <f>AY40+AZ40+BB40</f>
        <v/>
      </c>
      <c r="AK40" s="1" t="n">
        <v>0</v>
      </c>
      <c r="AL40" s="1">
        <f>AJ40*P40</f>
        <v/>
      </c>
      <c r="AM40" s="1">
        <f>AY40+AZ40+BB40</f>
        <v/>
      </c>
      <c r="AN40" s="1" t="n">
        <v>0</v>
      </c>
      <c r="AO40" s="1">
        <f>AM40*P40</f>
        <v/>
      </c>
      <c r="AQ40" s="9">
        <f>$BG$3</f>
        <v/>
      </c>
      <c r="AR40" s="10">
        <f>$BG$4</f>
        <v/>
      </c>
      <c r="AS40" s="10" t="n">
        <v>3.1429329</v>
      </c>
      <c r="AT40" s="9">
        <f>$BG$5</f>
        <v/>
      </c>
      <c r="AV40" s="10">
        <f>1/G40</f>
        <v/>
      </c>
      <c r="AX40" s="10">
        <f>AQ40</f>
        <v/>
      </c>
      <c r="AY40" s="10">
        <f>AT40*H40/G40</f>
        <v/>
      </c>
      <c r="AZ40" s="10">
        <f>J40/G40</f>
        <v/>
      </c>
      <c r="BA40" s="10">
        <f>AS40*N40</f>
        <v/>
      </c>
      <c r="BB40" s="10">
        <f>AR40*I40/G40</f>
        <v/>
      </c>
      <c r="BD40" s="10">
        <f>AV40-SUM(AX40:BB40)</f>
        <v/>
      </c>
    </row>
    <row r="41">
      <c r="B41" s="13" t="n"/>
      <c r="C41" s="12" t="inlineStr">
        <is>
          <t>CO2Captured</t>
        </is>
      </c>
      <c r="D41" s="12" t="n">
        <v>0.9</v>
      </c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4" t="n">
        <v>1.01</v>
      </c>
      <c r="P41" s="15" t="n">
        <v>73.71884</v>
      </c>
      <c r="Q41" s="15" t="n">
        <v>-4.302149</v>
      </c>
      <c r="R41" s="15" t="n">
        <v>21.021514</v>
      </c>
      <c r="S41" s="15" t="n">
        <v>9.044067999999999</v>
      </c>
      <c r="T41" s="16" t="n">
        <v>-126.225199</v>
      </c>
      <c r="U41" s="15" t="n">
        <v>10.321106</v>
      </c>
      <c r="W41" s="1">
        <f>B41</f>
        <v/>
      </c>
      <c r="X41" s="1">
        <f>C41</f>
        <v/>
      </c>
      <c r="Y41" s="11">
        <f>SUM(AB41:AI41)+AK41+AL41</f>
        <v/>
      </c>
      <c r="Z41" s="11">
        <f>SUM(AB41:AI41)+AN41+AO41</f>
        <v/>
      </c>
      <c r="AA41" s="5">
        <f>Y41-Z41</f>
        <v/>
      </c>
      <c r="AB41" s="5">
        <f>E41/G41*S41</f>
        <v/>
      </c>
      <c r="AC41" s="1">
        <f>F41/G41*R41</f>
        <v/>
      </c>
      <c r="AD41" s="1">
        <f>1/G41*(P41+Q41)</f>
        <v/>
      </c>
      <c r="AE41" s="1">
        <f>H41/G41*U41*-1</f>
        <v/>
      </c>
      <c r="AF41" s="1">
        <f>I41/G41*T41</f>
        <v/>
      </c>
      <c r="AG41" s="1">
        <f>K41/G41/(0.9*8760)</f>
        <v/>
      </c>
      <c r="AH41" s="1">
        <f>L41/G41/(0.9*8760)</f>
        <v/>
      </c>
      <c r="AI41" s="1">
        <f>M41</f>
        <v/>
      </c>
      <c r="AJ41" s="1">
        <f>AY41+AZ41+BB41</f>
        <v/>
      </c>
      <c r="AK41" s="1" t="n">
        <v>0</v>
      </c>
      <c r="AL41" s="1">
        <f>AJ41*P41</f>
        <v/>
      </c>
      <c r="AM41" s="1">
        <f>AY41+AZ41+BB41</f>
        <v/>
      </c>
      <c r="AN41" s="1" t="n">
        <v>0</v>
      </c>
      <c r="AO41" s="1">
        <f>AM41*P41</f>
        <v/>
      </c>
      <c r="AQ41" s="9">
        <f>$BG$3</f>
        <v/>
      </c>
      <c r="AR41" s="10">
        <f>$BG$4</f>
        <v/>
      </c>
      <c r="AS41" s="10" t="n">
        <v>3.1429329</v>
      </c>
      <c r="AT41" s="9">
        <f>$BG$5</f>
        <v/>
      </c>
      <c r="AV41" s="10">
        <f>1/G41</f>
        <v/>
      </c>
      <c r="AX41" s="10">
        <f>AQ41</f>
        <v/>
      </c>
      <c r="AY41" s="10">
        <f>AT41*H41/G41</f>
        <v/>
      </c>
      <c r="AZ41" s="10">
        <f>J41/G41</f>
        <v/>
      </c>
      <c r="BA41" s="10">
        <f>AS41*N41</f>
        <v/>
      </c>
      <c r="BB41" s="10">
        <f>AR41*I41/G41</f>
        <v/>
      </c>
      <c r="BD41" s="10">
        <f>AV41-SUM(AX41:BB41)</f>
        <v/>
      </c>
    </row>
    <row r="42">
      <c r="B42" s="13" t="n"/>
      <c r="C42" s="12" t="inlineStr">
        <is>
          <t>CO2Captured</t>
        </is>
      </c>
      <c r="D42" s="12" t="n">
        <v>0.9</v>
      </c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24" t="n">
        <v>1.01</v>
      </c>
      <c r="P42" s="15" t="n">
        <v>73.71884</v>
      </c>
      <c r="Q42" s="15" t="n">
        <v>-4.302149</v>
      </c>
      <c r="R42" s="15" t="n">
        <v>21.021514</v>
      </c>
      <c r="S42" s="15" t="n">
        <v>9.044067999999999</v>
      </c>
      <c r="T42" s="16" t="n">
        <v>-126.225199</v>
      </c>
      <c r="U42" s="15" t="n">
        <v>10.321106</v>
      </c>
      <c r="W42" s="1">
        <f>B42</f>
        <v/>
      </c>
      <c r="X42" s="1">
        <f>C42</f>
        <v/>
      </c>
      <c r="Y42" s="11">
        <f>SUM(AB42:AI42)+AK42+AL42</f>
        <v/>
      </c>
      <c r="Z42" s="11">
        <f>SUM(AB42:AI42)+AN42+AO42</f>
        <v/>
      </c>
      <c r="AA42" s="5">
        <f>Y42-Z42</f>
        <v/>
      </c>
      <c r="AB42" s="5">
        <f>E42/G42*S42</f>
        <v/>
      </c>
      <c r="AC42" s="1">
        <f>F42/G42*R42</f>
        <v/>
      </c>
      <c r="AD42" s="1">
        <f>1/G42*(P42+Q42)</f>
        <v/>
      </c>
      <c r="AE42" s="1">
        <f>H42/G42*U42*-1</f>
        <v/>
      </c>
      <c r="AF42" s="1">
        <f>I42/G42*T42</f>
        <v/>
      </c>
      <c r="AG42" s="1">
        <f>K42/G42/(0.9*8760)</f>
        <v/>
      </c>
      <c r="AH42" s="1">
        <f>L42/G42/(0.9*8760)</f>
        <v/>
      </c>
      <c r="AI42" s="1">
        <f>M42</f>
        <v/>
      </c>
      <c r="AJ42" s="1">
        <f>AY42+AZ42+BB42</f>
        <v/>
      </c>
      <c r="AK42" s="1" t="n">
        <v>0</v>
      </c>
      <c r="AL42" s="1">
        <f>AJ42*P42</f>
        <v/>
      </c>
      <c r="AM42" s="1">
        <f>AY42+AZ42+BB42</f>
        <v/>
      </c>
      <c r="AN42" s="1" t="n">
        <v>0</v>
      </c>
      <c r="AO42" s="1">
        <f>AM42*P42</f>
        <v/>
      </c>
      <c r="AQ42" s="9">
        <f>$BG$3</f>
        <v/>
      </c>
      <c r="AR42" s="10">
        <f>$BG$4</f>
        <v/>
      </c>
      <c r="AS42" s="10" t="n">
        <v>3.1429329</v>
      </c>
      <c r="AT42" s="9">
        <f>$BG$5</f>
        <v/>
      </c>
      <c r="AV42" s="10">
        <f>1/G42</f>
        <v/>
      </c>
      <c r="AX42" s="10">
        <f>AQ42</f>
        <v/>
      </c>
      <c r="AY42" s="10">
        <f>AT42*H42/G42</f>
        <v/>
      </c>
      <c r="AZ42" s="10">
        <f>J42/G42</f>
        <v/>
      </c>
      <c r="BA42" s="10">
        <f>AS42*N42</f>
        <v/>
      </c>
      <c r="BB42" s="10">
        <f>AR42*I42/G42</f>
        <v/>
      </c>
      <c r="BD42" s="10">
        <f>AV42-SUM(AX42:BB42)</f>
        <v/>
      </c>
    </row>
    <row r="43">
      <c r="B43" s="13" t="n"/>
      <c r="C43" s="12" t="inlineStr">
        <is>
          <t>CO2Captured</t>
        </is>
      </c>
      <c r="D43" s="12" t="n">
        <v>0.9</v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24" t="n">
        <v>1.01</v>
      </c>
      <c r="P43" s="15" t="n">
        <v>73.71884</v>
      </c>
      <c r="Q43" s="15" t="n">
        <v>-4.302149</v>
      </c>
      <c r="R43" s="15" t="n">
        <v>21.021514</v>
      </c>
      <c r="S43" s="15" t="n">
        <v>9.044067999999999</v>
      </c>
      <c r="T43" s="16" t="n">
        <v>-126.225199</v>
      </c>
      <c r="U43" s="15" t="n">
        <v>10.321106</v>
      </c>
      <c r="W43" s="1">
        <f>B43</f>
        <v/>
      </c>
      <c r="X43" s="1">
        <f>C43</f>
        <v/>
      </c>
      <c r="Y43" s="11">
        <f>SUM(AB43:AI43)+AK43+AL43</f>
        <v/>
      </c>
      <c r="Z43" s="11">
        <f>SUM(AB43:AI43)+AN43+AO43</f>
        <v/>
      </c>
      <c r="AA43" s="5">
        <f>Y43-Z43</f>
        <v/>
      </c>
      <c r="AB43" s="5">
        <f>E43/G43*S43</f>
        <v/>
      </c>
      <c r="AC43" s="1">
        <f>F43/G43*R43</f>
        <v/>
      </c>
      <c r="AD43" s="1">
        <f>1/G43*(P43+Q43)</f>
        <v/>
      </c>
      <c r="AE43" s="1">
        <f>H43/G43*U43*-1</f>
        <v/>
      </c>
      <c r="AF43" s="1">
        <f>I43/G43*T43</f>
        <v/>
      </c>
      <c r="AG43" s="1">
        <f>K43/G43/(0.9*8760)</f>
        <v/>
      </c>
      <c r="AH43" s="1">
        <f>L43/G43/(0.9*8760)</f>
        <v/>
      </c>
      <c r="AI43" s="1">
        <f>M43</f>
        <v/>
      </c>
      <c r="AJ43" s="1">
        <f>AY43+AZ43+BB43</f>
        <v/>
      </c>
      <c r="AK43" s="1" t="n">
        <v>0</v>
      </c>
      <c r="AL43" s="1">
        <f>AJ43*P43</f>
        <v/>
      </c>
      <c r="AM43" s="1">
        <f>AY43+AZ43+BB43</f>
        <v/>
      </c>
      <c r="AN43" s="1" t="n">
        <v>0</v>
      </c>
      <c r="AO43" s="1">
        <f>AM43*P43</f>
        <v/>
      </c>
      <c r="AQ43" s="9">
        <f>$BG$3</f>
        <v/>
      </c>
      <c r="AR43" s="10">
        <f>$BG$4</f>
        <v/>
      </c>
      <c r="AS43" s="10" t="n">
        <v>3.1429329</v>
      </c>
      <c r="AT43" s="9">
        <f>$BG$5</f>
        <v/>
      </c>
      <c r="AV43" s="10">
        <f>1/G43</f>
        <v/>
      </c>
      <c r="AX43" s="10">
        <f>AQ43</f>
        <v/>
      </c>
      <c r="AY43" s="10">
        <f>AT43*H43/G43</f>
        <v/>
      </c>
      <c r="AZ43" s="10">
        <f>J43/G43</f>
        <v/>
      </c>
      <c r="BA43" s="10">
        <f>AS43*N43</f>
        <v/>
      </c>
      <c r="BB43" s="10">
        <f>AR43*I43/G43</f>
        <v/>
      </c>
      <c r="BD43" s="10">
        <f>AV43-SUM(AX43:BB43)</f>
        <v/>
      </c>
    </row>
    <row r="44">
      <c r="B44" s="13" t="n"/>
      <c r="C44" s="12" t="inlineStr">
        <is>
          <t>CO2Captured</t>
        </is>
      </c>
      <c r="D44" s="12" t="n">
        <v>0.9</v>
      </c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4" t="n">
        <v>1.01</v>
      </c>
      <c r="P44" s="15" t="n">
        <v>73.71884</v>
      </c>
      <c r="Q44" s="15" t="n">
        <v>-4.302149</v>
      </c>
      <c r="R44" s="15" t="n">
        <v>21.021514</v>
      </c>
      <c r="S44" s="15" t="n">
        <v>9.044067999999999</v>
      </c>
      <c r="T44" s="16" t="n">
        <v>-126.225199</v>
      </c>
      <c r="U44" s="15" t="n">
        <v>10.321106</v>
      </c>
      <c r="W44" s="1">
        <f>B44</f>
        <v/>
      </c>
      <c r="X44" s="1">
        <f>C44</f>
        <v/>
      </c>
      <c r="Y44" s="11">
        <f>SUM(AB44:AI44)+AK44+AL44</f>
        <v/>
      </c>
      <c r="Z44" s="11">
        <f>SUM(AB44:AI44)+AN44+AO44</f>
        <v/>
      </c>
      <c r="AA44" s="5">
        <f>Y44-Z44</f>
        <v/>
      </c>
      <c r="AB44" s="5">
        <f>E44/G44*S44</f>
        <v/>
      </c>
      <c r="AC44" s="1">
        <f>F44/G44*R44</f>
        <v/>
      </c>
      <c r="AD44" s="1">
        <f>1/G44*(P44+Q44)</f>
        <v/>
      </c>
      <c r="AE44" s="1">
        <f>H44/G44*U44*-1</f>
        <v/>
      </c>
      <c r="AF44" s="1">
        <f>I44/G44*T44</f>
        <v/>
      </c>
      <c r="AG44" s="1">
        <f>K44/G44/(0.9*8760)</f>
        <v/>
      </c>
      <c r="AH44" s="1">
        <f>L44/G44/(0.9*8760)</f>
        <v/>
      </c>
      <c r="AI44" s="1">
        <f>M44</f>
        <v/>
      </c>
      <c r="AJ44" s="1">
        <f>AY44+AZ44+BB44</f>
        <v/>
      </c>
      <c r="AK44" s="1" t="n">
        <v>0</v>
      </c>
      <c r="AL44" s="1">
        <f>AJ44*P44</f>
        <v/>
      </c>
      <c r="AM44" s="1">
        <f>AY44+AZ44+BB44</f>
        <v/>
      </c>
      <c r="AN44" s="1" t="n">
        <v>0</v>
      </c>
      <c r="AO44" s="1">
        <f>AM44*P44</f>
        <v/>
      </c>
      <c r="AQ44" s="9">
        <f>$BG$3</f>
        <v/>
      </c>
      <c r="AR44" s="10">
        <f>$BG$4</f>
        <v/>
      </c>
      <c r="AS44" s="10" t="n">
        <v>3.1429329</v>
      </c>
      <c r="AT44" s="9">
        <f>$BG$5</f>
        <v/>
      </c>
      <c r="AV44" s="10">
        <f>1/G44</f>
        <v/>
      </c>
      <c r="AX44" s="10">
        <f>AQ44</f>
        <v/>
      </c>
      <c r="AY44" s="10">
        <f>AT44*H44/G44</f>
        <v/>
      </c>
      <c r="AZ44" s="10">
        <f>J44/G44</f>
        <v/>
      </c>
      <c r="BA44" s="10">
        <f>AS44*N44</f>
        <v/>
      </c>
      <c r="BB44" s="10">
        <f>AR44*I44/G44</f>
        <v/>
      </c>
      <c r="BD44" s="10">
        <f>AV44-SUM(AX44:BB44)</f>
        <v/>
      </c>
    </row>
    <row r="45">
      <c r="B45" s="13" t="n"/>
      <c r="C45" s="12" t="inlineStr">
        <is>
          <t>CO2Captured</t>
        </is>
      </c>
      <c r="D45" s="12" t="n">
        <v>0.9</v>
      </c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24" t="n">
        <v>1.01</v>
      </c>
      <c r="P45" s="15" t="n">
        <v>73.71884</v>
      </c>
      <c r="Q45" s="15" t="n">
        <v>-4.302149</v>
      </c>
      <c r="R45" s="15" t="n">
        <v>21.021514</v>
      </c>
      <c r="S45" s="15" t="n">
        <v>9.044067999999999</v>
      </c>
      <c r="T45" s="16" t="n">
        <v>-126.225199</v>
      </c>
      <c r="U45" s="15" t="n">
        <v>10.321106</v>
      </c>
      <c r="W45" s="1">
        <f>B45</f>
        <v/>
      </c>
      <c r="X45" s="1">
        <f>C45</f>
        <v/>
      </c>
      <c r="Y45" s="11">
        <f>SUM(AB45:AI45)+AK45+AL45</f>
        <v/>
      </c>
      <c r="Z45" s="11">
        <f>SUM(AB45:AI45)+AN45+AO45</f>
        <v/>
      </c>
      <c r="AA45" s="5">
        <f>Y45-Z45</f>
        <v/>
      </c>
      <c r="AB45" s="5">
        <f>E45/G45*S45</f>
        <v/>
      </c>
      <c r="AC45" s="1">
        <f>F45/G45*R45</f>
        <v/>
      </c>
      <c r="AD45" s="1">
        <f>1/G45*(P45+Q45)</f>
        <v/>
      </c>
      <c r="AE45" s="1">
        <f>H45/G45*U45*-1</f>
        <v/>
      </c>
      <c r="AF45" s="1">
        <f>I45/G45*T45</f>
        <v/>
      </c>
      <c r="AG45" s="1">
        <f>K45/G45/(0.9*8760)</f>
        <v/>
      </c>
      <c r="AH45" s="1">
        <f>L45/G45/(0.9*8760)</f>
        <v/>
      </c>
      <c r="AI45" s="1">
        <f>M45</f>
        <v/>
      </c>
      <c r="AJ45" s="1">
        <f>AY45+AZ45+BB45</f>
        <v/>
      </c>
      <c r="AK45" s="1" t="n">
        <v>0</v>
      </c>
      <c r="AL45" s="1">
        <f>AJ45*P45</f>
        <v/>
      </c>
      <c r="AM45" s="1">
        <f>AY45+AZ45+BB45</f>
        <v/>
      </c>
      <c r="AN45" s="1" t="n">
        <v>0</v>
      </c>
      <c r="AO45" s="1">
        <f>AM45*P45</f>
        <v/>
      </c>
      <c r="AQ45" s="9">
        <f>$BG$3</f>
        <v/>
      </c>
      <c r="AR45" s="10">
        <f>$BG$4</f>
        <v/>
      </c>
      <c r="AS45" s="10" t="n">
        <v>3.1429329</v>
      </c>
      <c r="AT45" s="9">
        <f>$BG$5</f>
        <v/>
      </c>
      <c r="AV45" s="10">
        <f>1/G45</f>
        <v/>
      </c>
      <c r="AX45" s="10">
        <f>AQ45</f>
        <v/>
      </c>
      <c r="AY45" s="10">
        <f>AT45*H45/G45</f>
        <v/>
      </c>
      <c r="AZ45" s="10">
        <f>J45/G45</f>
        <v/>
      </c>
      <c r="BA45" s="10">
        <f>AS45*N45</f>
        <v/>
      </c>
      <c r="BB45" s="10">
        <f>AR45*I45/G45</f>
        <v/>
      </c>
      <c r="BD45" s="10">
        <f>AV45-SUM(AX45:BB45)</f>
        <v/>
      </c>
    </row>
    <row r="46">
      <c r="B46" s="13" t="n"/>
      <c r="C46" s="12" t="inlineStr">
        <is>
          <t>CO2Captured</t>
        </is>
      </c>
      <c r="D46" s="12" t="n">
        <v>0.9</v>
      </c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4" t="n">
        <v>1.01</v>
      </c>
      <c r="P46" s="15" t="n">
        <v>73.71884</v>
      </c>
      <c r="Q46" s="15" t="n">
        <v>-4.302149</v>
      </c>
      <c r="R46" s="15" t="n">
        <v>21.021514</v>
      </c>
      <c r="S46" s="15" t="n">
        <v>9.044067999999999</v>
      </c>
      <c r="T46" s="16" t="n">
        <v>-126.225199</v>
      </c>
      <c r="U46" s="15" t="n">
        <v>10.321106</v>
      </c>
      <c r="W46" s="1">
        <f>B46</f>
        <v/>
      </c>
      <c r="X46" s="1">
        <f>C46</f>
        <v/>
      </c>
      <c r="Y46" s="11">
        <f>SUM(AB46:AI46)+AK46+AL46</f>
        <v/>
      </c>
      <c r="Z46" s="11">
        <f>SUM(AB46:AI46)+AN46+AO46</f>
        <v/>
      </c>
      <c r="AA46" s="5">
        <f>Y46-Z46</f>
        <v/>
      </c>
      <c r="AB46" s="5">
        <f>E46/G46*S46</f>
        <v/>
      </c>
      <c r="AC46" s="1">
        <f>F46/G46*R46</f>
        <v/>
      </c>
      <c r="AD46" s="1">
        <f>1/G46*(P46+Q46)</f>
        <v/>
      </c>
      <c r="AE46" s="1">
        <f>H46/G46*U46*-1</f>
        <v/>
      </c>
      <c r="AF46" s="1">
        <f>I46/G46*T46</f>
        <v/>
      </c>
      <c r="AG46" s="1">
        <f>K46/G46/(0.9*8760)</f>
        <v/>
      </c>
      <c r="AH46" s="1">
        <f>L46/G46/(0.9*8760)</f>
        <v/>
      </c>
      <c r="AI46" s="1">
        <f>M46</f>
        <v/>
      </c>
      <c r="AJ46" s="1">
        <f>AY46+AZ46+BB46</f>
        <v/>
      </c>
      <c r="AK46" s="1" t="n">
        <v>0</v>
      </c>
      <c r="AL46" s="1">
        <f>AJ46*P46</f>
        <v/>
      </c>
      <c r="AM46" s="1">
        <f>AY46+AZ46+BB46</f>
        <v/>
      </c>
      <c r="AN46" s="1" t="n">
        <v>0</v>
      </c>
      <c r="AO46" s="1">
        <f>AM46*P46</f>
        <v/>
      </c>
      <c r="AQ46" s="9">
        <f>$BG$3</f>
        <v/>
      </c>
      <c r="AR46" s="10">
        <f>$BG$4</f>
        <v/>
      </c>
      <c r="AS46" s="10" t="n">
        <v>3.1429329</v>
      </c>
      <c r="AT46" s="9">
        <f>$BG$5</f>
        <v/>
      </c>
      <c r="AV46" s="10">
        <f>1/G46</f>
        <v/>
      </c>
      <c r="AX46" s="10">
        <f>AQ46</f>
        <v/>
      </c>
      <c r="AY46" s="10">
        <f>AT46*H46/G46</f>
        <v/>
      </c>
      <c r="AZ46" s="10">
        <f>J46/G46</f>
        <v/>
      </c>
      <c r="BA46" s="10">
        <f>AS46*N46</f>
        <v/>
      </c>
      <c r="BB46" s="10">
        <f>AR46*I46/G46</f>
        <v/>
      </c>
      <c r="BD46" s="10">
        <f>AV46-SUM(AX46:BB46)</f>
        <v/>
      </c>
    </row>
    <row r="47">
      <c r="B47" s="13" t="n"/>
      <c r="C47" s="12" t="inlineStr">
        <is>
          <t>CO2Captured</t>
        </is>
      </c>
      <c r="D47" s="12" t="n">
        <v>0.9</v>
      </c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24" t="n">
        <v>1.01</v>
      </c>
      <c r="P47" s="15" t="n">
        <v>73.71884</v>
      </c>
      <c r="Q47" s="15" t="n">
        <v>-4.302149</v>
      </c>
      <c r="R47" s="15" t="n">
        <v>21.021514</v>
      </c>
      <c r="S47" s="15" t="n">
        <v>9.044067999999999</v>
      </c>
      <c r="T47" s="16" t="n">
        <v>-126.225199</v>
      </c>
      <c r="U47" s="15" t="n">
        <v>10.321106</v>
      </c>
      <c r="W47" s="1">
        <f>B47</f>
        <v/>
      </c>
      <c r="X47" s="1">
        <f>C47</f>
        <v/>
      </c>
      <c r="Y47" s="11">
        <f>SUM(AB47:AI47)+AK47+AL47</f>
        <v/>
      </c>
      <c r="Z47" s="11">
        <f>SUM(AB47:AI47)+AN47+AO47</f>
        <v/>
      </c>
      <c r="AA47" s="5">
        <f>Y47-Z47</f>
        <v/>
      </c>
      <c r="AB47" s="5">
        <f>E47/G47*S47</f>
        <v/>
      </c>
      <c r="AC47" s="1">
        <f>F47/G47*R47</f>
        <v/>
      </c>
      <c r="AD47" s="1">
        <f>1/G47*(P47+Q47)</f>
        <v/>
      </c>
      <c r="AE47" s="1">
        <f>H47/G47*U47*-1</f>
        <v/>
      </c>
      <c r="AF47" s="1">
        <f>I47/G47*T47</f>
        <v/>
      </c>
      <c r="AG47" s="1">
        <f>K47/G47/(0.9*8760)</f>
        <v/>
      </c>
      <c r="AH47" s="1">
        <f>L47/G47/(0.9*8760)</f>
        <v/>
      </c>
      <c r="AI47" s="1">
        <f>M47</f>
        <v/>
      </c>
      <c r="AJ47" s="1">
        <f>AY47+AZ47+BB47</f>
        <v/>
      </c>
      <c r="AK47" s="1" t="n">
        <v>0</v>
      </c>
      <c r="AL47" s="1">
        <f>AJ47*P47</f>
        <v/>
      </c>
      <c r="AM47" s="1">
        <f>AY47+AZ47+BB47</f>
        <v/>
      </c>
      <c r="AN47" s="1" t="n">
        <v>0</v>
      </c>
      <c r="AO47" s="1">
        <f>AM47*P47</f>
        <v/>
      </c>
      <c r="AQ47" s="9">
        <f>$BG$3</f>
        <v/>
      </c>
      <c r="AR47" s="10">
        <f>$BG$4</f>
        <v/>
      </c>
      <c r="AS47" s="10" t="n">
        <v>3.1429329</v>
      </c>
      <c r="AT47" s="9">
        <f>$BG$5</f>
        <v/>
      </c>
      <c r="AV47" s="10">
        <f>1/G47</f>
        <v/>
      </c>
      <c r="AX47" s="10">
        <f>AQ47</f>
        <v/>
      </c>
      <c r="AY47" s="10">
        <f>AT47*H47/G47</f>
        <v/>
      </c>
      <c r="AZ47" s="10">
        <f>J47/G47</f>
        <v/>
      </c>
      <c r="BA47" s="10">
        <f>AS47*N47</f>
        <v/>
      </c>
      <c r="BB47" s="10">
        <f>AR47*I47/G47</f>
        <v/>
      </c>
      <c r="BD47" s="10">
        <f>AV47-SUM(AX47:BB47)</f>
        <v/>
      </c>
    </row>
    <row r="48">
      <c r="B48" s="13" t="n"/>
      <c r="C48" s="12" t="inlineStr">
        <is>
          <t>CO2Captured</t>
        </is>
      </c>
      <c r="D48" s="12" t="n">
        <v>0.9</v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24" t="n">
        <v>1.01</v>
      </c>
      <c r="P48" s="15" t="n">
        <v>73.71884</v>
      </c>
      <c r="Q48" s="15" t="n">
        <v>-4.302149</v>
      </c>
      <c r="R48" s="15" t="n">
        <v>21.021514</v>
      </c>
      <c r="S48" s="15" t="n">
        <v>9.044067999999999</v>
      </c>
      <c r="T48" s="16" t="n">
        <v>-126.225199</v>
      </c>
      <c r="U48" s="15" t="n">
        <v>10.321106</v>
      </c>
      <c r="W48" s="1">
        <f>B48</f>
        <v/>
      </c>
      <c r="X48" s="1">
        <f>C48</f>
        <v/>
      </c>
      <c r="Y48" s="11">
        <f>SUM(AB48:AI48)+AK48+AL48</f>
        <v/>
      </c>
      <c r="Z48" s="11">
        <f>SUM(AB48:AI48)+AN48+AO48</f>
        <v/>
      </c>
      <c r="AA48" s="5">
        <f>Y48-Z48</f>
        <v/>
      </c>
      <c r="AB48" s="5">
        <f>E48/G48*S48</f>
        <v/>
      </c>
      <c r="AC48" s="1">
        <f>F48/G48*R48</f>
        <v/>
      </c>
      <c r="AD48" s="1">
        <f>1/G48*(P48+Q48)</f>
        <v/>
      </c>
      <c r="AE48" s="1">
        <f>H48/G48*U48*-1</f>
        <v/>
      </c>
      <c r="AF48" s="1">
        <f>I48/G48*T48</f>
        <v/>
      </c>
      <c r="AG48" s="1">
        <f>K48/G48/(0.9*8760)</f>
        <v/>
      </c>
      <c r="AH48" s="1">
        <f>L48/G48/(0.9*8760)</f>
        <v/>
      </c>
      <c r="AI48" s="1">
        <f>M48</f>
        <v/>
      </c>
      <c r="AJ48" s="1">
        <f>AY48+AZ48+BB48</f>
        <v/>
      </c>
      <c r="AK48" s="1" t="n">
        <v>0</v>
      </c>
      <c r="AL48" s="1">
        <f>AJ48*P48</f>
        <v/>
      </c>
      <c r="AM48" s="1">
        <f>AY48+AZ48+BB48</f>
        <v/>
      </c>
      <c r="AN48" s="1" t="n">
        <v>0</v>
      </c>
      <c r="AO48" s="1">
        <f>AM48*P48</f>
        <v/>
      </c>
      <c r="AQ48" s="9">
        <f>$BG$3</f>
        <v/>
      </c>
      <c r="AR48" s="10">
        <f>$BG$4</f>
        <v/>
      </c>
      <c r="AS48" s="10" t="n">
        <v>3.1429329</v>
      </c>
      <c r="AT48" s="9">
        <f>$BG$5</f>
        <v/>
      </c>
      <c r="AV48" s="10">
        <f>1/G48</f>
        <v/>
      </c>
      <c r="AX48" s="10">
        <f>AQ48</f>
        <v/>
      </c>
      <c r="AY48" s="10">
        <f>AT48*H48/G48</f>
        <v/>
      </c>
      <c r="AZ48" s="10">
        <f>J48/G48</f>
        <v/>
      </c>
      <c r="BA48" s="10">
        <f>AS48*N48</f>
        <v/>
      </c>
      <c r="BB48" s="10">
        <f>AR48*I48/G48</f>
        <v/>
      </c>
      <c r="BD48" s="10">
        <f>AV48-SUM(AX48:BB48)</f>
        <v/>
      </c>
    </row>
    <row r="49">
      <c r="B49" s="13" t="n"/>
      <c r="C49" s="12" t="inlineStr">
        <is>
          <t>CO2Captured</t>
        </is>
      </c>
      <c r="D49" s="12" t="n">
        <v>0.9</v>
      </c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24" t="n">
        <v>1.01</v>
      </c>
      <c r="P49" s="15" t="n">
        <v>73.71884</v>
      </c>
      <c r="Q49" s="15" t="n">
        <v>-4.302149</v>
      </c>
      <c r="R49" s="15" t="n">
        <v>21.021514</v>
      </c>
      <c r="S49" s="15" t="n">
        <v>9.044067999999999</v>
      </c>
      <c r="T49" s="16" t="n">
        <v>-126.225199</v>
      </c>
      <c r="U49" s="15" t="n">
        <v>10.321106</v>
      </c>
      <c r="W49" s="1">
        <f>B49</f>
        <v/>
      </c>
      <c r="X49" s="1">
        <f>C49</f>
        <v/>
      </c>
      <c r="Y49" s="11">
        <f>SUM(AB49:AI49)+AK49+AL49</f>
        <v/>
      </c>
      <c r="Z49" s="11">
        <f>SUM(AB49:AI49)+AN49+AO49</f>
        <v/>
      </c>
      <c r="AA49" s="5">
        <f>Y49-Z49</f>
        <v/>
      </c>
      <c r="AB49" s="5">
        <f>E49/G49*S49</f>
        <v/>
      </c>
      <c r="AC49" s="1">
        <f>F49/G49*R49</f>
        <v/>
      </c>
      <c r="AD49" s="1">
        <f>1/G49*(P49+Q49)</f>
        <v/>
      </c>
      <c r="AE49" s="1">
        <f>H49/G49*U49*-1</f>
        <v/>
      </c>
      <c r="AF49" s="1">
        <f>I49/G49*T49</f>
        <v/>
      </c>
      <c r="AG49" s="1">
        <f>K49/G49/(0.9*8760)</f>
        <v/>
      </c>
      <c r="AH49" s="1">
        <f>L49/G49/(0.9*8760)</f>
        <v/>
      </c>
      <c r="AI49" s="1">
        <f>M49</f>
        <v/>
      </c>
      <c r="AJ49" s="1">
        <f>AY49+AZ49+BB49</f>
        <v/>
      </c>
      <c r="AK49" s="1" t="n">
        <v>0</v>
      </c>
      <c r="AL49" s="1">
        <f>AJ49*P49</f>
        <v/>
      </c>
      <c r="AM49" s="1">
        <f>AY49+AZ49+BB49</f>
        <v/>
      </c>
      <c r="AN49" s="1" t="n">
        <v>0</v>
      </c>
      <c r="AO49" s="1">
        <f>AM49*P49</f>
        <v/>
      </c>
      <c r="AQ49" s="9">
        <f>$BG$3</f>
        <v/>
      </c>
      <c r="AR49" s="10">
        <f>$BG$4</f>
        <v/>
      </c>
      <c r="AS49" s="10" t="n">
        <v>3.1429329</v>
      </c>
      <c r="AT49" s="9">
        <f>$BG$5</f>
        <v/>
      </c>
      <c r="AV49" s="10">
        <f>1/G49</f>
        <v/>
      </c>
      <c r="AX49" s="10">
        <f>AQ49</f>
        <v/>
      </c>
      <c r="AY49" s="10">
        <f>AT49*H49/G49</f>
        <v/>
      </c>
      <c r="AZ49" s="10">
        <f>J49/G49</f>
        <v/>
      </c>
      <c r="BA49" s="10">
        <f>AS49*N49</f>
        <v/>
      </c>
      <c r="BB49" s="10">
        <f>AR49*I49/G49</f>
        <v/>
      </c>
      <c r="BD49" s="10">
        <f>AV49-SUM(AX49:BB49)</f>
        <v/>
      </c>
    </row>
    <row r="50">
      <c r="B50" s="13" t="n"/>
      <c r="C50" s="12" t="inlineStr">
        <is>
          <t>CO2Captured</t>
        </is>
      </c>
      <c r="D50" s="12" t="n">
        <v>0.9</v>
      </c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4" t="n">
        <v>1.01</v>
      </c>
      <c r="P50" s="15" t="n">
        <v>73.71884</v>
      </c>
      <c r="Q50" s="15" t="n">
        <v>-4.302149</v>
      </c>
      <c r="R50" s="15" t="n">
        <v>21.021514</v>
      </c>
      <c r="S50" s="15" t="n">
        <v>9.044067999999999</v>
      </c>
      <c r="T50" s="16" t="n">
        <v>-126.225199</v>
      </c>
      <c r="U50" s="15" t="n">
        <v>10.321106</v>
      </c>
      <c r="W50" s="1">
        <f>B50</f>
        <v/>
      </c>
      <c r="X50" s="1">
        <f>C50</f>
        <v/>
      </c>
      <c r="Y50" s="11">
        <f>SUM(AB50:AI50)+AK50+AL50</f>
        <v/>
      </c>
      <c r="Z50" s="11">
        <f>SUM(AB50:AI50)+AN50+AO50</f>
        <v/>
      </c>
      <c r="AA50" s="5">
        <f>Y50-Z50</f>
        <v/>
      </c>
      <c r="AB50" s="5">
        <f>E50/G50*S50</f>
        <v/>
      </c>
      <c r="AC50" s="1">
        <f>F50/G50*R50</f>
        <v/>
      </c>
      <c r="AD50" s="1">
        <f>1/G50*(P50+Q50)</f>
        <v/>
      </c>
      <c r="AE50" s="1">
        <f>H50/G50*U50*-1</f>
        <v/>
      </c>
      <c r="AF50" s="1">
        <f>I50/G50*T50</f>
        <v/>
      </c>
      <c r="AG50" s="1">
        <f>K50/G50/(0.9*8760)</f>
        <v/>
      </c>
      <c r="AH50" s="1">
        <f>L50/G50/(0.9*8760)</f>
        <v/>
      </c>
      <c r="AI50" s="1">
        <f>M50</f>
        <v/>
      </c>
      <c r="AJ50" s="1">
        <f>AY50+AZ50+BB50</f>
        <v/>
      </c>
      <c r="AK50" s="1" t="n">
        <v>0</v>
      </c>
      <c r="AL50" s="1">
        <f>AJ50*P50</f>
        <v/>
      </c>
      <c r="AM50" s="1">
        <f>AY50+AZ50+BB50</f>
        <v/>
      </c>
      <c r="AN50" s="1" t="n">
        <v>0</v>
      </c>
      <c r="AO50" s="1">
        <f>AM50*P50</f>
        <v/>
      </c>
      <c r="AQ50" s="9">
        <f>$BG$3</f>
        <v/>
      </c>
      <c r="AR50" s="10">
        <f>$BG$4</f>
        <v/>
      </c>
      <c r="AS50" s="10" t="n">
        <v>3.1429329</v>
      </c>
      <c r="AT50" s="9">
        <f>$BG$5</f>
        <v/>
      </c>
      <c r="AV50" s="10">
        <f>1/G50</f>
        <v/>
      </c>
      <c r="AX50" s="10">
        <f>AQ50</f>
        <v/>
      </c>
      <c r="AY50" s="10">
        <f>AT50*H50/G50</f>
        <v/>
      </c>
      <c r="AZ50" s="10">
        <f>J50/G50</f>
        <v/>
      </c>
      <c r="BA50" s="10">
        <f>AS50*N50</f>
        <v/>
      </c>
      <c r="BB50" s="10">
        <f>AR50*I50/G50</f>
        <v/>
      </c>
      <c r="BD50" s="10">
        <f>AV50-SUM(AX50:BB50)</f>
        <v/>
      </c>
    </row>
    <row r="51">
      <c r="B51" s="13" t="n"/>
      <c r="C51" s="12" t="inlineStr">
        <is>
          <t>CO2Captured</t>
        </is>
      </c>
      <c r="D51" s="12" t="n">
        <v>0.9</v>
      </c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24" t="n">
        <v>1.01</v>
      </c>
      <c r="P51" s="15" t="n">
        <v>73.71884</v>
      </c>
      <c r="Q51" s="15" t="n">
        <v>-4.302149</v>
      </c>
      <c r="R51" s="15" t="n">
        <v>21.021514</v>
      </c>
      <c r="S51" s="15" t="n">
        <v>9.044067999999999</v>
      </c>
      <c r="T51" s="16" t="n">
        <v>-126.225199</v>
      </c>
      <c r="U51" s="15" t="n">
        <v>10.321106</v>
      </c>
      <c r="W51" s="1">
        <f>B51</f>
        <v/>
      </c>
      <c r="X51" s="1">
        <f>C51</f>
        <v/>
      </c>
      <c r="Y51" s="11">
        <f>SUM(AB51:AI51)+AK51+AL51</f>
        <v/>
      </c>
      <c r="Z51" s="11">
        <f>SUM(AB51:AI51)+AN51+AO51</f>
        <v/>
      </c>
      <c r="AA51" s="5">
        <f>Y51-Z51</f>
        <v/>
      </c>
      <c r="AB51" s="5">
        <f>E51/G51*S51</f>
        <v/>
      </c>
      <c r="AC51" s="1">
        <f>F51/G51*R51</f>
        <v/>
      </c>
      <c r="AD51" s="1">
        <f>1/G51*(P51+Q51)</f>
        <v/>
      </c>
      <c r="AE51" s="1">
        <f>H51/G51*U51*-1</f>
        <v/>
      </c>
      <c r="AF51" s="1">
        <f>I51/G51*T51</f>
        <v/>
      </c>
      <c r="AG51" s="1">
        <f>K51/G51/(0.9*8760)</f>
        <v/>
      </c>
      <c r="AH51" s="1">
        <f>L51/G51/(0.9*8760)</f>
        <v/>
      </c>
      <c r="AI51" s="1">
        <f>M51</f>
        <v/>
      </c>
      <c r="AJ51" s="1">
        <f>AY51+AZ51+BB51</f>
        <v/>
      </c>
      <c r="AK51" s="1" t="n">
        <v>0</v>
      </c>
      <c r="AL51" s="1">
        <f>AJ51*P51</f>
        <v/>
      </c>
      <c r="AM51" s="1">
        <f>AY51+AZ51+BB51</f>
        <v/>
      </c>
      <c r="AN51" s="1" t="n">
        <v>0</v>
      </c>
      <c r="AO51" s="1">
        <f>AM51*P51</f>
        <v/>
      </c>
      <c r="AQ51" s="9">
        <f>$BG$3</f>
        <v/>
      </c>
      <c r="AR51" s="10">
        <f>$BG$4</f>
        <v/>
      </c>
      <c r="AS51" s="10" t="n">
        <v>3.1429329</v>
      </c>
      <c r="AT51" s="9">
        <f>$BG$5</f>
        <v/>
      </c>
      <c r="AV51" s="10">
        <f>1/G51</f>
        <v/>
      </c>
      <c r="AX51" s="10">
        <f>AQ51</f>
        <v/>
      </c>
      <c r="AY51" s="10">
        <f>AT51*H51/G51</f>
        <v/>
      </c>
      <c r="AZ51" s="10">
        <f>J51/G51</f>
        <v/>
      </c>
      <c r="BA51" s="10">
        <f>AS51*N51</f>
        <v/>
      </c>
      <c r="BB51" s="10">
        <f>AR51*I51/G51</f>
        <v/>
      </c>
      <c r="BD51" s="10">
        <f>AV51-SUM(AX51:BB51)</f>
        <v/>
      </c>
    </row>
    <row r="52">
      <c r="B52" s="13" t="n"/>
      <c r="C52" s="12" t="inlineStr">
        <is>
          <t>CO2Captured</t>
        </is>
      </c>
      <c r="D52" s="12" t="n">
        <v>0.9</v>
      </c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24" t="n">
        <v>1.01</v>
      </c>
      <c r="P52" s="15" t="n">
        <v>73.71884</v>
      </c>
      <c r="Q52" s="15" t="n">
        <v>-4.302149</v>
      </c>
      <c r="R52" s="15" t="n">
        <v>21.021514</v>
      </c>
      <c r="S52" s="15" t="n">
        <v>9.044067999999999</v>
      </c>
      <c r="T52" s="16" t="n">
        <v>-126.225199</v>
      </c>
      <c r="U52" s="15" t="n">
        <v>10.321106</v>
      </c>
      <c r="W52" s="1">
        <f>B52</f>
        <v/>
      </c>
      <c r="X52" s="1">
        <f>C52</f>
        <v/>
      </c>
      <c r="Y52" s="11">
        <f>SUM(AB52:AI52)+AK52+AL52</f>
        <v/>
      </c>
      <c r="Z52" s="11">
        <f>SUM(AB52:AI52)+AN52+AO52</f>
        <v/>
      </c>
      <c r="AA52" s="5">
        <f>Y52-Z52</f>
        <v/>
      </c>
      <c r="AB52" s="5">
        <f>E52/G52*S52</f>
        <v/>
      </c>
      <c r="AC52" s="1">
        <f>F52/G52*R52</f>
        <v/>
      </c>
      <c r="AD52" s="1">
        <f>1/G52*(P52+Q52)</f>
        <v/>
      </c>
      <c r="AE52" s="1">
        <f>H52/G52*U52*-1</f>
        <v/>
      </c>
      <c r="AF52" s="1">
        <f>I52/G52*T52</f>
        <v/>
      </c>
      <c r="AG52" s="1">
        <f>K52/G52/(0.9*8760)</f>
        <v/>
      </c>
      <c r="AH52" s="1">
        <f>L52/G52/(0.9*8760)</f>
        <v/>
      </c>
      <c r="AI52" s="1">
        <f>M52</f>
        <v/>
      </c>
      <c r="AJ52" s="1">
        <f>AY52+AZ52+BB52</f>
        <v/>
      </c>
      <c r="AK52" s="1" t="n">
        <v>0</v>
      </c>
      <c r="AL52" s="1">
        <f>AJ52*P52</f>
        <v/>
      </c>
      <c r="AM52" s="1">
        <f>AY52+AZ52+BB52</f>
        <v/>
      </c>
      <c r="AN52" s="1" t="n">
        <v>0</v>
      </c>
      <c r="AO52" s="1">
        <f>AM52*P52</f>
        <v/>
      </c>
      <c r="AQ52" s="9">
        <f>$BG$3</f>
        <v/>
      </c>
      <c r="AR52" s="10">
        <f>$BG$4</f>
        <v/>
      </c>
      <c r="AS52" s="10" t="n">
        <v>3.1429329</v>
      </c>
      <c r="AT52" s="9">
        <f>$BG$5</f>
        <v/>
      </c>
      <c r="AV52" s="10">
        <f>1/G52</f>
        <v/>
      </c>
      <c r="AX52" s="10">
        <f>AQ52</f>
        <v/>
      </c>
      <c r="AY52" s="10">
        <f>AT52*H52/G52</f>
        <v/>
      </c>
      <c r="AZ52" s="10">
        <f>J52/G52</f>
        <v/>
      </c>
      <c r="BA52" s="10">
        <f>AS52*N52</f>
        <v/>
      </c>
      <c r="BB52" s="10">
        <f>AR52*I52/G52</f>
        <v/>
      </c>
      <c r="BD52" s="10">
        <f>AV52-SUM(AX52:BB52)</f>
        <v/>
      </c>
    </row>
    <row r="53">
      <c r="B53" s="13" t="n"/>
      <c r="C53" s="12" t="inlineStr">
        <is>
          <t>CO2Captured</t>
        </is>
      </c>
      <c r="D53" s="12" t="n">
        <v>0.9</v>
      </c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24" t="n">
        <v>1.01</v>
      </c>
      <c r="P53" s="15" t="n">
        <v>73.71884</v>
      </c>
      <c r="Q53" s="15" t="n">
        <v>-4.302149</v>
      </c>
      <c r="R53" s="15" t="n">
        <v>21.021514</v>
      </c>
      <c r="S53" s="15" t="n">
        <v>9.044067999999999</v>
      </c>
      <c r="T53" s="16" t="n">
        <v>-126.225199</v>
      </c>
      <c r="U53" s="15" t="n">
        <v>10.321106</v>
      </c>
      <c r="W53" s="1">
        <f>B53</f>
        <v/>
      </c>
      <c r="X53" s="1">
        <f>C53</f>
        <v/>
      </c>
      <c r="Y53" s="11">
        <f>SUM(AB53:AI53)+AK53+AL53</f>
        <v/>
      </c>
      <c r="Z53" s="11">
        <f>SUM(AB53:AI53)+AN53+AO53</f>
        <v/>
      </c>
      <c r="AA53" s="5">
        <f>Y53-Z53</f>
        <v/>
      </c>
      <c r="AB53" s="5">
        <f>E53/G53*S53</f>
        <v/>
      </c>
      <c r="AC53" s="1">
        <f>F53/G53*R53</f>
        <v/>
      </c>
      <c r="AD53" s="1">
        <f>1/G53*(P53+Q53)</f>
        <v/>
      </c>
      <c r="AE53" s="1">
        <f>H53/G53*U53*-1</f>
        <v/>
      </c>
      <c r="AF53" s="1">
        <f>I53/G53*T53</f>
        <v/>
      </c>
      <c r="AG53" s="1">
        <f>K53/G53/(0.9*8760)</f>
        <v/>
      </c>
      <c r="AH53" s="1">
        <f>L53/G53/(0.9*8760)</f>
        <v/>
      </c>
      <c r="AI53" s="1">
        <f>M53</f>
        <v/>
      </c>
      <c r="AJ53" s="1">
        <f>AY53+AZ53+BB53</f>
        <v/>
      </c>
      <c r="AK53" s="1" t="n">
        <v>0</v>
      </c>
      <c r="AL53" s="1">
        <f>AJ53*P53</f>
        <v/>
      </c>
      <c r="AM53" s="1">
        <f>AY53+AZ53+BB53</f>
        <v/>
      </c>
      <c r="AN53" s="1" t="n">
        <v>0</v>
      </c>
      <c r="AO53" s="1">
        <f>AM53*P53</f>
        <v/>
      </c>
      <c r="AQ53" s="9">
        <f>$BG$3</f>
        <v/>
      </c>
      <c r="AR53" s="10">
        <f>$BG$4</f>
        <v/>
      </c>
      <c r="AS53" s="10" t="n">
        <v>3.1429329</v>
      </c>
      <c r="AT53" s="9">
        <f>$BG$5</f>
        <v/>
      </c>
      <c r="AV53" s="10">
        <f>1/G53</f>
        <v/>
      </c>
      <c r="AX53" s="10">
        <f>AQ53</f>
        <v/>
      </c>
      <c r="AY53" s="10">
        <f>AT53*H53/G53</f>
        <v/>
      </c>
      <c r="AZ53" s="10">
        <f>J53/G53</f>
        <v/>
      </c>
      <c r="BA53" s="10">
        <f>AS53*N53</f>
        <v/>
      </c>
      <c r="BB53" s="10">
        <f>AR53*I53/G53</f>
        <v/>
      </c>
      <c r="BD53" s="10">
        <f>AV53-SUM(AX53:BB53)</f>
        <v/>
      </c>
    </row>
    <row r="54">
      <c r="B54" s="13" t="n"/>
      <c r="C54" s="12" t="inlineStr">
        <is>
          <t>CO2Captured</t>
        </is>
      </c>
      <c r="D54" s="12" t="n">
        <v>0.9</v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4" t="n">
        <v>1.01</v>
      </c>
      <c r="P54" s="15" t="n">
        <v>73.71884</v>
      </c>
      <c r="Q54" s="15" t="n">
        <v>-4.302149</v>
      </c>
      <c r="R54" s="15" t="n">
        <v>21.021514</v>
      </c>
      <c r="S54" s="15" t="n">
        <v>9.044067999999999</v>
      </c>
      <c r="T54" s="16" t="n">
        <v>-126.225199</v>
      </c>
      <c r="U54" s="15" t="n">
        <v>10.321106</v>
      </c>
      <c r="W54" s="1">
        <f>B54</f>
        <v/>
      </c>
      <c r="X54" s="1">
        <f>C54</f>
        <v/>
      </c>
      <c r="Y54" s="11">
        <f>SUM(AB54:AI54)+AK54+AL54</f>
        <v/>
      </c>
      <c r="Z54" s="11">
        <f>SUM(AB54:AI54)+AN54+AO54</f>
        <v/>
      </c>
      <c r="AA54" s="5">
        <f>Y54-Z54</f>
        <v/>
      </c>
      <c r="AB54" s="5">
        <f>E54/G54*S54</f>
        <v/>
      </c>
      <c r="AC54" s="1">
        <f>F54/G54*R54</f>
        <v/>
      </c>
      <c r="AD54" s="1">
        <f>1/G54*(P54+Q54)</f>
        <v/>
      </c>
      <c r="AE54" s="1">
        <f>H54/G54*U54*-1</f>
        <v/>
      </c>
      <c r="AF54" s="1">
        <f>I54/G54*T54</f>
        <v/>
      </c>
      <c r="AG54" s="1">
        <f>K54/G54/(0.9*8760)</f>
        <v/>
      </c>
      <c r="AH54" s="1">
        <f>L54/G54/(0.9*8760)</f>
        <v/>
      </c>
      <c r="AI54" s="1">
        <f>M54</f>
        <v/>
      </c>
      <c r="AJ54" s="1">
        <f>AY54+AZ54+BB54</f>
        <v/>
      </c>
      <c r="AK54" s="1" t="n">
        <v>0</v>
      </c>
      <c r="AL54" s="1">
        <f>AJ54*P54</f>
        <v/>
      </c>
      <c r="AM54" s="1">
        <f>AY54+AZ54+BB54</f>
        <v/>
      </c>
      <c r="AN54" s="1" t="n">
        <v>0</v>
      </c>
      <c r="AO54" s="1">
        <f>AM54*P54</f>
        <v/>
      </c>
      <c r="AQ54" s="9">
        <f>$BG$3</f>
        <v/>
      </c>
      <c r="AR54" s="10">
        <f>$BG$4</f>
        <v/>
      </c>
      <c r="AS54" s="10" t="n">
        <v>3.1429329</v>
      </c>
      <c r="AT54" s="9">
        <f>$BG$5</f>
        <v/>
      </c>
      <c r="AV54" s="10">
        <f>1/G54</f>
        <v/>
      </c>
      <c r="AX54" s="10">
        <f>AQ54</f>
        <v/>
      </c>
      <c r="AY54" s="10">
        <f>AT54*H54/G54</f>
        <v/>
      </c>
      <c r="AZ54" s="10">
        <f>J54/G54</f>
        <v/>
      </c>
      <c r="BA54" s="10">
        <f>AS54*N54</f>
        <v/>
      </c>
      <c r="BB54" s="10">
        <f>AR54*I54/G54</f>
        <v/>
      </c>
      <c r="BD54" s="10">
        <f>AV54-SUM(AX54:BB54)</f>
        <v/>
      </c>
    </row>
    <row r="55">
      <c r="B55" s="13" t="n"/>
      <c r="C55" s="12" t="inlineStr">
        <is>
          <t>CO2Captured</t>
        </is>
      </c>
      <c r="D55" s="12" t="n">
        <v>0.9</v>
      </c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24" t="n">
        <v>1.01</v>
      </c>
      <c r="P55" s="15" t="n">
        <v>73.71884</v>
      </c>
      <c r="Q55" s="15" t="n">
        <v>-4.302149</v>
      </c>
      <c r="R55" s="15" t="n">
        <v>21.021514</v>
      </c>
      <c r="S55" s="15" t="n">
        <v>9.044067999999999</v>
      </c>
      <c r="T55" s="16" t="n">
        <v>-126.225199</v>
      </c>
      <c r="U55" s="15" t="n">
        <v>10.321106</v>
      </c>
      <c r="W55" s="1">
        <f>B55</f>
        <v/>
      </c>
      <c r="X55" s="1">
        <f>C55</f>
        <v/>
      </c>
      <c r="Y55" s="11">
        <f>SUM(AB55:AI55)+AK55+AL55</f>
        <v/>
      </c>
      <c r="Z55" s="11">
        <f>SUM(AB55:AI55)+AN55+AO55</f>
        <v/>
      </c>
      <c r="AA55" s="5">
        <f>Y55-Z55</f>
        <v/>
      </c>
      <c r="AB55" s="5">
        <f>E55/G55*S55</f>
        <v/>
      </c>
      <c r="AC55" s="1">
        <f>F55/G55*R55</f>
        <v/>
      </c>
      <c r="AD55" s="1">
        <f>1/G55*(P55+Q55)</f>
        <v/>
      </c>
      <c r="AE55" s="1">
        <f>H55/G55*U55*-1</f>
        <v/>
      </c>
      <c r="AF55" s="1">
        <f>I55/G55*T55</f>
        <v/>
      </c>
      <c r="AG55" s="1">
        <f>K55/G55/(0.9*8760)</f>
        <v/>
      </c>
      <c r="AH55" s="1">
        <f>L55/G55/(0.9*8760)</f>
        <v/>
      </c>
      <c r="AI55" s="1">
        <f>M55</f>
        <v/>
      </c>
      <c r="AJ55" s="1">
        <f>AY55+AZ55+BB55</f>
        <v/>
      </c>
      <c r="AK55" s="1" t="n">
        <v>0</v>
      </c>
      <c r="AL55" s="1">
        <f>AJ55*P55</f>
        <v/>
      </c>
      <c r="AM55" s="1">
        <f>AY55+AZ55+BB55</f>
        <v/>
      </c>
      <c r="AN55" s="1" t="n">
        <v>0</v>
      </c>
      <c r="AO55" s="1">
        <f>AM55*P55</f>
        <v/>
      </c>
      <c r="AQ55" s="9">
        <f>$BG$3</f>
        <v/>
      </c>
      <c r="AR55" s="10">
        <f>$BG$4</f>
        <v/>
      </c>
      <c r="AS55" s="10" t="n">
        <v>3.1429329</v>
      </c>
      <c r="AT55" s="9">
        <f>$BG$5</f>
        <v/>
      </c>
      <c r="AV55" s="10">
        <f>1/G55</f>
        <v/>
      </c>
      <c r="AX55" s="10">
        <f>AQ55</f>
        <v/>
      </c>
      <c r="AY55" s="10">
        <f>AT55*H55/G55</f>
        <v/>
      </c>
      <c r="AZ55" s="10">
        <f>J55/G55</f>
        <v/>
      </c>
      <c r="BA55" s="10">
        <f>AS55*N55</f>
        <v/>
      </c>
      <c r="BB55" s="10">
        <f>AR55*I55/G55</f>
        <v/>
      </c>
      <c r="BD55" s="10">
        <f>AV55-SUM(AX55:BB55)</f>
        <v/>
      </c>
    </row>
    <row r="56">
      <c r="B56" s="13" t="n"/>
      <c r="C56" s="12" t="inlineStr">
        <is>
          <t>CO2Captured</t>
        </is>
      </c>
      <c r="D56" s="12" t="n">
        <v>0.9</v>
      </c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4" t="n">
        <v>1.01</v>
      </c>
      <c r="P56" s="15" t="n">
        <v>73.71884</v>
      </c>
      <c r="Q56" s="15" t="n">
        <v>-4.302149</v>
      </c>
      <c r="R56" s="15" t="n">
        <v>21.021514</v>
      </c>
      <c r="S56" s="15" t="n">
        <v>9.044067999999999</v>
      </c>
      <c r="T56" s="16" t="n">
        <v>-126.225199</v>
      </c>
      <c r="U56" s="15" t="n">
        <v>10.321106</v>
      </c>
      <c r="W56" s="1">
        <f>B56</f>
        <v/>
      </c>
      <c r="X56" s="1">
        <f>C56</f>
        <v/>
      </c>
      <c r="Y56" s="11">
        <f>SUM(AB56:AI56)+AK56+AL56</f>
        <v/>
      </c>
      <c r="Z56" s="11">
        <f>SUM(AB56:AI56)+AN56+AO56</f>
        <v/>
      </c>
      <c r="AA56" s="5">
        <f>Y56-Z56</f>
        <v/>
      </c>
      <c r="AB56" s="5">
        <f>E56/G56*S56</f>
        <v/>
      </c>
      <c r="AC56" s="1">
        <f>F56/G56*R56</f>
        <v/>
      </c>
      <c r="AD56" s="1">
        <f>1/G56*(P56+Q56)</f>
        <v/>
      </c>
      <c r="AE56" s="1">
        <f>H56/G56*U56*-1</f>
        <v/>
      </c>
      <c r="AF56" s="1">
        <f>I56/G56*T56</f>
        <v/>
      </c>
      <c r="AG56" s="1">
        <f>K56/G56/(0.9*8760)</f>
        <v/>
      </c>
      <c r="AH56" s="1">
        <f>L56/G56/(0.9*8760)</f>
        <v/>
      </c>
      <c r="AI56" s="1">
        <f>M56</f>
        <v/>
      </c>
      <c r="AJ56" s="1">
        <f>AY56+AZ56+BB56</f>
        <v/>
      </c>
      <c r="AK56" s="1" t="n">
        <v>0</v>
      </c>
      <c r="AL56" s="1">
        <f>AJ56*P56</f>
        <v/>
      </c>
      <c r="AM56" s="1">
        <f>AY56+AZ56+BB56</f>
        <v/>
      </c>
      <c r="AN56" s="1" t="n">
        <v>0</v>
      </c>
      <c r="AO56" s="1">
        <f>AM56*P56</f>
        <v/>
      </c>
      <c r="AQ56" s="9">
        <f>$BG$3</f>
        <v/>
      </c>
      <c r="AR56" s="10">
        <f>$BG$4</f>
        <v/>
      </c>
      <c r="AS56" s="10" t="n">
        <v>3.1429329</v>
      </c>
      <c r="AT56" s="9">
        <f>$BG$5</f>
        <v/>
      </c>
      <c r="AV56" s="10">
        <f>1/G56</f>
        <v/>
      </c>
      <c r="AX56" s="10">
        <f>AQ56</f>
        <v/>
      </c>
      <c r="AY56" s="10">
        <f>AT56*H56/G56</f>
        <v/>
      </c>
      <c r="AZ56" s="10">
        <f>J56/G56</f>
        <v/>
      </c>
      <c r="BA56" s="10">
        <f>AS56*N56</f>
        <v/>
      </c>
      <c r="BB56" s="10">
        <f>AR56*I56/G56</f>
        <v/>
      </c>
      <c r="BD56" s="10">
        <f>AV56-SUM(AX56:BB56)</f>
        <v/>
      </c>
    </row>
    <row r="57">
      <c r="B57" s="13" t="n"/>
      <c r="C57" s="12" t="inlineStr">
        <is>
          <t>CO2Captured</t>
        </is>
      </c>
      <c r="D57" s="12" t="n">
        <v>0.9</v>
      </c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4" t="n">
        <v>1.01</v>
      </c>
      <c r="P57" s="15" t="n">
        <v>73.71884</v>
      </c>
      <c r="Q57" s="15" t="n">
        <v>-4.302149</v>
      </c>
      <c r="R57" s="15" t="n">
        <v>21.021514</v>
      </c>
      <c r="S57" s="15" t="n">
        <v>9.044067999999999</v>
      </c>
      <c r="T57" s="16" t="n">
        <v>-126.225199</v>
      </c>
      <c r="U57" s="15" t="n">
        <v>10.321106</v>
      </c>
      <c r="W57" s="1">
        <f>B57</f>
        <v/>
      </c>
      <c r="X57" s="1">
        <f>C57</f>
        <v/>
      </c>
      <c r="Y57" s="11">
        <f>SUM(AB57:AI57)+AK57+AL57</f>
        <v/>
      </c>
      <c r="Z57" s="11">
        <f>SUM(AB57:AI57)+AN57+AO57</f>
        <v/>
      </c>
      <c r="AA57" s="5">
        <f>Y57-Z57</f>
        <v/>
      </c>
      <c r="AB57" s="5">
        <f>E57/G57*S57</f>
        <v/>
      </c>
      <c r="AC57" s="1">
        <f>F57/G57*R57</f>
        <v/>
      </c>
      <c r="AD57" s="1">
        <f>1/G57*(P57+Q57)</f>
        <v/>
      </c>
      <c r="AE57" s="1">
        <f>H57/G57*U57*-1</f>
        <v/>
      </c>
      <c r="AF57" s="1">
        <f>I57/G57*T57</f>
        <v/>
      </c>
      <c r="AG57" s="1">
        <f>K57/G57/(0.9*8760)</f>
        <v/>
      </c>
      <c r="AH57" s="1">
        <f>L57/G57/(0.9*8760)</f>
        <v/>
      </c>
      <c r="AI57" s="1">
        <f>M57</f>
        <v/>
      </c>
      <c r="AJ57" s="1">
        <f>AY57+AZ57+BB57</f>
        <v/>
      </c>
      <c r="AK57" s="1" t="n">
        <v>0</v>
      </c>
      <c r="AL57" s="1">
        <f>AJ57*P57</f>
        <v/>
      </c>
      <c r="AM57" s="1">
        <f>AY57+AZ57+BB57</f>
        <v/>
      </c>
      <c r="AN57" s="1" t="n">
        <v>0</v>
      </c>
      <c r="AO57" s="1">
        <f>AM57*P57</f>
        <v/>
      </c>
      <c r="AQ57" s="9">
        <f>$BG$3</f>
        <v/>
      </c>
      <c r="AR57" s="10">
        <f>$BG$4</f>
        <v/>
      </c>
      <c r="AS57" s="10" t="n">
        <v>3.1429329</v>
      </c>
      <c r="AT57" s="9">
        <f>$BG$5</f>
        <v/>
      </c>
      <c r="AV57" s="10">
        <f>1/G57</f>
        <v/>
      </c>
      <c r="AX57" s="10">
        <f>AQ57</f>
        <v/>
      </c>
      <c r="AY57" s="10">
        <f>AT57*H57/G57</f>
        <v/>
      </c>
      <c r="AZ57" s="10">
        <f>J57/G57</f>
        <v/>
      </c>
      <c r="BA57" s="10">
        <f>AS57*N57</f>
        <v/>
      </c>
      <c r="BB57" s="10">
        <f>AR57*I57/G57</f>
        <v/>
      </c>
      <c r="BD57" s="10">
        <f>AV57-SUM(AX57:BB57)</f>
        <v/>
      </c>
    </row>
    <row r="58">
      <c r="B58" s="13" t="n"/>
      <c r="C58" s="12" t="inlineStr">
        <is>
          <t>CO2Captured</t>
        </is>
      </c>
      <c r="D58" s="12" t="n">
        <v>0.9</v>
      </c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4" t="n">
        <v>1.01</v>
      </c>
      <c r="P58" s="15" t="n">
        <v>73.71884</v>
      </c>
      <c r="Q58" s="15" t="n">
        <v>-4.302149</v>
      </c>
      <c r="R58" s="15" t="n">
        <v>21.021514</v>
      </c>
      <c r="S58" s="15" t="n">
        <v>9.044067999999999</v>
      </c>
      <c r="T58" s="16" t="n">
        <v>-126.225199</v>
      </c>
      <c r="U58" s="15" t="n">
        <v>10.321106</v>
      </c>
      <c r="W58" s="1">
        <f>B58</f>
        <v/>
      </c>
      <c r="X58" s="1">
        <f>C58</f>
        <v/>
      </c>
      <c r="Y58" s="11">
        <f>SUM(AB58:AI58)+AK58+AL58</f>
        <v/>
      </c>
      <c r="Z58" s="11">
        <f>SUM(AB58:AI58)+AN58+AO58</f>
        <v/>
      </c>
      <c r="AA58" s="5">
        <f>Y58-Z58</f>
        <v/>
      </c>
      <c r="AB58" s="5">
        <f>E58/G58*S58</f>
        <v/>
      </c>
      <c r="AC58" s="1">
        <f>F58/G58*R58</f>
        <v/>
      </c>
      <c r="AD58" s="1">
        <f>1/G58*(P58+Q58)</f>
        <v/>
      </c>
      <c r="AE58" s="1">
        <f>H58/G58*U58*-1</f>
        <v/>
      </c>
      <c r="AF58" s="1">
        <f>I58/G58*T58</f>
        <v/>
      </c>
      <c r="AG58" s="1">
        <f>K58/G58/(0.9*8760)</f>
        <v/>
      </c>
      <c r="AH58" s="1">
        <f>L58/G58/(0.9*8760)</f>
        <v/>
      </c>
      <c r="AI58" s="1">
        <f>M58</f>
        <v/>
      </c>
      <c r="AJ58" s="1">
        <f>AY58+AZ58+BB58</f>
        <v/>
      </c>
      <c r="AK58" s="1" t="n">
        <v>0</v>
      </c>
      <c r="AL58" s="1">
        <f>AJ58*P58</f>
        <v/>
      </c>
      <c r="AM58" s="1">
        <f>AY58+AZ58+BB58</f>
        <v/>
      </c>
      <c r="AN58" s="1" t="n">
        <v>0</v>
      </c>
      <c r="AO58" s="1">
        <f>AM58*P58</f>
        <v/>
      </c>
      <c r="AQ58" s="9">
        <f>$BG$3</f>
        <v/>
      </c>
      <c r="AR58" s="10">
        <f>$BG$4</f>
        <v/>
      </c>
      <c r="AS58" s="10" t="n">
        <v>3.1429329</v>
      </c>
      <c r="AT58" s="9">
        <f>$BG$5</f>
        <v/>
      </c>
      <c r="AV58" s="10">
        <f>1/G58</f>
        <v/>
      </c>
      <c r="AX58" s="10">
        <f>AQ58</f>
        <v/>
      </c>
      <c r="AY58" s="10">
        <f>AT58*H58/G58</f>
        <v/>
      </c>
      <c r="AZ58" s="10">
        <f>J58/G58</f>
        <v/>
      </c>
      <c r="BA58" s="10">
        <f>AS58*N58</f>
        <v/>
      </c>
      <c r="BB58" s="10">
        <f>AR58*I58/G58</f>
        <v/>
      </c>
      <c r="BD58" s="10">
        <f>AV58-SUM(AX58:BB58)</f>
        <v/>
      </c>
    </row>
    <row r="59">
      <c r="B59" s="13" t="n"/>
      <c r="C59" s="12" t="inlineStr">
        <is>
          <t>CO2Captured</t>
        </is>
      </c>
      <c r="D59" s="12" t="n">
        <v>0.9</v>
      </c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24" t="n">
        <v>1.01</v>
      </c>
      <c r="P59" s="15" t="n">
        <v>73.71884</v>
      </c>
      <c r="Q59" s="15" t="n">
        <v>-4.302149</v>
      </c>
      <c r="R59" s="15" t="n">
        <v>21.021514</v>
      </c>
      <c r="S59" s="15" t="n">
        <v>9.044067999999999</v>
      </c>
      <c r="T59" s="16" t="n">
        <v>-126.225199</v>
      </c>
      <c r="U59" s="15" t="n">
        <v>10.321106</v>
      </c>
      <c r="W59" s="1">
        <f>B59</f>
        <v/>
      </c>
      <c r="X59" s="1">
        <f>C59</f>
        <v/>
      </c>
      <c r="Y59" s="11">
        <f>SUM(AB59:AI59)+AK59+AL59</f>
        <v/>
      </c>
      <c r="Z59" s="11">
        <f>SUM(AB59:AI59)+AN59+AO59</f>
        <v/>
      </c>
      <c r="AA59" s="5">
        <f>Y59-Z59</f>
        <v/>
      </c>
      <c r="AB59" s="5">
        <f>E59/G59*S59</f>
        <v/>
      </c>
      <c r="AC59" s="1">
        <f>F59/G59*R59</f>
        <v/>
      </c>
      <c r="AD59" s="1">
        <f>1/G59*(P59+Q59)</f>
        <v/>
      </c>
      <c r="AE59" s="1">
        <f>H59/G59*U59*-1</f>
        <v/>
      </c>
      <c r="AF59" s="1">
        <f>I59/G59*T59</f>
        <v/>
      </c>
      <c r="AG59" s="1">
        <f>K59/G59/(0.9*8760)</f>
        <v/>
      </c>
      <c r="AH59" s="1">
        <f>L59/G59/(0.9*8760)</f>
        <v/>
      </c>
      <c r="AI59" s="1">
        <f>M59</f>
        <v/>
      </c>
      <c r="AJ59" s="1">
        <f>AY59+AZ59+BB59</f>
        <v/>
      </c>
      <c r="AK59" s="1" t="n">
        <v>0</v>
      </c>
      <c r="AL59" s="1">
        <f>AJ59*P59</f>
        <v/>
      </c>
      <c r="AM59" s="1">
        <f>AY59+AZ59+BB59</f>
        <v/>
      </c>
      <c r="AN59" s="1" t="n">
        <v>0</v>
      </c>
      <c r="AO59" s="1">
        <f>AM59*P59</f>
        <v/>
      </c>
      <c r="AQ59" s="9">
        <f>$BG$3</f>
        <v/>
      </c>
      <c r="AR59" s="10">
        <f>$BG$4</f>
        <v/>
      </c>
      <c r="AS59" s="10" t="n">
        <v>3.1429329</v>
      </c>
      <c r="AT59" s="9">
        <f>$BG$5</f>
        <v/>
      </c>
      <c r="AV59" s="10">
        <f>1/G59</f>
        <v/>
      </c>
      <c r="AX59" s="10">
        <f>AQ59</f>
        <v/>
      </c>
      <c r="AY59" s="10">
        <f>AT59*H59/G59</f>
        <v/>
      </c>
      <c r="AZ59" s="10">
        <f>J59/G59</f>
        <v/>
      </c>
      <c r="BA59" s="10">
        <f>AS59*N59</f>
        <v/>
      </c>
      <c r="BB59" s="10">
        <f>AR59*I59/G59</f>
        <v/>
      </c>
      <c r="BD59" s="10">
        <f>AV59-SUM(AX59:BB59)</f>
        <v/>
      </c>
    </row>
    <row r="60">
      <c r="B60" s="13" t="n"/>
      <c r="C60" s="12" t="inlineStr">
        <is>
          <t>CO2Captured</t>
        </is>
      </c>
      <c r="D60" s="12" t="n">
        <v>0.9</v>
      </c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24" t="n">
        <v>1.01</v>
      </c>
      <c r="P60" s="15" t="n">
        <v>73.71884</v>
      </c>
      <c r="Q60" s="15" t="n">
        <v>-4.302149</v>
      </c>
      <c r="R60" s="15" t="n">
        <v>21.021514</v>
      </c>
      <c r="S60" s="15" t="n">
        <v>9.044067999999999</v>
      </c>
      <c r="T60" s="16" t="n">
        <v>-126.225199</v>
      </c>
      <c r="U60" s="15" t="n">
        <v>10.321106</v>
      </c>
      <c r="W60" s="1">
        <f>B60</f>
        <v/>
      </c>
      <c r="X60" s="1">
        <f>C60</f>
        <v/>
      </c>
      <c r="Y60" s="11">
        <f>SUM(AB60:AI60)+AK60+AL60</f>
        <v/>
      </c>
      <c r="Z60" s="11">
        <f>SUM(AB60:AI60)+AN60+AO60</f>
        <v/>
      </c>
      <c r="AA60" s="5">
        <f>Y60-Z60</f>
        <v/>
      </c>
      <c r="AB60" s="5">
        <f>E60/G60*S60</f>
        <v/>
      </c>
      <c r="AC60" s="1">
        <f>F60/G60*R60</f>
        <v/>
      </c>
      <c r="AD60" s="1">
        <f>1/G60*(P60+Q60)</f>
        <v/>
      </c>
      <c r="AE60" s="1">
        <f>H60/G60*U60*-1</f>
        <v/>
      </c>
      <c r="AF60" s="1">
        <f>I60/G60*T60</f>
        <v/>
      </c>
      <c r="AG60" s="1">
        <f>K60/G60/(0.9*8760)</f>
        <v/>
      </c>
      <c r="AH60" s="1">
        <f>L60/G60/(0.9*8760)</f>
        <v/>
      </c>
      <c r="AI60" s="1">
        <f>M60</f>
        <v/>
      </c>
      <c r="AJ60" s="1">
        <f>AY60+AZ60+BB60</f>
        <v/>
      </c>
      <c r="AK60" s="1" t="n">
        <v>0</v>
      </c>
      <c r="AL60" s="1">
        <f>AJ60*P60</f>
        <v/>
      </c>
      <c r="AM60" s="1">
        <f>AY60+AZ60+BB60</f>
        <v/>
      </c>
      <c r="AN60" s="1" t="n">
        <v>0</v>
      </c>
      <c r="AO60" s="1">
        <f>AM60*P60</f>
        <v/>
      </c>
      <c r="AQ60" s="9">
        <f>$BG$3</f>
        <v/>
      </c>
      <c r="AR60" s="10">
        <f>$BG$4</f>
        <v/>
      </c>
      <c r="AS60" s="10" t="n">
        <v>3.1429329</v>
      </c>
      <c r="AT60" s="9">
        <f>$BG$5</f>
        <v/>
      </c>
      <c r="AV60" s="10">
        <f>1/G60</f>
        <v/>
      </c>
      <c r="AX60" s="10">
        <f>AQ60</f>
        <v/>
      </c>
      <c r="AY60" s="10">
        <f>AT60*H60/G60</f>
        <v/>
      </c>
      <c r="AZ60" s="10">
        <f>J60/G60</f>
        <v/>
      </c>
      <c r="BA60" s="10">
        <f>AS60*N60</f>
        <v/>
      </c>
      <c r="BB60" s="10">
        <f>AR60*I60/G60</f>
        <v/>
      </c>
      <c r="BD60" s="10">
        <f>AV60-SUM(AX60:BB60)</f>
        <v/>
      </c>
    </row>
    <row r="61">
      <c r="B61" s="13" t="n"/>
      <c r="C61" s="12" t="inlineStr">
        <is>
          <t>CO2Captured</t>
        </is>
      </c>
      <c r="D61" s="12" t="n">
        <v>0.9</v>
      </c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24" t="n">
        <v>1.01</v>
      </c>
      <c r="P61" s="15" t="n">
        <v>73.71884</v>
      </c>
      <c r="Q61" s="15" t="n">
        <v>-4.302149</v>
      </c>
      <c r="R61" s="15" t="n">
        <v>21.021514</v>
      </c>
      <c r="S61" s="15" t="n">
        <v>9.044067999999999</v>
      </c>
      <c r="T61" s="16" t="n">
        <v>-126.225199</v>
      </c>
      <c r="U61" s="15" t="n">
        <v>10.321106</v>
      </c>
      <c r="W61" s="1">
        <f>B61</f>
        <v/>
      </c>
      <c r="X61" s="1">
        <f>C61</f>
        <v/>
      </c>
      <c r="Y61" s="11">
        <f>SUM(AB61:AI61)+AK61+AL61</f>
        <v/>
      </c>
      <c r="Z61" s="11">
        <f>SUM(AB61:AI61)+AN61+AO61</f>
        <v/>
      </c>
      <c r="AA61" s="5">
        <f>Y61-Z61</f>
        <v/>
      </c>
      <c r="AB61" s="5">
        <f>E61/G61*S61</f>
        <v/>
      </c>
      <c r="AC61" s="1">
        <f>F61/G61*R61</f>
        <v/>
      </c>
      <c r="AD61" s="1">
        <f>1/G61*(P61+Q61)</f>
        <v/>
      </c>
      <c r="AE61" s="1">
        <f>H61/G61*U61*-1</f>
        <v/>
      </c>
      <c r="AF61" s="1">
        <f>I61/G61*T61</f>
        <v/>
      </c>
      <c r="AG61" s="1">
        <f>K61/G61/(0.9*8760)</f>
        <v/>
      </c>
      <c r="AH61" s="1">
        <f>L61/G61/(0.9*8760)</f>
        <v/>
      </c>
      <c r="AI61" s="1">
        <f>M61</f>
        <v/>
      </c>
      <c r="AJ61" s="1">
        <f>AY61+AZ61+BB61</f>
        <v/>
      </c>
      <c r="AK61" s="1" t="n">
        <v>0</v>
      </c>
      <c r="AL61" s="1">
        <f>AJ61*P61</f>
        <v/>
      </c>
      <c r="AM61" s="1">
        <f>AY61+AZ61+BB61</f>
        <v/>
      </c>
      <c r="AN61" s="1" t="n">
        <v>0</v>
      </c>
      <c r="AO61" s="1">
        <f>AM61*P61</f>
        <v/>
      </c>
      <c r="AQ61" s="9">
        <f>$BG$3</f>
        <v/>
      </c>
      <c r="AR61" s="10">
        <f>$BG$4</f>
        <v/>
      </c>
      <c r="AS61" s="10" t="n">
        <v>3.1429329</v>
      </c>
      <c r="AT61" s="9">
        <f>$BG$5</f>
        <v/>
      </c>
      <c r="AV61" s="10">
        <f>1/G61</f>
        <v/>
      </c>
      <c r="AX61" s="10">
        <f>AQ61</f>
        <v/>
      </c>
      <c r="AY61" s="10">
        <f>AT61*H61/G61</f>
        <v/>
      </c>
      <c r="AZ61" s="10">
        <f>J61/G61</f>
        <v/>
      </c>
      <c r="BA61" s="10">
        <f>AS61*N61</f>
        <v/>
      </c>
      <c r="BB61" s="10">
        <f>AR61*I61/G61</f>
        <v/>
      </c>
      <c r="BD61" s="10">
        <f>AV61-SUM(AX61:BB61)</f>
        <v/>
      </c>
    </row>
    <row r="62">
      <c r="B62" s="13" t="n"/>
      <c r="C62" s="12" t="inlineStr">
        <is>
          <t>CO2Captured</t>
        </is>
      </c>
      <c r="D62" s="12" t="n">
        <v>0.9</v>
      </c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24" t="n">
        <v>1.01</v>
      </c>
      <c r="P62" s="15" t="n">
        <v>73.71884</v>
      </c>
      <c r="Q62" s="15" t="n">
        <v>-4.302149</v>
      </c>
      <c r="R62" s="15" t="n">
        <v>21.021514</v>
      </c>
      <c r="S62" s="15" t="n">
        <v>9.044067999999999</v>
      </c>
      <c r="T62" s="16" t="n">
        <v>-126.225199</v>
      </c>
      <c r="U62" s="15" t="n">
        <v>10.321106</v>
      </c>
      <c r="W62" s="1">
        <f>B62</f>
        <v/>
      </c>
      <c r="X62" s="1">
        <f>C62</f>
        <v/>
      </c>
      <c r="Y62" s="11">
        <f>SUM(AB62:AI62)+AK62+AL62</f>
        <v/>
      </c>
      <c r="Z62" s="11">
        <f>SUM(AB62:AI62)+AN62+AO62</f>
        <v/>
      </c>
      <c r="AA62" s="5">
        <f>Y62-Z62</f>
        <v/>
      </c>
      <c r="AB62" s="5">
        <f>E62/G62*S62</f>
        <v/>
      </c>
      <c r="AC62" s="1">
        <f>F62/G62*R62</f>
        <v/>
      </c>
      <c r="AD62" s="1">
        <f>1/G62*(P62+Q62)</f>
        <v/>
      </c>
      <c r="AE62" s="1">
        <f>H62/G62*U62*-1</f>
        <v/>
      </c>
      <c r="AF62" s="1">
        <f>I62/G62*T62</f>
        <v/>
      </c>
      <c r="AG62" s="1">
        <f>K62/G62/(0.9*8760)</f>
        <v/>
      </c>
      <c r="AH62" s="1">
        <f>L62/G62/(0.9*8760)</f>
        <v/>
      </c>
      <c r="AI62" s="1">
        <f>M62</f>
        <v/>
      </c>
      <c r="AJ62" s="1">
        <f>AY62+AZ62+BB62</f>
        <v/>
      </c>
      <c r="AK62" s="1" t="n">
        <v>0</v>
      </c>
      <c r="AL62" s="1">
        <f>AJ62*P62</f>
        <v/>
      </c>
      <c r="AM62" s="1">
        <f>AY62+AZ62+BB62</f>
        <v/>
      </c>
      <c r="AN62" s="1" t="n">
        <v>0</v>
      </c>
      <c r="AO62" s="1">
        <f>AM62*P62</f>
        <v/>
      </c>
      <c r="AQ62" s="9">
        <f>$BG$3</f>
        <v/>
      </c>
      <c r="AR62" s="10">
        <f>$BG$4</f>
        <v/>
      </c>
      <c r="AS62" s="10" t="n">
        <v>3.1429329</v>
      </c>
      <c r="AT62" s="9">
        <f>$BG$5</f>
        <v/>
      </c>
      <c r="AV62" s="10">
        <f>1/G62</f>
        <v/>
      </c>
      <c r="AX62" s="10">
        <f>AQ62</f>
        <v/>
      </c>
      <c r="AY62" s="10">
        <f>AT62*H62/G62</f>
        <v/>
      </c>
      <c r="AZ62" s="10">
        <f>J62/G62</f>
        <v/>
      </c>
      <c r="BA62" s="10">
        <f>AS62*N62</f>
        <v/>
      </c>
      <c r="BB62" s="10">
        <f>AR62*I62/G62</f>
        <v/>
      </c>
      <c r="BD62" s="10">
        <f>AV62-SUM(AX62:BB62)</f>
        <v/>
      </c>
    </row>
    <row r="63">
      <c r="B63" s="13" t="n"/>
      <c r="C63" s="12" t="inlineStr">
        <is>
          <t>CO2Captured</t>
        </is>
      </c>
      <c r="D63" s="12" t="n">
        <v>0.9</v>
      </c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24" t="n">
        <v>1.01</v>
      </c>
      <c r="P63" s="15" t="n">
        <v>73.71884</v>
      </c>
      <c r="Q63" s="15" t="n">
        <v>-4.302149</v>
      </c>
      <c r="R63" s="15" t="n">
        <v>21.021514</v>
      </c>
      <c r="S63" s="15" t="n">
        <v>9.044067999999999</v>
      </c>
      <c r="T63" s="16" t="n">
        <v>-126.225199</v>
      </c>
      <c r="U63" s="15" t="n">
        <v>10.321106</v>
      </c>
      <c r="W63" s="1">
        <f>B63</f>
        <v/>
      </c>
      <c r="X63" s="1">
        <f>C63</f>
        <v/>
      </c>
      <c r="Y63" s="11">
        <f>SUM(AB63:AI63)+AK63+AL63</f>
        <v/>
      </c>
      <c r="Z63" s="11">
        <f>SUM(AB63:AI63)+AN63+AO63</f>
        <v/>
      </c>
      <c r="AA63" s="5">
        <f>Y63-Z63</f>
        <v/>
      </c>
      <c r="AB63" s="5">
        <f>E63/G63*S63</f>
        <v/>
      </c>
      <c r="AC63" s="1">
        <f>F63/G63*R63</f>
        <v/>
      </c>
      <c r="AD63" s="1">
        <f>1/G63*(P63+Q63)</f>
        <v/>
      </c>
      <c r="AE63" s="1">
        <f>H63/G63*U63*-1</f>
        <v/>
      </c>
      <c r="AF63" s="1">
        <f>I63/G63*T63</f>
        <v/>
      </c>
      <c r="AG63" s="1">
        <f>K63/G63/(0.9*8760)</f>
        <v/>
      </c>
      <c r="AH63" s="1">
        <f>L63/G63/(0.9*8760)</f>
        <v/>
      </c>
      <c r="AI63" s="1">
        <f>M63</f>
        <v/>
      </c>
      <c r="AJ63" s="1">
        <f>AY63+AZ63+BB63</f>
        <v/>
      </c>
      <c r="AK63" s="1" t="n">
        <v>0</v>
      </c>
      <c r="AL63" s="1">
        <f>AJ63*P63</f>
        <v/>
      </c>
      <c r="AM63" s="1">
        <f>AY63+AZ63+BB63</f>
        <v/>
      </c>
      <c r="AN63" s="1" t="n">
        <v>0</v>
      </c>
      <c r="AO63" s="1">
        <f>AM63*P63</f>
        <v/>
      </c>
      <c r="AQ63" s="9">
        <f>$BG$3</f>
        <v/>
      </c>
      <c r="AR63" s="10">
        <f>$BG$4</f>
        <v/>
      </c>
      <c r="AS63" s="10" t="n">
        <v>3.1429329</v>
      </c>
      <c r="AT63" s="9">
        <f>$BG$5</f>
        <v/>
      </c>
      <c r="AV63" s="10">
        <f>1/G63</f>
        <v/>
      </c>
      <c r="AX63" s="10">
        <f>AQ63</f>
        <v/>
      </c>
      <c r="AY63" s="10">
        <f>AT63*H63/G63</f>
        <v/>
      </c>
      <c r="AZ63" s="10">
        <f>J63/G63</f>
        <v/>
      </c>
      <c r="BA63" s="10">
        <f>AS63*N63</f>
        <v/>
      </c>
      <c r="BB63" s="10">
        <f>AR63*I63/G63</f>
        <v/>
      </c>
      <c r="BD63" s="10">
        <f>AV63-SUM(AX63:BB63)</f>
        <v/>
      </c>
    </row>
    <row r="64">
      <c r="B64" s="13" t="n"/>
      <c r="C64" s="12" t="inlineStr">
        <is>
          <t>CO2Captured</t>
        </is>
      </c>
      <c r="D64" s="12" t="n">
        <v>0.9</v>
      </c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24" t="n">
        <v>1.01</v>
      </c>
      <c r="P64" s="15" t="n">
        <v>73.71884</v>
      </c>
      <c r="Q64" s="15" t="n">
        <v>-4.302149</v>
      </c>
      <c r="R64" s="15" t="n">
        <v>21.021514</v>
      </c>
      <c r="S64" s="15" t="n">
        <v>9.044067999999999</v>
      </c>
      <c r="T64" s="16" t="n">
        <v>-126.225199</v>
      </c>
      <c r="U64" s="15" t="n">
        <v>10.321106</v>
      </c>
      <c r="W64" s="1">
        <f>B64</f>
        <v/>
      </c>
      <c r="X64" s="1">
        <f>C64</f>
        <v/>
      </c>
      <c r="Y64" s="11">
        <f>SUM(AB64:AI64)+AK64+AL64</f>
        <v/>
      </c>
      <c r="Z64" s="11">
        <f>SUM(AB64:AI64)+AN64+AO64</f>
        <v/>
      </c>
      <c r="AA64" s="5">
        <f>Y64-Z64</f>
        <v/>
      </c>
      <c r="AB64" s="5">
        <f>E64/G64*S64</f>
        <v/>
      </c>
      <c r="AC64" s="1">
        <f>F64/G64*R64</f>
        <v/>
      </c>
      <c r="AD64" s="1">
        <f>1/G64*(P64+Q64)</f>
        <v/>
      </c>
      <c r="AE64" s="1">
        <f>H64/G64*U64*-1</f>
        <v/>
      </c>
      <c r="AF64" s="1">
        <f>I64/G64*T64</f>
        <v/>
      </c>
      <c r="AG64" s="1">
        <f>K64/G64/(0.9*8760)</f>
        <v/>
      </c>
      <c r="AH64" s="1">
        <f>L64/G64/(0.9*8760)</f>
        <v/>
      </c>
      <c r="AI64" s="1">
        <f>M64</f>
        <v/>
      </c>
      <c r="AJ64" s="1">
        <f>AY64+AZ64+BB64</f>
        <v/>
      </c>
      <c r="AK64" s="1" t="n">
        <v>0</v>
      </c>
      <c r="AL64" s="1">
        <f>AJ64*P64</f>
        <v/>
      </c>
      <c r="AM64" s="1">
        <f>AY64+AZ64+BB64</f>
        <v/>
      </c>
      <c r="AN64" s="1" t="n">
        <v>0</v>
      </c>
      <c r="AO64" s="1">
        <f>AM64*P64</f>
        <v/>
      </c>
      <c r="AQ64" s="9">
        <f>$BG$3</f>
        <v/>
      </c>
      <c r="AR64" s="10">
        <f>$BG$4</f>
        <v/>
      </c>
      <c r="AS64" s="10" t="n">
        <v>3.1429329</v>
      </c>
      <c r="AT64" s="9">
        <f>$BG$5</f>
        <v/>
      </c>
      <c r="AV64" s="10">
        <f>1/G64</f>
        <v/>
      </c>
      <c r="AX64" s="10">
        <f>AQ64</f>
        <v/>
      </c>
      <c r="AY64" s="10">
        <f>AT64*H64/G64</f>
        <v/>
      </c>
      <c r="AZ64" s="10">
        <f>J64/G64</f>
        <v/>
      </c>
      <c r="BA64" s="10">
        <f>AS64*N64</f>
        <v/>
      </c>
      <c r="BB64" s="10">
        <f>AR64*I64/G64</f>
        <v/>
      </c>
      <c r="BD64" s="10">
        <f>AV64-SUM(AX64:BB64)</f>
        <v/>
      </c>
    </row>
    <row r="65">
      <c r="B65" s="13" t="n"/>
      <c r="C65" s="12" t="inlineStr">
        <is>
          <t>CO2Captured</t>
        </is>
      </c>
      <c r="D65" s="12" t="n">
        <v>0.9</v>
      </c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24" t="n">
        <v>1.01</v>
      </c>
      <c r="P65" s="15" t="n">
        <v>73.71884</v>
      </c>
      <c r="Q65" s="15" t="n">
        <v>-4.302149</v>
      </c>
      <c r="R65" s="15" t="n">
        <v>21.021514</v>
      </c>
      <c r="S65" s="15" t="n">
        <v>9.044067999999999</v>
      </c>
      <c r="T65" s="16" t="n">
        <v>-126.225199</v>
      </c>
      <c r="U65" s="15" t="n">
        <v>10.321106</v>
      </c>
      <c r="W65" s="1">
        <f>B65</f>
        <v/>
      </c>
      <c r="X65" s="1">
        <f>C65</f>
        <v/>
      </c>
      <c r="Y65" s="11">
        <f>SUM(AB65:AI65)+AK65+AL65</f>
        <v/>
      </c>
      <c r="Z65" s="11">
        <f>SUM(AB65:AI65)+AN65+AO65</f>
        <v/>
      </c>
      <c r="AA65" s="5">
        <f>Y65-Z65</f>
        <v/>
      </c>
      <c r="AB65" s="5">
        <f>E65/G65*S65</f>
        <v/>
      </c>
      <c r="AC65" s="1">
        <f>F65/G65*R65</f>
        <v/>
      </c>
      <c r="AD65" s="1">
        <f>1/G65*(P65+Q65)</f>
        <v/>
      </c>
      <c r="AE65" s="1">
        <f>H65/G65*U65*-1</f>
        <v/>
      </c>
      <c r="AF65" s="1">
        <f>I65/G65*T65</f>
        <v/>
      </c>
      <c r="AG65" s="1">
        <f>K65/G65/(0.9*8760)</f>
        <v/>
      </c>
      <c r="AH65" s="1">
        <f>L65/G65/(0.9*8760)</f>
        <v/>
      </c>
      <c r="AI65" s="1">
        <f>M65</f>
        <v/>
      </c>
      <c r="AJ65" s="1">
        <f>AY65+AZ65+BB65</f>
        <v/>
      </c>
      <c r="AK65" s="1" t="n">
        <v>0</v>
      </c>
      <c r="AL65" s="1">
        <f>AJ65*P65</f>
        <v/>
      </c>
      <c r="AM65" s="1">
        <f>AY65+AZ65+BB65</f>
        <v/>
      </c>
      <c r="AN65" s="1" t="n">
        <v>0</v>
      </c>
      <c r="AO65" s="1">
        <f>AM65*P65</f>
        <v/>
      </c>
      <c r="AQ65" s="9">
        <f>$BG$3</f>
        <v/>
      </c>
      <c r="AR65" s="10">
        <f>$BG$4</f>
        <v/>
      </c>
      <c r="AS65" s="10" t="n">
        <v>3.1429329</v>
      </c>
      <c r="AT65" s="9">
        <f>$BG$5</f>
        <v/>
      </c>
      <c r="AV65" s="10">
        <f>1/G65</f>
        <v/>
      </c>
      <c r="AX65" s="10">
        <f>AQ65</f>
        <v/>
      </c>
      <c r="AY65" s="10">
        <f>AT65*H65/G65</f>
        <v/>
      </c>
      <c r="AZ65" s="10">
        <f>J65/G65</f>
        <v/>
      </c>
      <c r="BA65" s="10">
        <f>AS65*N65</f>
        <v/>
      </c>
      <c r="BB65" s="10">
        <f>AR65*I65/G65</f>
        <v/>
      </c>
      <c r="BD65" s="10">
        <f>AV65-SUM(AX65:BB65)</f>
        <v/>
      </c>
    </row>
    <row r="66">
      <c r="B66" s="13" t="n"/>
      <c r="C66" s="12" t="inlineStr">
        <is>
          <t>CO2Captured</t>
        </is>
      </c>
      <c r="D66" s="12" t="n">
        <v>0.9</v>
      </c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24" t="n">
        <v>1.01</v>
      </c>
      <c r="P66" s="15" t="n">
        <v>73.71884</v>
      </c>
      <c r="Q66" s="15" t="n">
        <v>-4.302149</v>
      </c>
      <c r="R66" s="15" t="n">
        <v>21.021514</v>
      </c>
      <c r="S66" s="15" t="n">
        <v>9.044067999999999</v>
      </c>
      <c r="T66" s="16" t="n">
        <v>-126.225199</v>
      </c>
      <c r="U66" s="15" t="n">
        <v>10.321106</v>
      </c>
      <c r="W66" s="1">
        <f>B66</f>
        <v/>
      </c>
      <c r="X66" s="1">
        <f>C66</f>
        <v/>
      </c>
      <c r="Y66" s="11">
        <f>SUM(AB66:AI66)+AK66+AL66</f>
        <v/>
      </c>
      <c r="Z66" s="11">
        <f>SUM(AB66:AI66)+AN66+AO66</f>
        <v/>
      </c>
      <c r="AA66" s="5">
        <f>Y66-Z66</f>
        <v/>
      </c>
      <c r="AB66" s="5">
        <f>E66/G66*S66</f>
        <v/>
      </c>
      <c r="AC66" s="1">
        <f>F66/G66*R66</f>
        <v/>
      </c>
      <c r="AD66" s="1">
        <f>1/G66*(P66+Q66)</f>
        <v/>
      </c>
      <c r="AE66" s="1">
        <f>H66/G66*U66*-1</f>
        <v/>
      </c>
      <c r="AF66" s="1">
        <f>I66/G66*T66</f>
        <v/>
      </c>
      <c r="AG66" s="1">
        <f>K66/G66/(0.9*8760)</f>
        <v/>
      </c>
      <c r="AH66" s="1">
        <f>L66/G66/(0.9*8760)</f>
        <v/>
      </c>
      <c r="AI66" s="1">
        <f>M66</f>
        <v/>
      </c>
      <c r="AJ66" s="1">
        <f>AY66+AZ66+BB66</f>
        <v/>
      </c>
      <c r="AK66" s="1" t="n">
        <v>0</v>
      </c>
      <c r="AL66" s="1">
        <f>AJ66*P66</f>
        <v/>
      </c>
      <c r="AM66" s="1">
        <f>AY66+AZ66+BB66</f>
        <v/>
      </c>
      <c r="AN66" s="1" t="n">
        <v>0</v>
      </c>
      <c r="AO66" s="1">
        <f>AM66*P66</f>
        <v/>
      </c>
      <c r="AQ66" s="9">
        <f>$BG$3</f>
        <v/>
      </c>
      <c r="AR66" s="10">
        <f>$BG$4</f>
        <v/>
      </c>
      <c r="AS66" s="10" t="n">
        <v>3.1429329</v>
      </c>
      <c r="AT66" s="9">
        <f>$BG$5</f>
        <v/>
      </c>
      <c r="AV66" s="10">
        <f>1/G66</f>
        <v/>
      </c>
      <c r="AX66" s="10">
        <f>AQ66</f>
        <v/>
      </c>
      <c r="AY66" s="10">
        <f>AT66*H66/G66</f>
        <v/>
      </c>
      <c r="AZ66" s="10">
        <f>J66/G66</f>
        <v/>
      </c>
      <c r="BA66" s="10">
        <f>AS66*N66</f>
        <v/>
      </c>
      <c r="BB66" s="10">
        <f>AR66*I66/G66</f>
        <v/>
      </c>
      <c r="BD66" s="10">
        <f>AV66-SUM(AX66:BB66)</f>
        <v/>
      </c>
    </row>
    <row r="67">
      <c r="Y67" s="5" t="n"/>
      <c r="Z67" s="5" t="n"/>
      <c r="AA67" s="5" t="n"/>
      <c r="AB67" s="5" t="n"/>
      <c r="AQ67" s="8" t="n"/>
      <c r="AT67" s="8" t="n"/>
    </row>
    <row r="68">
      <c r="Y68" s="5" t="n"/>
      <c r="Z68" s="5" t="n"/>
      <c r="AA68" s="5" t="n"/>
      <c r="AB68" s="5" t="n"/>
      <c r="AQ68" s="8" t="n"/>
      <c r="AT68" s="8" t="n"/>
    </row>
    <row r="69">
      <c r="Y69" s="5" t="n"/>
      <c r="Z69" s="5" t="n"/>
      <c r="AA69" s="5" t="n"/>
      <c r="AB69" s="5" t="n"/>
      <c r="AQ69" s="8" t="n"/>
      <c r="AT69" s="8" t="n"/>
    </row>
    <row r="70">
      <c r="Y70" s="5" t="n"/>
      <c r="Z70" s="5" t="n"/>
      <c r="AA70" s="5" t="n"/>
      <c r="AB70" s="5" t="n"/>
      <c r="AQ70" s="8" t="n"/>
      <c r="AT70" s="8" t="n"/>
    </row>
    <row r="71">
      <c r="Y71" s="5" t="n"/>
      <c r="Z71" s="5" t="n"/>
      <c r="AA71" s="5" t="n"/>
      <c r="AB71" s="5" t="n"/>
      <c r="AQ71" s="8" t="n"/>
      <c r="AT71" s="8" t="n"/>
    </row>
    <row r="72">
      <c r="Y72" s="5" t="n"/>
      <c r="Z72" s="5" t="n"/>
      <c r="AA72" s="5" t="n"/>
      <c r="AB72" s="5" t="n"/>
      <c r="AQ72" s="8" t="n"/>
      <c r="AT72" s="8" t="n"/>
    </row>
    <row r="73">
      <c r="Y73" s="5" t="n"/>
      <c r="Z73" s="5" t="n"/>
      <c r="AA73" s="5" t="n"/>
      <c r="AB73" s="5" t="n"/>
      <c r="AQ73" s="8" t="n"/>
      <c r="AT73" s="8" t="n"/>
    </row>
    <row r="74">
      <c r="Y74" s="5" t="n"/>
      <c r="Z74" s="5" t="n"/>
      <c r="AA74" s="5" t="n"/>
      <c r="AB74" s="5" t="n"/>
      <c r="AQ74" s="8" t="n"/>
      <c r="AT74" s="8" t="n"/>
    </row>
    <row r="75">
      <c r="Y75" s="5" t="n"/>
      <c r="Z75" s="5" t="n"/>
      <c r="AA75" s="5" t="n"/>
      <c r="AB75" s="5" t="n"/>
      <c r="AQ75" s="8" t="n"/>
      <c r="AT75" s="8" t="n"/>
    </row>
    <row r="76">
      <c r="Y76" s="5" t="n"/>
      <c r="Z76" s="5" t="n"/>
      <c r="AA76" s="5" t="n"/>
      <c r="AB76" s="5" t="n"/>
      <c r="AQ76" s="8" t="n"/>
      <c r="AT76" s="8" t="n"/>
    </row>
    <row r="77">
      <c r="Y77" s="5" t="n"/>
      <c r="Z77" s="5" t="n"/>
      <c r="AA77" s="5" t="n"/>
      <c r="AB77" s="5" t="n"/>
      <c r="AQ77" s="8" t="n"/>
      <c r="AT77" s="8" t="n"/>
    </row>
    <row r="78">
      <c r="Y78" s="5" t="n"/>
      <c r="Z78" s="5" t="n"/>
      <c r="AA78" s="5" t="n"/>
      <c r="AB78" s="5" t="n"/>
      <c r="AQ78" s="8" t="n"/>
      <c r="AT78" s="8" t="n"/>
    </row>
    <row r="79">
      <c r="Y79" s="5" t="n"/>
      <c r="Z79" s="5" t="n"/>
      <c r="AA79" s="5" t="n"/>
      <c r="AB79" s="5" t="n"/>
      <c r="AQ79" s="8" t="n"/>
      <c r="AT79" s="8" t="n"/>
    </row>
    <row r="80">
      <c r="Y80" s="5" t="n"/>
      <c r="Z80" s="5" t="n"/>
      <c r="AA80" s="5" t="n"/>
      <c r="AB80" s="5" t="n"/>
      <c r="AQ80" s="8" t="n"/>
      <c r="AT80" s="8" t="n"/>
    </row>
    <row r="81">
      <c r="Y81" s="5" t="n"/>
      <c r="Z81" s="5" t="n"/>
      <c r="AA81" s="5" t="n"/>
      <c r="AB81" s="5" t="n"/>
      <c r="AQ81" s="8" t="n"/>
      <c r="AT81" s="8" t="n"/>
    </row>
    <row r="82">
      <c r="Y82" s="5" t="n"/>
      <c r="Z82" s="5" t="n"/>
      <c r="AA82" s="5" t="n"/>
      <c r="AB82" s="5" t="n"/>
      <c r="AQ82" s="8" t="n"/>
      <c r="AT82" s="8" t="n"/>
    </row>
    <row r="83">
      <c r="Y83" s="5" t="n"/>
      <c r="Z83" s="5" t="n"/>
      <c r="AA83" s="5" t="n"/>
      <c r="AB83" s="5" t="n"/>
      <c r="AQ83" s="8" t="n"/>
      <c r="AT83" s="8" t="n"/>
    </row>
    <row r="84">
      <c r="Y84" s="5" t="n"/>
      <c r="Z84" s="5" t="n"/>
      <c r="AA84" s="5" t="n"/>
      <c r="AB84" s="5" t="n"/>
      <c r="AQ84" s="8" t="n"/>
      <c r="AT84" s="8" t="n"/>
    </row>
    <row r="85">
      <c r="Y85" s="5" t="n"/>
      <c r="Z85" s="5" t="n"/>
      <c r="AA85" s="5" t="n"/>
      <c r="AB85" s="5" t="n"/>
      <c r="AQ85" s="8" t="n"/>
      <c r="AT85" s="8" t="n"/>
    </row>
    <row r="86">
      <c r="Y86" s="5" t="n"/>
      <c r="Z86" s="5" t="n"/>
      <c r="AA86" s="5" t="n"/>
      <c r="AB86" s="5" t="n"/>
      <c r="AQ86" s="8" t="n"/>
      <c r="AT86" s="8" t="n"/>
    </row>
    <row r="87">
      <c r="Y87" s="5" t="n"/>
      <c r="Z87" s="5" t="n"/>
      <c r="AA87" s="5" t="n"/>
      <c r="AB87" s="5" t="n"/>
      <c r="AQ87" s="8" t="n"/>
      <c r="AT87" s="8" t="n"/>
    </row>
    <row r="88">
      <c r="Y88" s="5" t="n"/>
      <c r="Z88" s="5" t="n"/>
      <c r="AA88" s="5" t="n"/>
      <c r="AB88" s="5" t="n"/>
      <c r="AQ88" s="8" t="n"/>
      <c r="AT88" s="8" t="n"/>
    </row>
    <row r="89">
      <c r="Y89" s="5" t="n"/>
      <c r="Z89" s="5" t="n"/>
      <c r="AA89" s="5" t="n"/>
      <c r="AB89" s="5" t="n"/>
      <c r="AQ89" s="8" t="n"/>
      <c r="AT89" s="8" t="n"/>
    </row>
    <row r="90">
      <c r="Y90" s="5" t="n"/>
      <c r="Z90" s="5" t="n"/>
      <c r="AA90" s="5" t="n"/>
      <c r="AB90" s="5" t="n"/>
      <c r="AQ90" s="8" t="n"/>
      <c r="AT90" s="8" t="n"/>
    </row>
    <row r="91">
      <c r="Y91" s="5" t="n"/>
      <c r="Z91" s="5" t="n"/>
      <c r="AA91" s="5" t="n"/>
      <c r="AB91" s="5" t="n"/>
      <c r="AQ91" s="8" t="n"/>
      <c r="AT91" s="8" t="n"/>
    </row>
    <row r="92">
      <c r="Y92" s="5" t="n"/>
      <c r="Z92" s="5" t="n"/>
      <c r="AA92" s="5" t="n"/>
      <c r="AB92" s="5" t="n"/>
      <c r="AQ92" s="8" t="n"/>
      <c r="AT92" s="8" t="n"/>
    </row>
    <row r="93">
      <c r="Y93" s="5" t="n"/>
      <c r="Z93" s="5" t="n"/>
      <c r="AA93" s="5" t="n"/>
      <c r="AB93" s="5" t="n"/>
      <c r="AQ93" s="8" t="n"/>
      <c r="AT93" s="8" t="n"/>
    </row>
    <row r="94">
      <c r="Y94" s="5" t="n"/>
      <c r="Z94" s="5" t="n"/>
      <c r="AA94" s="5" t="n"/>
      <c r="AB94" s="5" t="n"/>
      <c r="AQ94" s="8" t="n"/>
      <c r="AT94" s="8" t="n"/>
    </row>
    <row r="95">
      <c r="Y95" s="5" t="n"/>
      <c r="Z95" s="5" t="n"/>
      <c r="AA95" s="5" t="n"/>
      <c r="AB95" s="5" t="n"/>
      <c r="AQ95" s="8" t="n"/>
      <c r="AT95" s="8" t="n"/>
    </row>
    <row r="96">
      <c r="Y96" s="5" t="n"/>
      <c r="Z96" s="5" t="n"/>
      <c r="AA96" s="5" t="n"/>
      <c r="AB96" s="5" t="n"/>
      <c r="AQ96" s="8" t="n"/>
      <c r="AT96" s="8" t="n"/>
    </row>
    <row r="97">
      <c r="Y97" s="5" t="n"/>
      <c r="Z97" s="5" t="n"/>
      <c r="AA97" s="5" t="n"/>
      <c r="AB97" s="5" t="n"/>
      <c r="AQ97" s="8" t="n"/>
      <c r="AT97" s="8" t="n"/>
    </row>
    <row r="98">
      <c r="Y98" s="5" t="n"/>
      <c r="Z98" s="5" t="n"/>
      <c r="AA98" s="5" t="n"/>
      <c r="AB98" s="5" t="n"/>
      <c r="AQ98" s="8" t="n"/>
      <c r="AT98" s="8" t="n"/>
    </row>
    <row r="99">
      <c r="Y99" s="5" t="n"/>
      <c r="Z99" s="5" t="n"/>
      <c r="AA99" s="5" t="n"/>
      <c r="AB99" s="5" t="n"/>
      <c r="AQ99" s="8" t="n"/>
      <c r="AT99" s="8" t="n"/>
    </row>
    <row r="100">
      <c r="Y100" s="5" t="n"/>
      <c r="Z100" s="5" t="n"/>
      <c r="AA100" s="5" t="n"/>
      <c r="AB100" s="5" t="n"/>
      <c r="AQ100" s="8" t="n"/>
      <c r="AT100" s="8" t="n"/>
    </row>
    <row r="101">
      <c r="Y101" s="5" t="n"/>
      <c r="Z101" s="5" t="n"/>
      <c r="AA101" s="5" t="n"/>
      <c r="AB101" s="5" t="n"/>
      <c r="AQ101" s="8" t="n"/>
      <c r="AT101" s="8" t="n"/>
    </row>
    <row r="102">
      <c r="Y102" s="5" t="n"/>
      <c r="Z102" s="5" t="n"/>
      <c r="AA102" s="5" t="n"/>
      <c r="AB102" s="5" t="n"/>
      <c r="AQ102" s="8" t="n"/>
      <c r="AT102" s="8" t="n"/>
    </row>
    <row r="103">
      <c r="Y103" s="5" t="n"/>
      <c r="Z103" s="5" t="n"/>
      <c r="AA103" s="5" t="n"/>
      <c r="AB103" s="5" t="n"/>
      <c r="AQ103" s="8" t="n"/>
      <c r="AT103" s="8" t="n"/>
    </row>
    <row r="104">
      <c r="Y104" s="5" t="n"/>
      <c r="Z104" s="5" t="n"/>
      <c r="AA104" s="5" t="n"/>
      <c r="AB104" s="5" t="n"/>
      <c r="AQ104" s="8" t="n"/>
      <c r="AT104" s="8" t="n"/>
    </row>
    <row r="105">
      <c r="Y105" s="5" t="n"/>
      <c r="Z105" s="5" t="n"/>
      <c r="AA105" s="5" t="n"/>
      <c r="AB105" s="5" t="n"/>
    </row>
    <row r="106">
      <c r="Y106" s="5" t="n"/>
      <c r="Z106" s="5" t="n"/>
      <c r="AA106" s="5" t="n"/>
      <c r="AB106" s="5" t="n"/>
    </row>
    <row r="107">
      <c r="Y107" s="5" t="n"/>
      <c r="Z107" s="5" t="n"/>
      <c r="AA107" s="5" t="n"/>
      <c r="AB107" s="5" t="n"/>
    </row>
    <row r="108">
      <c r="AB108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4"/>
  <sheetViews>
    <sheetView topLeftCell="G1" zoomScale="75" workbookViewId="0">
      <selection activeCell="N3" sqref="N3"/>
    </sheetView>
  </sheetViews>
  <sheetFormatPr baseColWidth="10" defaultRowHeight="16"/>
  <cols>
    <col width="13.5" customWidth="1" min="1" max="1"/>
    <col width="14.33203125" bestFit="1" customWidth="1" min="2" max="2"/>
    <col width="15.33203125" bestFit="1" customWidth="1" min="3" max="3"/>
    <col width="17.6640625" bestFit="1" customWidth="1" min="4" max="4"/>
    <col width="15.6640625" bestFit="1" customWidth="1" min="5" max="5"/>
    <col width="17.1640625" bestFit="1" customWidth="1" min="6" max="6"/>
    <col width="13.83203125" bestFit="1" customWidth="1" min="7" max="7"/>
    <col width="12.33203125" bestFit="1" customWidth="1" min="8" max="8"/>
    <col width="14.6640625" bestFit="1" customWidth="1" min="9" max="9"/>
    <col width="11" bestFit="1" customWidth="1" min="10" max="10"/>
    <col width="15.83203125" bestFit="1" customWidth="1" min="11" max="11"/>
    <col width="13" bestFit="1" customWidth="1" min="12" max="12"/>
    <col width="2.33203125" customWidth="1" min="13" max="13"/>
    <col width="34.83203125" customWidth="1" min="14" max="14"/>
  </cols>
  <sheetData>
    <row r="1">
      <c r="A1" s="20" t="inlineStr">
        <is>
          <t>Levelized cost for Synthetic Ethylene Production - $/t-ethylene</t>
        </is>
      </c>
      <c r="N1" s="20" t="n"/>
    </row>
    <row r="2" ht="48" customHeight="1">
      <c r="A2" s="4" t="inlineStr">
        <is>
          <t>id_LC</t>
        </is>
      </c>
      <c r="B2" s="4" t="inlineStr">
        <is>
          <t>h2_consumption</t>
        </is>
      </c>
      <c r="C2" s="4" t="inlineStr">
        <is>
          <t>elec_consumption</t>
        </is>
      </c>
      <c r="D2" s="4" t="inlineStr">
        <is>
          <t>co2captured_consumption</t>
        </is>
      </c>
      <c r="E2" s="4" t="inlineStr">
        <is>
          <t>natgas_production</t>
        </is>
      </c>
      <c r="F2" s="4" t="inlineStr">
        <is>
          <t>gasoline_production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21" t="inlineStr">
        <is>
          <t>modified capture cost</t>
        </is>
      </c>
      <c r="K2" s="21" t="inlineStr">
        <is>
          <t>modified emissions cost</t>
        </is>
      </c>
      <c r="L2" s="22" t="inlineStr">
        <is>
          <t>LCOE ($/t-ethylene)</t>
        </is>
      </c>
      <c r="N2" s="4" t="inlineStr">
        <is>
          <t>id_LC</t>
        </is>
      </c>
      <c r="O2" s="4" t="inlineStr">
        <is>
          <t>h2_consumption</t>
        </is>
      </c>
      <c r="P2" s="4" t="inlineStr">
        <is>
          <t>elec_consumption</t>
        </is>
      </c>
      <c r="Q2" s="4" t="inlineStr">
        <is>
          <t>co2captured_consumption</t>
        </is>
      </c>
      <c r="R2" s="4" t="inlineStr">
        <is>
          <t>natgas_production</t>
        </is>
      </c>
      <c r="S2" s="4" t="inlineStr">
        <is>
          <t>gasoline_production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21" t="inlineStr">
        <is>
          <t>modified capture cost</t>
        </is>
      </c>
      <c r="X2" s="21" t="inlineStr">
        <is>
          <t>modified emissions cost</t>
        </is>
      </c>
      <c r="Y2" s="22" t="inlineStr">
        <is>
          <t>LCOE ($/t-ethylene)</t>
        </is>
      </c>
    </row>
    <row r="3">
      <c r="A3">
        <f>lc_detailed!W4</f>
        <v/>
      </c>
      <c r="B3" s="23">
        <f>lc_detailed!AB4</f>
        <v/>
      </c>
      <c r="C3" s="23">
        <f>lc_detailed!AC4</f>
        <v/>
      </c>
      <c r="D3" s="23">
        <f>lc_detailed!AD4</f>
        <v/>
      </c>
      <c r="E3" s="23">
        <f>lc_detailed!AE4</f>
        <v/>
      </c>
      <c r="F3" s="23">
        <f>lc_detailed!AF4</f>
        <v/>
      </c>
      <c r="G3" s="23">
        <f>lc_detailed!AG4</f>
        <v/>
      </c>
      <c r="H3" s="23">
        <f>lc_detailed!AH4</f>
        <v/>
      </c>
      <c r="I3" s="23">
        <f>lc_detailed!AI4</f>
        <v/>
      </c>
      <c r="J3" s="23">
        <f>lc_detailed!AK4</f>
        <v/>
      </c>
      <c r="K3" s="23">
        <f>lc_detailed!AL4</f>
        <v/>
      </c>
      <c r="L3" s="23">
        <f>lc_detailed!Y4</f>
        <v/>
      </c>
      <c r="N3">
        <f t="array" ref="N3:Y70">_xlfn._xlws.SORT(A3:L70, 12, 1)</f>
        <v/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>
        <f>lc_detailed!W5</f>
        <v/>
      </c>
      <c r="B4" s="23">
        <f>lc_detailed!AB5</f>
        <v/>
      </c>
      <c r="C4" s="23">
        <f>lc_detailed!AC5</f>
        <v/>
      </c>
      <c r="D4" s="23">
        <f>lc_detailed!AD5</f>
        <v/>
      </c>
      <c r="E4" s="23">
        <f>lc_detailed!AE5</f>
        <v/>
      </c>
      <c r="F4" s="23">
        <f>lc_detailed!AF5</f>
        <v/>
      </c>
      <c r="G4" s="23">
        <f>lc_detailed!AG5</f>
        <v/>
      </c>
      <c r="H4" s="23">
        <f>lc_detailed!AH5</f>
        <v/>
      </c>
      <c r="I4" s="23">
        <f>lc_detailed!AI5</f>
        <v/>
      </c>
      <c r="J4" s="23">
        <f>lc_detailed!AK5</f>
        <v/>
      </c>
      <c r="K4" s="23">
        <f>lc_detailed!AL5</f>
        <v/>
      </c>
      <c r="L4" s="23">
        <f>lc_detailed!Y5</f>
        <v/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>
        <f>lc_detailed!W6</f>
        <v/>
      </c>
      <c r="B5" s="23">
        <f>lc_detailed!AB6</f>
        <v/>
      </c>
      <c r="C5" s="23">
        <f>lc_detailed!AC6</f>
        <v/>
      </c>
      <c r="D5" s="23">
        <f>lc_detailed!AD6</f>
        <v/>
      </c>
      <c r="E5" s="23">
        <f>lc_detailed!AE6</f>
        <v/>
      </c>
      <c r="F5" s="23">
        <f>lc_detailed!AF6</f>
        <v/>
      </c>
      <c r="G5" s="23">
        <f>lc_detailed!AG6</f>
        <v/>
      </c>
      <c r="H5" s="23">
        <f>lc_detailed!AH6</f>
        <v/>
      </c>
      <c r="I5" s="23">
        <f>lc_detailed!AI6</f>
        <v/>
      </c>
      <c r="J5" s="23">
        <f>lc_detailed!AK6</f>
        <v/>
      </c>
      <c r="K5" s="23">
        <f>lc_detailed!AL6</f>
        <v/>
      </c>
      <c r="L5" s="23">
        <f>lc_detailed!Y6</f>
        <v/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>
        <f>lc_detailed!W7</f>
        <v/>
      </c>
      <c r="B6" s="23">
        <f>lc_detailed!AB7</f>
        <v/>
      </c>
      <c r="C6" s="23">
        <f>lc_detailed!AC7</f>
        <v/>
      </c>
      <c r="D6" s="23">
        <f>lc_detailed!AD7</f>
        <v/>
      </c>
      <c r="E6" s="23">
        <f>lc_detailed!AE7</f>
        <v/>
      </c>
      <c r="F6" s="23">
        <f>lc_detailed!AF7</f>
        <v/>
      </c>
      <c r="G6" s="23">
        <f>lc_detailed!AG7</f>
        <v/>
      </c>
      <c r="H6" s="23">
        <f>lc_detailed!AH7</f>
        <v/>
      </c>
      <c r="I6" s="23">
        <f>lc_detailed!AI7</f>
        <v/>
      </c>
      <c r="J6" s="23">
        <f>lc_detailed!AK7</f>
        <v/>
      </c>
      <c r="K6" s="23">
        <f>lc_detailed!AL7</f>
        <v/>
      </c>
      <c r="L6" s="23">
        <f>lc_detailed!Y7</f>
        <v/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>
        <f>lc_detailed!W8</f>
        <v/>
      </c>
      <c r="B7" s="23">
        <f>lc_detailed!AB8</f>
        <v/>
      </c>
      <c r="C7" s="23">
        <f>lc_detailed!AC8</f>
        <v/>
      </c>
      <c r="D7" s="23">
        <f>lc_detailed!AD8</f>
        <v/>
      </c>
      <c r="E7" s="23">
        <f>lc_detailed!AE8</f>
        <v/>
      </c>
      <c r="F7" s="23">
        <f>lc_detailed!AF8</f>
        <v/>
      </c>
      <c r="G7" s="23">
        <f>lc_detailed!AG8</f>
        <v/>
      </c>
      <c r="H7" s="23">
        <f>lc_detailed!AH8</f>
        <v/>
      </c>
      <c r="I7" s="23">
        <f>lc_detailed!AI8</f>
        <v/>
      </c>
      <c r="J7" s="23">
        <f>lc_detailed!AK8</f>
        <v/>
      </c>
      <c r="K7" s="23">
        <f>lc_detailed!AL8</f>
        <v/>
      </c>
      <c r="L7" s="23">
        <f>lc_detailed!Y8</f>
        <v/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>
        <f>lc_detailed!W9</f>
        <v/>
      </c>
      <c r="B8" s="23">
        <f>lc_detailed!AB9</f>
        <v/>
      </c>
      <c r="C8" s="23">
        <f>lc_detailed!AC9</f>
        <v/>
      </c>
      <c r="D8" s="23">
        <f>lc_detailed!AD9</f>
        <v/>
      </c>
      <c r="E8" s="23">
        <f>lc_detailed!AE9</f>
        <v/>
      </c>
      <c r="F8" s="23">
        <f>lc_detailed!AF9</f>
        <v/>
      </c>
      <c r="G8" s="23">
        <f>lc_detailed!AG9</f>
        <v/>
      </c>
      <c r="H8" s="23">
        <f>lc_detailed!AH9</f>
        <v/>
      </c>
      <c r="I8" s="23">
        <f>lc_detailed!AI9</f>
        <v/>
      </c>
      <c r="J8" s="23">
        <f>lc_detailed!AK9</f>
        <v/>
      </c>
      <c r="K8" s="23">
        <f>lc_detailed!AL9</f>
        <v/>
      </c>
      <c r="L8" s="23">
        <f>lc_detailed!Y9</f>
        <v/>
      </c>
      <c r="N8" t="inlineStr">
        <is>
          <t>x</t>
        </is>
      </c>
      <c r="O8" t="n">
        <v>439.9294042361572</v>
      </c>
      <c r="P8" t="n">
        <v>41.07478523035419</v>
      </c>
      <c r="Q8" t="n">
        <v>407.3198275403645</v>
      </c>
      <c r="R8" t="n">
        <v>-12.43479748107728</v>
      </c>
      <c r="S8" t="n">
        <v>-1013.407481984577</v>
      </c>
      <c r="T8" t="n">
        <v>214.5739079866578</v>
      </c>
      <c r="U8" t="n">
        <v>117.9560160184401</v>
      </c>
      <c r="V8" t="n">
        <v>3.542547876</v>
      </c>
      <c r="W8" t="n">
        <v>0</v>
      </c>
      <c r="X8" t="n">
        <v>161.2377157083531</v>
      </c>
      <c r="Y8" t="n">
        <v>359.7919251306731</v>
      </c>
    </row>
    <row r="9">
      <c r="A9">
        <f>lc_detailed!W10</f>
        <v/>
      </c>
      <c r="B9" s="23">
        <f>lc_detailed!AB10</f>
        <v/>
      </c>
      <c r="C9" s="23">
        <f>lc_detailed!AC10</f>
        <v/>
      </c>
      <c r="D9" s="23">
        <f>lc_detailed!AD10</f>
        <v/>
      </c>
      <c r="E9" s="23">
        <f>lc_detailed!AE10</f>
        <v/>
      </c>
      <c r="F9" s="23">
        <f>lc_detailed!AF10</f>
        <v/>
      </c>
      <c r="G9" s="23">
        <f>lc_detailed!AG10</f>
        <v/>
      </c>
      <c r="H9" s="23">
        <f>lc_detailed!AH10</f>
        <v/>
      </c>
      <c r="I9" s="23">
        <f>lc_detailed!AI10</f>
        <v/>
      </c>
      <c r="J9" s="23">
        <f>lc_detailed!AK10</f>
        <v/>
      </c>
      <c r="K9" s="23">
        <f>lc_detailed!AL10</f>
        <v/>
      </c>
      <c r="L9" s="23">
        <f>lc_detailed!Y10</f>
        <v/>
      </c>
      <c r="N9" t="inlineStr">
        <is>
          <t>x</t>
        </is>
      </c>
      <c r="O9" t="n">
        <v>360.3466429740373</v>
      </c>
      <c r="P9" t="n">
        <v>42.4789764674526</v>
      </c>
      <c r="Q9" t="n">
        <v>464.6336617286929</v>
      </c>
      <c r="R9" t="n">
        <v>-7.504453029287595</v>
      </c>
      <c r="S9" t="n">
        <v>-946.0885173709001</v>
      </c>
      <c r="T9" t="n">
        <v>214.5739079866578</v>
      </c>
      <c r="U9" t="n">
        <v>117.9560160184401</v>
      </c>
      <c r="V9" t="n">
        <v>3.542547876</v>
      </c>
      <c r="W9" t="n">
        <v>0</v>
      </c>
      <c r="X9" t="n">
        <v>161.2377157083531</v>
      </c>
      <c r="Y9" t="n">
        <v>411.1764983594461</v>
      </c>
    </row>
    <row r="10">
      <c r="A10">
        <f>lc_detailed!W11</f>
        <v/>
      </c>
      <c r="B10" s="23">
        <f>lc_detailed!AB11</f>
        <v/>
      </c>
      <c r="C10" s="23">
        <f>lc_detailed!AC11</f>
        <v/>
      </c>
      <c r="D10" s="23">
        <f>lc_detailed!AD11</f>
        <v/>
      </c>
      <c r="E10" s="23">
        <f>lc_detailed!AE11</f>
        <v/>
      </c>
      <c r="F10" s="23">
        <f>lc_detailed!AF11</f>
        <v/>
      </c>
      <c r="G10" s="23">
        <f>lc_detailed!AG11</f>
        <v/>
      </c>
      <c r="H10" s="23">
        <f>lc_detailed!AH11</f>
        <v/>
      </c>
      <c r="I10" s="23">
        <f>lc_detailed!AI11</f>
        <v/>
      </c>
      <c r="J10" s="23">
        <f>lc_detailed!AK11</f>
        <v/>
      </c>
      <c r="K10" s="23">
        <f>lc_detailed!AL11</f>
        <v/>
      </c>
      <c r="L10" s="23">
        <f>lc_detailed!Y11</f>
        <v/>
      </c>
      <c r="N10" t="inlineStr">
        <is>
          <t>x</t>
        </is>
      </c>
      <c r="O10" t="n">
        <v>347.6855849610432</v>
      </c>
      <c r="P10" t="n">
        <v>42.01571235562115</v>
      </c>
      <c r="Q10" t="n">
        <v>546.0953646193926</v>
      </c>
      <c r="R10" t="n">
        <v>-11.05139365978079</v>
      </c>
      <c r="S10" t="n">
        <v>-860.9608320265548</v>
      </c>
      <c r="T10" t="n">
        <v>214.5739079866578</v>
      </c>
      <c r="U10" t="n">
        <v>117.9560160184401</v>
      </c>
      <c r="V10" t="n">
        <v>3.542547876</v>
      </c>
      <c r="W10" t="n">
        <v>0</v>
      </c>
      <c r="X10" t="n">
        <v>161.2377157083531</v>
      </c>
      <c r="Y10" t="n">
        <v>561.0946238391725</v>
      </c>
    </row>
    <row r="11">
      <c r="A11">
        <f>lc_detailed!W12</f>
        <v/>
      </c>
      <c r="B11" s="23">
        <f>lc_detailed!AB12</f>
        <v/>
      </c>
      <c r="C11" s="23">
        <f>lc_detailed!AC12</f>
        <v/>
      </c>
      <c r="D11" s="23">
        <f>lc_detailed!AD12</f>
        <v/>
      </c>
      <c r="E11" s="23">
        <f>lc_detailed!AE12</f>
        <v/>
      </c>
      <c r="F11" s="23">
        <f>lc_detailed!AF12</f>
        <v/>
      </c>
      <c r="G11" s="23">
        <f>lc_detailed!AG12</f>
        <v/>
      </c>
      <c r="H11" s="23">
        <f>lc_detailed!AH12</f>
        <v/>
      </c>
      <c r="I11" s="23">
        <f>lc_detailed!AI12</f>
        <v/>
      </c>
      <c r="J11" s="23">
        <f>lc_detailed!AK12</f>
        <v/>
      </c>
      <c r="K11" s="23">
        <f>lc_detailed!AL12</f>
        <v/>
      </c>
      <c r="L11" s="23">
        <f>lc_detailed!Y12</f>
        <v/>
      </c>
      <c r="N11" t="inlineStr">
        <is>
          <t>x</t>
        </is>
      </c>
      <c r="O11" t="n">
        <v>361.1059964560414</v>
      </c>
      <c r="P11" t="n">
        <v>42.19656003087247</v>
      </c>
      <c r="Q11" t="n">
        <v>554.9045367088487</v>
      </c>
      <c r="R11" t="n">
        <v>-11.93696727743171</v>
      </c>
      <c r="S11" t="n">
        <v>-852.2572362756853</v>
      </c>
      <c r="T11" t="n">
        <v>214.5739079866578</v>
      </c>
      <c r="U11" t="n">
        <v>117.9560160184401</v>
      </c>
      <c r="V11" t="n">
        <v>3.542547876</v>
      </c>
      <c r="W11" t="n">
        <v>0</v>
      </c>
      <c r="X11" t="n">
        <v>161.2377157083531</v>
      </c>
      <c r="Y11" t="n">
        <v>591.3230772320968</v>
      </c>
    </row>
    <row r="12">
      <c r="A12">
        <f>lc_detailed!W13</f>
        <v/>
      </c>
      <c r="B12" s="23">
        <f>lc_detailed!AB13</f>
        <v/>
      </c>
      <c r="C12" s="23">
        <f>lc_detailed!AC13</f>
        <v/>
      </c>
      <c r="D12" s="23">
        <f>lc_detailed!AD13</f>
        <v/>
      </c>
      <c r="E12" s="23">
        <f>lc_detailed!AE13</f>
        <v/>
      </c>
      <c r="F12" s="23">
        <f>lc_detailed!AF13</f>
        <v/>
      </c>
      <c r="G12" s="23">
        <f>lc_detailed!AG13</f>
        <v/>
      </c>
      <c r="H12" s="23">
        <f>lc_detailed!AH13</f>
        <v/>
      </c>
      <c r="I12" s="23">
        <f>lc_detailed!AI13</f>
        <v/>
      </c>
      <c r="J12" s="23">
        <f>lc_detailed!AK13</f>
        <v/>
      </c>
      <c r="K12" s="23">
        <f>lc_detailed!AL13</f>
        <v/>
      </c>
      <c r="L12" s="23">
        <f>lc_detailed!Y13</f>
        <v/>
      </c>
      <c r="N12" t="inlineStr">
        <is>
          <t>x</t>
        </is>
      </c>
      <c r="O12" t="n">
        <v>439.9294040740266</v>
      </c>
      <c r="P12" t="n">
        <v>32.22448604269024</v>
      </c>
      <c r="Q12" t="n">
        <v>443.3854523960023</v>
      </c>
      <c r="R12" t="n">
        <v>-12.43479747504818</v>
      </c>
      <c r="S12" t="n">
        <v>-1013.40748156472</v>
      </c>
      <c r="T12" t="n">
        <v>194.2604033039462</v>
      </c>
      <c r="U12" t="n">
        <v>106.8554210806572</v>
      </c>
      <c r="V12" t="n">
        <v>2.946301684</v>
      </c>
      <c r="W12" t="n">
        <v>0</v>
      </c>
      <c r="X12" t="n">
        <v>407.7681570869949</v>
      </c>
      <c r="Y12" t="n">
        <v>601.5273466285496</v>
      </c>
    </row>
    <row r="13">
      <c r="A13">
        <f>lc_detailed!W14</f>
        <v/>
      </c>
      <c r="B13" s="23">
        <f>lc_detailed!AB14</f>
        <v/>
      </c>
      <c r="C13" s="23">
        <f>lc_detailed!AC14</f>
        <v/>
      </c>
      <c r="D13" s="23">
        <f>lc_detailed!AD14</f>
        <v/>
      </c>
      <c r="E13" s="23">
        <f>lc_detailed!AE14</f>
        <v/>
      </c>
      <c r="F13" s="23">
        <f>lc_detailed!AF14</f>
        <v/>
      </c>
      <c r="G13" s="23">
        <f>lc_detailed!AG14</f>
        <v/>
      </c>
      <c r="H13" s="23">
        <f>lc_detailed!AH14</f>
        <v/>
      </c>
      <c r="I13" s="23">
        <f>lc_detailed!AI14</f>
        <v/>
      </c>
      <c r="J13" s="23">
        <f>lc_detailed!AK14</f>
        <v/>
      </c>
      <c r="K13" s="23">
        <f>lc_detailed!AL14</f>
        <v/>
      </c>
      <c r="L13" s="23">
        <f>lc_detailed!Y14</f>
        <v/>
      </c>
      <c r="N13" t="inlineStr">
        <is>
          <t>x</t>
        </is>
      </c>
      <c r="O13" t="n">
        <v>360.3466428412359</v>
      </c>
      <c r="P13" t="n">
        <v>33.32611909244035</v>
      </c>
      <c r="Q13" t="n">
        <v>505.774068372776</v>
      </c>
      <c r="R13" t="n">
        <v>-7.504453025649005</v>
      </c>
      <c r="S13" t="n">
        <v>-946.0885169789337</v>
      </c>
      <c r="T13" t="n">
        <v>194.2604033039462</v>
      </c>
      <c r="U13" t="n">
        <v>106.8554210806572</v>
      </c>
      <c r="V13" t="n">
        <v>2.946301684</v>
      </c>
      <c r="W13" t="n">
        <v>0</v>
      </c>
      <c r="X13" t="n">
        <v>407.7681570869949</v>
      </c>
      <c r="Y13" t="n">
        <v>657.6841434574678</v>
      </c>
    </row>
    <row r="14">
      <c r="A14">
        <f>lc_detailed!W15</f>
        <v/>
      </c>
      <c r="B14" s="23">
        <f>lc_detailed!AB15</f>
        <v/>
      </c>
      <c r="C14" s="23">
        <f>lc_detailed!AC15</f>
        <v/>
      </c>
      <c r="D14" s="23">
        <f>lc_detailed!AD15</f>
        <v/>
      </c>
      <c r="E14" s="23">
        <f>lc_detailed!AE15</f>
        <v/>
      </c>
      <c r="F14" s="23">
        <f>lc_detailed!AF15</f>
        <v/>
      </c>
      <c r="G14" s="23">
        <f>lc_detailed!AG15</f>
        <v/>
      </c>
      <c r="H14" s="23">
        <f>lc_detailed!AH15</f>
        <v/>
      </c>
      <c r="I14" s="23">
        <f>lc_detailed!AI15</f>
        <v/>
      </c>
      <c r="J14" s="23">
        <f>lc_detailed!AK15</f>
        <v/>
      </c>
      <c r="K14" s="23">
        <f>lc_detailed!AL15</f>
        <v/>
      </c>
      <c r="L14" s="23">
        <f>lc_detailed!Y15</f>
        <v/>
      </c>
      <c r="N14" t="inlineStr">
        <is>
          <t>x</t>
        </is>
      </c>
      <c r="O14" t="n">
        <v>432.6620378808233</v>
      </c>
      <c r="P14" t="n">
        <v>41.53220522158397</v>
      </c>
      <c r="Q14" t="n">
        <v>560.5403677449619</v>
      </c>
      <c r="R14" t="n">
        <v>-14.32303127617547</v>
      </c>
      <c r="S14" t="n">
        <v>-848.5084515168575</v>
      </c>
      <c r="T14" t="n">
        <v>214.5739079866578</v>
      </c>
      <c r="U14" t="n">
        <v>117.9560160184401</v>
      </c>
      <c r="V14" t="n">
        <v>3.542547876</v>
      </c>
      <c r="W14" t="n">
        <v>0</v>
      </c>
      <c r="X14" t="n">
        <v>161.2377157083531</v>
      </c>
      <c r="Y14" t="n">
        <v>669.2133156437874</v>
      </c>
    </row>
    <row r="15">
      <c r="A15">
        <f>lc_detailed!W16</f>
        <v/>
      </c>
      <c r="B15" s="23">
        <f>lc_detailed!AB16</f>
        <v/>
      </c>
      <c r="C15" s="23">
        <f>lc_detailed!AC16</f>
        <v/>
      </c>
      <c r="D15" s="23">
        <f>lc_detailed!AD16</f>
        <v/>
      </c>
      <c r="E15" s="23">
        <f>lc_detailed!AE16</f>
        <v/>
      </c>
      <c r="F15" s="23">
        <f>lc_detailed!AF16</f>
        <v/>
      </c>
      <c r="G15" s="23">
        <f>lc_detailed!AG16</f>
        <v/>
      </c>
      <c r="H15" s="23">
        <f>lc_detailed!AH16</f>
        <v/>
      </c>
      <c r="I15" s="23">
        <f>lc_detailed!AI16</f>
        <v/>
      </c>
      <c r="J15" s="23">
        <f>lc_detailed!AK16</f>
        <v/>
      </c>
      <c r="K15" s="23">
        <f>lc_detailed!AL16</f>
        <v/>
      </c>
      <c r="L15" s="23">
        <f>lc_detailed!Y16</f>
        <v/>
      </c>
      <c r="N15" t="inlineStr">
        <is>
          <t>x</t>
        </is>
      </c>
      <c r="O15" t="n">
        <v>432.6620378808233</v>
      </c>
      <c r="P15" t="n">
        <v>41.53220522158397</v>
      </c>
      <c r="Q15" t="n">
        <v>560.5403677449619</v>
      </c>
      <c r="R15" t="n">
        <v>-14.32303127617547</v>
      </c>
      <c r="S15" t="n">
        <v>-848.5084515168575</v>
      </c>
      <c r="T15" t="n">
        <v>214.5739079866578</v>
      </c>
      <c r="U15" t="n">
        <v>117.9560160184401</v>
      </c>
      <c r="V15" t="n">
        <v>3.542547876</v>
      </c>
      <c r="W15" t="n">
        <v>0</v>
      </c>
      <c r="X15" t="n">
        <v>161.2377157083531</v>
      </c>
      <c r="Y15" t="n">
        <v>669.2133156437874</v>
      </c>
    </row>
    <row r="16">
      <c r="A16">
        <f>lc_detailed!W17</f>
        <v/>
      </c>
      <c r="B16" s="23">
        <f>lc_detailed!AB17</f>
        <v/>
      </c>
      <c r="C16" s="23">
        <f>lc_detailed!AC17</f>
        <v/>
      </c>
      <c r="D16" s="23">
        <f>lc_detailed!AD17</f>
        <v/>
      </c>
      <c r="E16" s="23">
        <f>lc_detailed!AE17</f>
        <v/>
      </c>
      <c r="F16" s="23">
        <f>lc_detailed!AF17</f>
        <v/>
      </c>
      <c r="G16" s="23">
        <f>lc_detailed!AG17</f>
        <v/>
      </c>
      <c r="H16" s="23">
        <f>lc_detailed!AH17</f>
        <v/>
      </c>
      <c r="I16" s="23">
        <f>lc_detailed!AI17</f>
        <v/>
      </c>
      <c r="J16" s="23">
        <f>lc_detailed!AK17</f>
        <v/>
      </c>
      <c r="K16" s="23">
        <f>lc_detailed!AL17</f>
        <v/>
      </c>
      <c r="L16" s="23">
        <f>lc_detailed!Y17</f>
        <v/>
      </c>
      <c r="N16" t="inlineStr">
        <is>
          <t>x</t>
        </is>
      </c>
      <c r="O16" t="n">
        <v>432.6620378808233</v>
      </c>
      <c r="P16" t="n">
        <v>41.53220522158397</v>
      </c>
      <c r="Q16" t="n">
        <v>560.5403677449619</v>
      </c>
      <c r="R16" t="n">
        <v>-14.32303127617547</v>
      </c>
      <c r="S16" t="n">
        <v>-848.5084515168575</v>
      </c>
      <c r="T16" t="n">
        <v>214.5739079866578</v>
      </c>
      <c r="U16" t="n">
        <v>117.9560160184401</v>
      </c>
      <c r="V16" t="n">
        <v>3.542547876</v>
      </c>
      <c r="W16" t="n">
        <v>0</v>
      </c>
      <c r="X16" t="n">
        <v>161.2377157083531</v>
      </c>
      <c r="Y16" t="n">
        <v>669.2133156437874</v>
      </c>
    </row>
    <row r="17">
      <c r="A17">
        <f>lc_detailed!W18</f>
        <v/>
      </c>
      <c r="B17" s="23">
        <f>lc_detailed!AB18</f>
        <v/>
      </c>
      <c r="C17" s="23">
        <f>lc_detailed!AC18</f>
        <v/>
      </c>
      <c r="D17" s="23">
        <f>lc_detailed!AD18</f>
        <v/>
      </c>
      <c r="E17" s="23">
        <f>lc_detailed!AE18</f>
        <v/>
      </c>
      <c r="F17" s="23">
        <f>lc_detailed!AF18</f>
        <v/>
      </c>
      <c r="G17" s="23">
        <f>lc_detailed!AG18</f>
        <v/>
      </c>
      <c r="H17" s="23">
        <f>lc_detailed!AH18</f>
        <v/>
      </c>
      <c r="I17" s="23">
        <f>lc_detailed!AI18</f>
        <v/>
      </c>
      <c r="J17" s="23">
        <f>lc_detailed!AK18</f>
        <v/>
      </c>
      <c r="K17" s="23">
        <f>lc_detailed!AL18</f>
        <v/>
      </c>
      <c r="L17" s="23">
        <f>lc_detailed!Y18</f>
        <v/>
      </c>
      <c r="N17" t="inlineStr">
        <is>
          <t>x</t>
        </is>
      </c>
      <c r="O17" t="n">
        <v>432.6620378808233</v>
      </c>
      <c r="P17" t="n">
        <v>41.53220522158397</v>
      </c>
      <c r="Q17" t="n">
        <v>560.5403677449619</v>
      </c>
      <c r="R17" t="n">
        <v>-14.32303127617547</v>
      </c>
      <c r="S17" t="n">
        <v>-848.5084515168575</v>
      </c>
      <c r="T17" t="n">
        <v>214.5739079866578</v>
      </c>
      <c r="U17" t="n">
        <v>117.9560160184401</v>
      </c>
      <c r="V17" t="n">
        <v>3.542547876</v>
      </c>
      <c r="W17" t="n">
        <v>0</v>
      </c>
      <c r="X17" t="n">
        <v>161.2377157083531</v>
      </c>
      <c r="Y17" t="n">
        <v>669.2133156437874</v>
      </c>
    </row>
    <row r="18">
      <c r="A18">
        <f>lc_detailed!W19</f>
        <v/>
      </c>
      <c r="B18" s="23">
        <f>lc_detailed!AB19</f>
        <v/>
      </c>
      <c r="C18" s="23">
        <f>lc_detailed!AC19</f>
        <v/>
      </c>
      <c r="D18" s="23">
        <f>lc_detailed!AD19</f>
        <v/>
      </c>
      <c r="E18" s="23">
        <f>lc_detailed!AE19</f>
        <v/>
      </c>
      <c r="F18" s="23">
        <f>lc_detailed!AF19</f>
        <v/>
      </c>
      <c r="G18" s="23">
        <f>lc_detailed!AG19</f>
        <v/>
      </c>
      <c r="H18" s="23">
        <f>lc_detailed!AH19</f>
        <v/>
      </c>
      <c r="I18" s="23">
        <f>lc_detailed!AI19</f>
        <v/>
      </c>
      <c r="J18" s="23">
        <f>lc_detailed!AK19</f>
        <v/>
      </c>
      <c r="K18" s="23">
        <f>lc_detailed!AL19</f>
        <v/>
      </c>
      <c r="L18" s="23">
        <f>lc_detailed!Y19</f>
        <v/>
      </c>
      <c r="N18" t="inlineStr">
        <is>
          <t>x</t>
        </is>
      </c>
      <c r="O18" t="n">
        <v>432.6620378808233</v>
      </c>
      <c r="P18" t="n">
        <v>41.53220522158397</v>
      </c>
      <c r="Q18" t="n">
        <v>560.5403677449619</v>
      </c>
      <c r="R18" t="n">
        <v>-14.32303127617547</v>
      </c>
      <c r="S18" t="n">
        <v>-848.5084515168575</v>
      </c>
      <c r="T18" t="n">
        <v>214.5739079866578</v>
      </c>
      <c r="U18" t="n">
        <v>117.9560160184401</v>
      </c>
      <c r="V18" t="n">
        <v>3.542547876</v>
      </c>
      <c r="W18" t="n">
        <v>0</v>
      </c>
      <c r="X18" t="n">
        <v>161.2377157083531</v>
      </c>
      <c r="Y18" t="n">
        <v>669.2133156437874</v>
      </c>
    </row>
    <row r="19">
      <c r="A19">
        <f>lc_detailed!W20</f>
        <v/>
      </c>
      <c r="B19" s="23">
        <f>lc_detailed!AB20</f>
        <v/>
      </c>
      <c r="C19" s="23">
        <f>lc_detailed!AC20</f>
        <v/>
      </c>
      <c r="D19" s="23">
        <f>lc_detailed!AD20</f>
        <v/>
      </c>
      <c r="E19" s="23">
        <f>lc_detailed!AE20</f>
        <v/>
      </c>
      <c r="F19" s="23">
        <f>lc_detailed!AF20</f>
        <v/>
      </c>
      <c r="G19" s="23">
        <f>lc_detailed!AG20</f>
        <v/>
      </c>
      <c r="H19" s="23">
        <f>lc_detailed!AH20</f>
        <v/>
      </c>
      <c r="I19" s="23">
        <f>lc_detailed!AI20</f>
        <v/>
      </c>
      <c r="J19" s="23">
        <f>lc_detailed!AK20</f>
        <v/>
      </c>
      <c r="K19" s="23">
        <f>lc_detailed!AL20</f>
        <v/>
      </c>
      <c r="L19" s="23">
        <f>lc_detailed!Y20</f>
        <v/>
      </c>
      <c r="N19" t="inlineStr">
        <is>
          <t>x</t>
        </is>
      </c>
      <c r="O19" t="n">
        <v>432.6620378808233</v>
      </c>
      <c r="P19" t="n">
        <v>41.53220522158397</v>
      </c>
      <c r="Q19" t="n">
        <v>560.5403677449619</v>
      </c>
      <c r="R19" t="n">
        <v>-14.32303127617547</v>
      </c>
      <c r="S19" t="n">
        <v>-848.5084515168575</v>
      </c>
      <c r="T19" t="n">
        <v>214.5739079866578</v>
      </c>
      <c r="U19" t="n">
        <v>117.9560160184401</v>
      </c>
      <c r="V19" t="n">
        <v>3.542547876</v>
      </c>
      <c r="W19" t="n">
        <v>0</v>
      </c>
      <c r="X19" t="n">
        <v>161.2377157083531</v>
      </c>
      <c r="Y19" t="n">
        <v>669.2133156437874</v>
      </c>
    </row>
    <row r="20">
      <c r="A20">
        <f>lc_detailed!W21</f>
        <v/>
      </c>
      <c r="B20" s="23">
        <f>lc_detailed!AB21</f>
        <v/>
      </c>
      <c r="C20" s="23">
        <f>lc_detailed!AC21</f>
        <v/>
      </c>
      <c r="D20" s="23">
        <f>lc_detailed!AD21</f>
        <v/>
      </c>
      <c r="E20" s="23">
        <f>lc_detailed!AE21</f>
        <v/>
      </c>
      <c r="F20" s="23">
        <f>lc_detailed!AF21</f>
        <v/>
      </c>
      <c r="G20" s="23">
        <f>lc_detailed!AG21</f>
        <v/>
      </c>
      <c r="H20" s="23">
        <f>lc_detailed!AH21</f>
        <v/>
      </c>
      <c r="I20" s="23">
        <f>lc_detailed!AI21</f>
        <v/>
      </c>
      <c r="J20" s="23">
        <f>lc_detailed!AK21</f>
        <v/>
      </c>
      <c r="K20" s="23">
        <f>lc_detailed!AL21</f>
        <v/>
      </c>
      <c r="L20" s="23">
        <f>lc_detailed!Y21</f>
        <v/>
      </c>
      <c r="N20" t="inlineStr">
        <is>
          <t>x</t>
        </is>
      </c>
      <c r="O20" t="n">
        <v>432.6620378808233</v>
      </c>
      <c r="P20" t="n">
        <v>41.53220522158397</v>
      </c>
      <c r="Q20" t="n">
        <v>560.5403677449619</v>
      </c>
      <c r="R20" t="n">
        <v>-14.32303127617547</v>
      </c>
      <c r="S20" t="n">
        <v>-848.5084515168575</v>
      </c>
      <c r="T20" t="n">
        <v>214.5739079866578</v>
      </c>
      <c r="U20" t="n">
        <v>117.9560160184401</v>
      </c>
      <c r="V20" t="n">
        <v>3.542547876</v>
      </c>
      <c r="W20" t="n">
        <v>0</v>
      </c>
      <c r="X20" t="n">
        <v>161.2377157083531</v>
      </c>
      <c r="Y20" t="n">
        <v>669.2133156437874</v>
      </c>
    </row>
    <row r="21">
      <c r="A21">
        <f>lc_detailed!W22</f>
        <v/>
      </c>
      <c r="B21" s="23">
        <f>lc_detailed!AB22</f>
        <v/>
      </c>
      <c r="C21" s="23">
        <f>lc_detailed!AC22</f>
        <v/>
      </c>
      <c r="D21" s="23">
        <f>lc_detailed!AD22</f>
        <v/>
      </c>
      <c r="E21" s="23">
        <f>lc_detailed!AE22</f>
        <v/>
      </c>
      <c r="F21" s="23">
        <f>lc_detailed!AF22</f>
        <v/>
      </c>
      <c r="G21" s="23">
        <f>lc_detailed!AG22</f>
        <v/>
      </c>
      <c r="H21" s="23">
        <f>lc_detailed!AH22</f>
        <v/>
      </c>
      <c r="I21" s="23">
        <f>lc_detailed!AI22</f>
        <v/>
      </c>
      <c r="J21" s="23">
        <f>lc_detailed!AK22</f>
        <v/>
      </c>
      <c r="K21" s="23">
        <f>lc_detailed!AL22</f>
        <v/>
      </c>
      <c r="L21" s="23">
        <f>lc_detailed!Y22</f>
        <v/>
      </c>
      <c r="N21" t="inlineStr">
        <is>
          <t>x</t>
        </is>
      </c>
      <c r="O21" t="n">
        <v>432.6620378808233</v>
      </c>
      <c r="P21" t="n">
        <v>41.53220522158397</v>
      </c>
      <c r="Q21" t="n">
        <v>560.5403677449619</v>
      </c>
      <c r="R21" t="n">
        <v>-14.32303127617547</v>
      </c>
      <c r="S21" t="n">
        <v>-848.5084515168575</v>
      </c>
      <c r="T21" t="n">
        <v>214.5739079866578</v>
      </c>
      <c r="U21" t="n">
        <v>117.9560160184401</v>
      </c>
      <c r="V21" t="n">
        <v>3.542547876</v>
      </c>
      <c r="W21" t="n">
        <v>0</v>
      </c>
      <c r="X21" t="n">
        <v>161.2377157083531</v>
      </c>
      <c r="Y21" t="n">
        <v>669.2133156437874</v>
      </c>
    </row>
    <row r="22">
      <c r="A22">
        <f>lc_detailed!W23</f>
        <v/>
      </c>
      <c r="B22" s="23">
        <f>lc_detailed!AB23</f>
        <v/>
      </c>
      <c r="C22" s="23">
        <f>lc_detailed!AC23</f>
        <v/>
      </c>
      <c r="D22" s="23">
        <f>lc_detailed!AD23</f>
        <v/>
      </c>
      <c r="E22" s="23">
        <f>lc_detailed!AE23</f>
        <v/>
      </c>
      <c r="F22" s="23">
        <f>lc_detailed!AF23</f>
        <v/>
      </c>
      <c r="G22" s="23">
        <f>lc_detailed!AG23</f>
        <v/>
      </c>
      <c r="H22" s="23">
        <f>lc_detailed!AH23</f>
        <v/>
      </c>
      <c r="I22" s="23">
        <f>lc_detailed!AI23</f>
        <v/>
      </c>
      <c r="J22" s="23">
        <f>lc_detailed!AK23</f>
        <v/>
      </c>
      <c r="K22" s="23">
        <f>lc_detailed!AL23</f>
        <v/>
      </c>
      <c r="L22" s="23">
        <f>lc_detailed!Y23</f>
        <v/>
      </c>
      <c r="N22" t="inlineStr">
        <is>
          <t>x</t>
        </is>
      </c>
      <c r="O22" t="n">
        <v>432.6620378808233</v>
      </c>
      <c r="P22" t="n">
        <v>41.53220522158397</v>
      </c>
      <c r="Q22" t="n">
        <v>560.5403677449619</v>
      </c>
      <c r="R22" t="n">
        <v>-14.32303127617547</v>
      </c>
      <c r="S22" t="n">
        <v>-848.5084515168575</v>
      </c>
      <c r="T22" t="n">
        <v>214.5739079866578</v>
      </c>
      <c r="U22" t="n">
        <v>117.9560160184401</v>
      </c>
      <c r="V22" t="n">
        <v>3.542547876</v>
      </c>
      <c r="W22" t="n">
        <v>0</v>
      </c>
      <c r="X22" t="n">
        <v>161.2377157083531</v>
      </c>
      <c r="Y22" t="n">
        <v>669.2133156437874</v>
      </c>
    </row>
    <row r="23">
      <c r="A23">
        <f>lc_detailed!W24</f>
        <v/>
      </c>
      <c r="B23" s="23">
        <f>lc_detailed!AB24</f>
        <v/>
      </c>
      <c r="C23" s="23">
        <f>lc_detailed!AC24</f>
        <v/>
      </c>
      <c r="D23" s="23">
        <f>lc_detailed!AD24</f>
        <v/>
      </c>
      <c r="E23" s="23">
        <f>lc_detailed!AE24</f>
        <v/>
      </c>
      <c r="F23" s="23">
        <f>lc_detailed!AF24</f>
        <v/>
      </c>
      <c r="G23" s="23">
        <f>lc_detailed!AG24</f>
        <v/>
      </c>
      <c r="H23" s="23">
        <f>lc_detailed!AH24</f>
        <v/>
      </c>
      <c r="I23" s="23">
        <f>lc_detailed!AI24</f>
        <v/>
      </c>
      <c r="J23" s="23">
        <f>lc_detailed!AK24</f>
        <v/>
      </c>
      <c r="K23" s="23">
        <f>lc_detailed!AL24</f>
        <v/>
      </c>
      <c r="L23" s="23">
        <f>lc_detailed!Y24</f>
        <v/>
      </c>
      <c r="N23" t="inlineStr">
        <is>
          <t>x</t>
        </is>
      </c>
      <c r="O23" t="n">
        <v>432.6620378808233</v>
      </c>
      <c r="P23" t="n">
        <v>41.53220522158397</v>
      </c>
      <c r="Q23" t="n">
        <v>560.5403677449619</v>
      </c>
      <c r="R23" t="n">
        <v>-14.32303127617547</v>
      </c>
      <c r="S23" t="n">
        <v>-848.5084515168575</v>
      </c>
      <c r="T23" t="n">
        <v>214.5739079866578</v>
      </c>
      <c r="U23" t="n">
        <v>117.9560160184401</v>
      </c>
      <c r="V23" t="n">
        <v>3.542547876</v>
      </c>
      <c r="W23" t="n">
        <v>0</v>
      </c>
      <c r="X23" t="n">
        <v>161.2377157083531</v>
      </c>
      <c r="Y23" t="n">
        <v>669.2133156437874</v>
      </c>
    </row>
    <row r="24">
      <c r="A24">
        <f>lc_detailed!W25</f>
        <v/>
      </c>
      <c r="B24" s="23">
        <f>lc_detailed!AB25</f>
        <v/>
      </c>
      <c r="C24" s="23">
        <f>lc_detailed!AC25</f>
        <v/>
      </c>
      <c r="D24" s="23">
        <f>lc_detailed!AD25</f>
        <v/>
      </c>
      <c r="E24" s="23">
        <f>lc_detailed!AE25</f>
        <v/>
      </c>
      <c r="F24" s="23">
        <f>lc_detailed!AF25</f>
        <v/>
      </c>
      <c r="G24" s="23">
        <f>lc_detailed!AG25</f>
        <v/>
      </c>
      <c r="H24" s="23">
        <f>lc_detailed!AH25</f>
        <v/>
      </c>
      <c r="I24" s="23">
        <f>lc_detailed!AI25</f>
        <v/>
      </c>
      <c r="J24" s="23">
        <f>lc_detailed!AK25</f>
        <v/>
      </c>
      <c r="K24" s="23">
        <f>lc_detailed!AL25</f>
        <v/>
      </c>
      <c r="L24" s="23">
        <f>lc_detailed!Y25</f>
        <v/>
      </c>
      <c r="N24" t="inlineStr">
        <is>
          <t>x</t>
        </is>
      </c>
      <c r="O24" t="n">
        <v>432.6620378808233</v>
      </c>
      <c r="P24" t="n">
        <v>41.53220522158397</v>
      </c>
      <c r="Q24" t="n">
        <v>560.5403677449619</v>
      </c>
      <c r="R24" t="n">
        <v>-14.32303127617547</v>
      </c>
      <c r="S24" t="n">
        <v>-848.5084515168575</v>
      </c>
      <c r="T24" t="n">
        <v>214.5739079866578</v>
      </c>
      <c r="U24" t="n">
        <v>117.9560160184401</v>
      </c>
      <c r="V24" t="n">
        <v>3.542547876</v>
      </c>
      <c r="W24" t="n">
        <v>0</v>
      </c>
      <c r="X24" t="n">
        <v>161.2377157083531</v>
      </c>
      <c r="Y24" t="n">
        <v>669.2133156437874</v>
      </c>
    </row>
    <row r="25">
      <c r="A25">
        <f>lc_detailed!W26</f>
        <v/>
      </c>
      <c r="B25" s="23">
        <f>lc_detailed!AB26</f>
        <v/>
      </c>
      <c r="C25" s="23">
        <f>lc_detailed!AC26</f>
        <v/>
      </c>
      <c r="D25" s="23">
        <f>lc_detailed!AD26</f>
        <v/>
      </c>
      <c r="E25" s="23">
        <f>lc_detailed!AE26</f>
        <v/>
      </c>
      <c r="F25" s="23">
        <f>lc_detailed!AF26</f>
        <v/>
      </c>
      <c r="G25" s="23">
        <f>lc_detailed!AG26</f>
        <v/>
      </c>
      <c r="H25" s="23">
        <f>lc_detailed!AH26</f>
        <v/>
      </c>
      <c r="I25" s="23">
        <f>lc_detailed!AI26</f>
        <v/>
      </c>
      <c r="J25" s="23">
        <f>lc_detailed!AK26</f>
        <v/>
      </c>
      <c r="K25" s="23">
        <f>lc_detailed!AL26</f>
        <v/>
      </c>
      <c r="L25" s="23">
        <f>lc_detailed!Y26</f>
        <v/>
      </c>
      <c r="N25" t="inlineStr">
        <is>
          <t>x</t>
        </is>
      </c>
      <c r="O25" t="n">
        <v>432.6620378808233</v>
      </c>
      <c r="P25" t="n">
        <v>41.53220522158397</v>
      </c>
      <c r="Q25" t="n">
        <v>560.5403677449619</v>
      </c>
      <c r="R25" t="n">
        <v>-14.32303127617547</v>
      </c>
      <c r="S25" t="n">
        <v>-848.5084515168575</v>
      </c>
      <c r="T25" t="n">
        <v>214.5739079866578</v>
      </c>
      <c r="U25" t="n">
        <v>117.9560160184401</v>
      </c>
      <c r="V25" t="n">
        <v>3.542547876</v>
      </c>
      <c r="W25" t="n">
        <v>0</v>
      </c>
      <c r="X25" t="n">
        <v>161.2377157083531</v>
      </c>
      <c r="Y25" t="n">
        <v>669.2133156437874</v>
      </c>
    </row>
    <row r="26">
      <c r="A26">
        <f>lc_detailed!W27</f>
        <v/>
      </c>
      <c r="B26" s="23">
        <f>lc_detailed!AB27</f>
        <v/>
      </c>
      <c r="C26" s="23">
        <f>lc_detailed!AC27</f>
        <v/>
      </c>
      <c r="D26" s="23">
        <f>lc_detailed!AD27</f>
        <v/>
      </c>
      <c r="E26" s="23">
        <f>lc_detailed!AE27</f>
        <v/>
      </c>
      <c r="F26" s="23">
        <f>lc_detailed!AF27</f>
        <v/>
      </c>
      <c r="G26" s="23">
        <f>lc_detailed!AG27</f>
        <v/>
      </c>
      <c r="H26" s="23">
        <f>lc_detailed!AH27</f>
        <v/>
      </c>
      <c r="I26" s="23">
        <f>lc_detailed!AI27</f>
        <v/>
      </c>
      <c r="J26" s="23">
        <f>lc_detailed!AK27</f>
        <v/>
      </c>
      <c r="K26" s="23">
        <f>lc_detailed!AL27</f>
        <v/>
      </c>
      <c r="L26" s="23">
        <f>lc_detailed!Y27</f>
        <v/>
      </c>
      <c r="N26" t="inlineStr">
        <is>
          <t>x</t>
        </is>
      </c>
      <c r="O26" t="n">
        <v>432.6620378808233</v>
      </c>
      <c r="P26" t="n">
        <v>41.53220522158397</v>
      </c>
      <c r="Q26" t="n">
        <v>560.5403677449619</v>
      </c>
      <c r="R26" t="n">
        <v>-14.32303127617547</v>
      </c>
      <c r="S26" t="n">
        <v>-848.5084515168575</v>
      </c>
      <c r="T26" t="n">
        <v>214.5739079866578</v>
      </c>
      <c r="U26" t="n">
        <v>117.9560160184401</v>
      </c>
      <c r="V26" t="n">
        <v>3.542547876</v>
      </c>
      <c r="W26" t="n">
        <v>0</v>
      </c>
      <c r="X26" t="n">
        <v>161.2377157083531</v>
      </c>
      <c r="Y26" t="n">
        <v>669.2133156437874</v>
      </c>
    </row>
    <row r="27">
      <c r="A27">
        <f>lc_detailed!W28</f>
        <v/>
      </c>
      <c r="B27" s="23">
        <f>lc_detailed!AB28</f>
        <v/>
      </c>
      <c r="C27" s="23">
        <f>lc_detailed!AC28</f>
        <v/>
      </c>
      <c r="D27" s="23">
        <f>lc_detailed!AD28</f>
        <v/>
      </c>
      <c r="E27" s="23">
        <f>lc_detailed!AE28</f>
        <v/>
      </c>
      <c r="F27" s="23">
        <f>lc_detailed!AF28</f>
        <v/>
      </c>
      <c r="G27" s="23">
        <f>lc_detailed!AG28</f>
        <v/>
      </c>
      <c r="H27" s="23">
        <f>lc_detailed!AH28</f>
        <v/>
      </c>
      <c r="I27" s="23">
        <f>lc_detailed!AI28</f>
        <v/>
      </c>
      <c r="J27" s="23">
        <f>lc_detailed!AK28</f>
        <v/>
      </c>
      <c r="K27" s="23">
        <f>lc_detailed!AL28</f>
        <v/>
      </c>
      <c r="L27" s="23">
        <f>lc_detailed!Y28</f>
        <v/>
      </c>
      <c r="N27" t="inlineStr">
        <is>
          <t>x</t>
        </is>
      </c>
      <c r="O27" t="n">
        <v>432.6620378808233</v>
      </c>
      <c r="P27" t="n">
        <v>41.53220522158397</v>
      </c>
      <c r="Q27" t="n">
        <v>560.5403677449619</v>
      </c>
      <c r="R27" t="n">
        <v>-14.32303127617547</v>
      </c>
      <c r="S27" t="n">
        <v>-848.5084515168575</v>
      </c>
      <c r="T27" t="n">
        <v>214.5739079866578</v>
      </c>
      <c r="U27" t="n">
        <v>117.9560160184401</v>
      </c>
      <c r="V27" t="n">
        <v>3.542547876</v>
      </c>
      <c r="W27" t="n">
        <v>0</v>
      </c>
      <c r="X27" t="n">
        <v>161.2377157083531</v>
      </c>
      <c r="Y27" t="n">
        <v>669.2133156437874</v>
      </c>
    </row>
    <row r="28">
      <c r="A28">
        <f>lc_detailed!W29</f>
        <v/>
      </c>
      <c r="B28" s="23">
        <f>lc_detailed!AB29</f>
        <v/>
      </c>
      <c r="C28" s="23">
        <f>lc_detailed!AC29</f>
        <v/>
      </c>
      <c r="D28" s="23">
        <f>lc_detailed!AD29</f>
        <v/>
      </c>
      <c r="E28" s="23">
        <f>lc_detailed!AE29</f>
        <v/>
      </c>
      <c r="F28" s="23">
        <f>lc_detailed!AF29</f>
        <v/>
      </c>
      <c r="G28" s="23">
        <f>lc_detailed!AG29</f>
        <v/>
      </c>
      <c r="H28" s="23">
        <f>lc_detailed!AH29</f>
        <v/>
      </c>
      <c r="I28" s="23">
        <f>lc_detailed!AI29</f>
        <v/>
      </c>
      <c r="J28" s="23">
        <f>lc_detailed!AK29</f>
        <v/>
      </c>
      <c r="K28" s="23">
        <f>lc_detailed!AL29</f>
        <v/>
      </c>
      <c r="L28" s="23">
        <f>lc_detailed!Y29</f>
        <v/>
      </c>
      <c r="N28" t="inlineStr">
        <is>
          <t>x</t>
        </is>
      </c>
      <c r="O28" t="n">
        <v>432.6620378808233</v>
      </c>
      <c r="P28" t="n">
        <v>41.53220522158397</v>
      </c>
      <c r="Q28" t="n">
        <v>560.5403677449619</v>
      </c>
      <c r="R28" t="n">
        <v>-14.32303127617547</v>
      </c>
      <c r="S28" t="n">
        <v>-848.5084515168575</v>
      </c>
      <c r="T28" t="n">
        <v>214.5739079866578</v>
      </c>
      <c r="U28" t="n">
        <v>117.9560160184401</v>
      </c>
      <c r="V28" t="n">
        <v>3.542547876</v>
      </c>
      <c r="W28" t="n">
        <v>0</v>
      </c>
      <c r="X28" t="n">
        <v>161.2377157083531</v>
      </c>
      <c r="Y28" t="n">
        <v>669.2133156437874</v>
      </c>
    </row>
    <row r="29">
      <c r="A29">
        <f>lc_detailed!W30</f>
        <v/>
      </c>
      <c r="B29" s="23">
        <f>lc_detailed!AB30</f>
        <v/>
      </c>
      <c r="C29" s="23">
        <f>lc_detailed!AC30</f>
        <v/>
      </c>
      <c r="D29" s="23">
        <f>lc_detailed!AD30</f>
        <v/>
      </c>
      <c r="E29" s="23">
        <f>lc_detailed!AE30</f>
        <v/>
      </c>
      <c r="F29" s="23">
        <f>lc_detailed!AF30</f>
        <v/>
      </c>
      <c r="G29" s="23">
        <f>lc_detailed!AG30</f>
        <v/>
      </c>
      <c r="H29" s="23">
        <f>lc_detailed!AH30</f>
        <v/>
      </c>
      <c r="I29" s="23">
        <f>lc_detailed!AI30</f>
        <v/>
      </c>
      <c r="J29" s="23">
        <f>lc_detailed!AK30</f>
        <v/>
      </c>
      <c r="K29" s="23">
        <f>lc_detailed!AL30</f>
        <v/>
      </c>
      <c r="L29" s="23">
        <f>lc_detailed!Y30</f>
        <v/>
      </c>
      <c r="N29" t="inlineStr">
        <is>
          <t>x</t>
        </is>
      </c>
      <c r="O29" t="n">
        <v>432.6620378808233</v>
      </c>
      <c r="P29" t="n">
        <v>41.53220522158397</v>
      </c>
      <c r="Q29" t="n">
        <v>560.5403677449619</v>
      </c>
      <c r="R29" t="n">
        <v>-14.32303127617547</v>
      </c>
      <c r="S29" t="n">
        <v>-848.5084515168575</v>
      </c>
      <c r="T29" t="n">
        <v>214.5739079866578</v>
      </c>
      <c r="U29" t="n">
        <v>117.9560160184401</v>
      </c>
      <c r="V29" t="n">
        <v>3.542547876</v>
      </c>
      <c r="W29" t="n">
        <v>0</v>
      </c>
      <c r="X29" t="n">
        <v>161.2377157083531</v>
      </c>
      <c r="Y29" t="n">
        <v>669.2133156437874</v>
      </c>
    </row>
    <row r="30">
      <c r="A30">
        <f>lc_detailed!W31</f>
        <v/>
      </c>
      <c r="B30" s="23">
        <f>lc_detailed!AB31</f>
        <v/>
      </c>
      <c r="C30" s="23">
        <f>lc_detailed!AC31</f>
        <v/>
      </c>
      <c r="D30" s="23">
        <f>lc_detailed!AD31</f>
        <v/>
      </c>
      <c r="E30" s="23">
        <f>lc_detailed!AE31</f>
        <v/>
      </c>
      <c r="F30" s="23">
        <f>lc_detailed!AF31</f>
        <v/>
      </c>
      <c r="G30" s="23">
        <f>lc_detailed!AG31</f>
        <v/>
      </c>
      <c r="H30" s="23">
        <f>lc_detailed!AH31</f>
        <v/>
      </c>
      <c r="I30" s="23">
        <f>lc_detailed!AI31</f>
        <v/>
      </c>
      <c r="J30" s="23">
        <f>lc_detailed!AK31</f>
        <v/>
      </c>
      <c r="K30" s="23">
        <f>lc_detailed!AL31</f>
        <v/>
      </c>
      <c r="L30" s="23">
        <f>lc_detailed!Y31</f>
        <v/>
      </c>
      <c r="N30" t="inlineStr">
        <is>
          <t>x</t>
        </is>
      </c>
      <c r="O30" t="n">
        <v>432.6620378808233</v>
      </c>
      <c r="P30" t="n">
        <v>41.53220522158397</v>
      </c>
      <c r="Q30" t="n">
        <v>560.5403677449619</v>
      </c>
      <c r="R30" t="n">
        <v>-14.32303127617547</v>
      </c>
      <c r="S30" t="n">
        <v>-848.5084515168575</v>
      </c>
      <c r="T30" t="n">
        <v>214.5739079866578</v>
      </c>
      <c r="U30" t="n">
        <v>117.9560160184401</v>
      </c>
      <c r="V30" t="n">
        <v>3.542547876</v>
      </c>
      <c r="W30" t="n">
        <v>0</v>
      </c>
      <c r="X30" t="n">
        <v>161.2377157083531</v>
      </c>
      <c r="Y30" t="n">
        <v>669.2133156437874</v>
      </c>
    </row>
    <row r="31">
      <c r="A31">
        <f>lc_detailed!W32</f>
        <v/>
      </c>
      <c r="B31" s="23">
        <f>lc_detailed!AB32</f>
        <v/>
      </c>
      <c r="C31" s="23">
        <f>lc_detailed!AC32</f>
        <v/>
      </c>
      <c r="D31" s="23">
        <f>lc_detailed!AD32</f>
        <v/>
      </c>
      <c r="E31" s="23">
        <f>lc_detailed!AE32</f>
        <v/>
      </c>
      <c r="F31" s="23">
        <f>lc_detailed!AF32</f>
        <v/>
      </c>
      <c r="G31" s="23">
        <f>lc_detailed!AG32</f>
        <v/>
      </c>
      <c r="H31" s="23">
        <f>lc_detailed!AH32</f>
        <v/>
      </c>
      <c r="I31" s="23">
        <f>lc_detailed!AI32</f>
        <v/>
      </c>
      <c r="J31" s="23">
        <f>lc_detailed!AK32</f>
        <v/>
      </c>
      <c r="K31" s="23">
        <f>lc_detailed!AL32</f>
        <v/>
      </c>
      <c r="L31" s="23">
        <f>lc_detailed!Y32</f>
        <v/>
      </c>
      <c r="N31" t="inlineStr">
        <is>
          <t>x</t>
        </is>
      </c>
      <c r="O31" t="n">
        <v>432.6620378808233</v>
      </c>
      <c r="P31" t="n">
        <v>41.53220522158397</v>
      </c>
      <c r="Q31" t="n">
        <v>560.5403677449619</v>
      </c>
      <c r="R31" t="n">
        <v>-14.32303127617547</v>
      </c>
      <c r="S31" t="n">
        <v>-848.5084515168575</v>
      </c>
      <c r="T31" t="n">
        <v>214.5739079866578</v>
      </c>
      <c r="U31" t="n">
        <v>117.9560160184401</v>
      </c>
      <c r="V31" t="n">
        <v>3.542547876</v>
      </c>
      <c r="W31" t="n">
        <v>0</v>
      </c>
      <c r="X31" t="n">
        <v>161.2377157083531</v>
      </c>
      <c r="Y31" t="n">
        <v>669.2133156437874</v>
      </c>
    </row>
    <row r="32">
      <c r="A32">
        <f>lc_detailed!W33</f>
        <v/>
      </c>
      <c r="B32" s="23">
        <f>lc_detailed!AB33</f>
        <v/>
      </c>
      <c r="C32" s="23">
        <f>lc_detailed!AC33</f>
        <v/>
      </c>
      <c r="D32" s="23">
        <f>lc_detailed!AD33</f>
        <v/>
      </c>
      <c r="E32" s="23">
        <f>lc_detailed!AE33</f>
        <v/>
      </c>
      <c r="F32" s="23">
        <f>lc_detailed!AF33</f>
        <v/>
      </c>
      <c r="G32" s="23">
        <f>lc_detailed!AG33</f>
        <v/>
      </c>
      <c r="H32" s="23">
        <f>lc_detailed!AH33</f>
        <v/>
      </c>
      <c r="I32" s="23">
        <f>lc_detailed!AI33</f>
        <v/>
      </c>
      <c r="J32" s="23">
        <f>lc_detailed!AK33</f>
        <v/>
      </c>
      <c r="K32" s="23">
        <f>lc_detailed!AL33</f>
        <v/>
      </c>
      <c r="L32" s="23">
        <f>lc_detailed!Y33</f>
        <v/>
      </c>
      <c r="N32" t="inlineStr">
        <is>
          <t>x</t>
        </is>
      </c>
      <c r="O32" t="n">
        <v>432.6620378808233</v>
      </c>
      <c r="P32" t="n">
        <v>41.53220522158397</v>
      </c>
      <c r="Q32" t="n">
        <v>560.5403677449619</v>
      </c>
      <c r="R32" t="n">
        <v>-14.32303127617547</v>
      </c>
      <c r="S32" t="n">
        <v>-848.5084515168575</v>
      </c>
      <c r="T32" t="n">
        <v>214.5739079866578</v>
      </c>
      <c r="U32" t="n">
        <v>117.9560160184401</v>
      </c>
      <c r="V32" t="n">
        <v>3.542547876</v>
      </c>
      <c r="W32" t="n">
        <v>0</v>
      </c>
      <c r="X32" t="n">
        <v>161.2377157083531</v>
      </c>
      <c r="Y32" t="n">
        <v>669.2133156437874</v>
      </c>
    </row>
    <row r="33">
      <c r="A33">
        <f>lc_detailed!W34</f>
        <v/>
      </c>
      <c r="B33" s="23">
        <f>lc_detailed!AB34</f>
        <v/>
      </c>
      <c r="C33" s="23">
        <f>lc_detailed!AC34</f>
        <v/>
      </c>
      <c r="D33" s="23">
        <f>lc_detailed!AD34</f>
        <v/>
      </c>
      <c r="E33" s="23">
        <f>lc_detailed!AE34</f>
        <v/>
      </c>
      <c r="F33" s="23">
        <f>lc_detailed!AF34</f>
        <v/>
      </c>
      <c r="G33" s="23">
        <f>lc_detailed!AG34</f>
        <v/>
      </c>
      <c r="H33" s="23">
        <f>lc_detailed!AH34</f>
        <v/>
      </c>
      <c r="I33" s="23">
        <f>lc_detailed!AI34</f>
        <v/>
      </c>
      <c r="J33" s="23">
        <f>lc_detailed!AK34</f>
        <v/>
      </c>
      <c r="K33" s="23">
        <f>lc_detailed!AL34</f>
        <v/>
      </c>
      <c r="L33" s="23">
        <f>lc_detailed!Y34</f>
        <v/>
      </c>
      <c r="N33" t="inlineStr">
        <is>
          <t>x</t>
        </is>
      </c>
      <c r="O33" t="n">
        <v>432.6620378808233</v>
      </c>
      <c r="P33" t="n">
        <v>41.53220522158397</v>
      </c>
      <c r="Q33" t="n">
        <v>560.5403677449619</v>
      </c>
      <c r="R33" t="n">
        <v>-14.32303127617547</v>
      </c>
      <c r="S33" t="n">
        <v>-848.5084515168575</v>
      </c>
      <c r="T33" t="n">
        <v>214.5739079866578</v>
      </c>
      <c r="U33" t="n">
        <v>117.9560160184401</v>
      </c>
      <c r="V33" t="n">
        <v>3.542547876</v>
      </c>
      <c r="W33" t="n">
        <v>0</v>
      </c>
      <c r="X33" t="n">
        <v>161.2377157083531</v>
      </c>
      <c r="Y33" t="n">
        <v>669.2133156437874</v>
      </c>
    </row>
    <row r="34">
      <c r="A34">
        <f>lc_detailed!W35</f>
        <v/>
      </c>
      <c r="B34" s="23">
        <f>lc_detailed!AB35</f>
        <v/>
      </c>
      <c r="C34" s="23">
        <f>lc_detailed!AC35</f>
        <v/>
      </c>
      <c r="D34" s="23">
        <f>lc_detailed!AD35</f>
        <v/>
      </c>
      <c r="E34" s="23">
        <f>lc_detailed!AE35</f>
        <v/>
      </c>
      <c r="F34" s="23">
        <f>lc_detailed!AF35</f>
        <v/>
      </c>
      <c r="G34" s="23">
        <f>lc_detailed!AG35</f>
        <v/>
      </c>
      <c r="H34" s="23">
        <f>lc_detailed!AH35</f>
        <v/>
      </c>
      <c r="I34" s="23">
        <f>lc_detailed!AI35</f>
        <v/>
      </c>
      <c r="J34" s="23">
        <f>lc_detailed!AK35</f>
        <v/>
      </c>
      <c r="K34" s="23">
        <f>lc_detailed!AL35</f>
        <v/>
      </c>
      <c r="L34" s="23">
        <f>lc_detailed!Y35</f>
        <v/>
      </c>
      <c r="N34" t="inlineStr">
        <is>
          <t>x</t>
        </is>
      </c>
      <c r="O34" t="n">
        <v>432.6620378808233</v>
      </c>
      <c r="P34" t="n">
        <v>41.53220522158397</v>
      </c>
      <c r="Q34" t="n">
        <v>560.5403677449619</v>
      </c>
      <c r="R34" t="n">
        <v>-14.32303127617547</v>
      </c>
      <c r="S34" t="n">
        <v>-848.5084515168575</v>
      </c>
      <c r="T34" t="n">
        <v>214.5739079866578</v>
      </c>
      <c r="U34" t="n">
        <v>117.9560160184401</v>
      </c>
      <c r="V34" t="n">
        <v>3.542547876</v>
      </c>
      <c r="W34" t="n">
        <v>0</v>
      </c>
      <c r="X34" t="n">
        <v>161.2377157083531</v>
      </c>
      <c r="Y34" t="n">
        <v>669.2133156437874</v>
      </c>
    </row>
    <row r="35">
      <c r="A35">
        <f>lc_detailed!W36</f>
        <v/>
      </c>
      <c r="B35" s="23">
        <f>lc_detailed!AB36</f>
        <v/>
      </c>
      <c r="C35" s="23">
        <f>lc_detailed!AC36</f>
        <v/>
      </c>
      <c r="D35" s="23">
        <f>lc_detailed!AD36</f>
        <v/>
      </c>
      <c r="E35" s="23">
        <f>lc_detailed!AE36</f>
        <v/>
      </c>
      <c r="F35" s="23">
        <f>lc_detailed!AF36</f>
        <v/>
      </c>
      <c r="G35" s="23">
        <f>lc_detailed!AG36</f>
        <v/>
      </c>
      <c r="H35" s="23">
        <f>lc_detailed!AH36</f>
        <v/>
      </c>
      <c r="I35" s="23">
        <f>lc_detailed!AI36</f>
        <v/>
      </c>
      <c r="J35" s="23">
        <f>lc_detailed!AK36</f>
        <v/>
      </c>
      <c r="K35" s="23">
        <f>lc_detailed!AL36</f>
        <v/>
      </c>
      <c r="L35" s="23">
        <f>lc_detailed!Y36</f>
        <v/>
      </c>
      <c r="N35" t="inlineStr">
        <is>
          <t>x</t>
        </is>
      </c>
      <c r="O35" t="n">
        <v>432.6620378808233</v>
      </c>
      <c r="P35" t="n">
        <v>41.53220522158397</v>
      </c>
      <c r="Q35" t="n">
        <v>560.5403677449619</v>
      </c>
      <c r="R35" t="n">
        <v>-14.32303127617547</v>
      </c>
      <c r="S35" t="n">
        <v>-848.5084515168575</v>
      </c>
      <c r="T35" t="n">
        <v>214.5739079866578</v>
      </c>
      <c r="U35" t="n">
        <v>117.9560160184401</v>
      </c>
      <c r="V35" t="n">
        <v>3.542547876</v>
      </c>
      <c r="W35" t="n">
        <v>0</v>
      </c>
      <c r="X35" t="n">
        <v>161.2377157083531</v>
      </c>
      <c r="Y35" t="n">
        <v>669.2133156437874</v>
      </c>
    </row>
    <row r="36">
      <c r="A36">
        <f>lc_detailed!W37</f>
        <v/>
      </c>
      <c r="B36" s="23">
        <f>lc_detailed!AB37</f>
        <v/>
      </c>
      <c r="C36" s="23">
        <f>lc_detailed!AC37</f>
        <v/>
      </c>
      <c r="D36" s="23">
        <f>lc_detailed!AD37</f>
        <v/>
      </c>
      <c r="E36" s="23">
        <f>lc_detailed!AE37</f>
        <v/>
      </c>
      <c r="F36" s="23">
        <f>lc_detailed!AF37</f>
        <v/>
      </c>
      <c r="G36" s="23">
        <f>lc_detailed!AG37</f>
        <v/>
      </c>
      <c r="H36" s="23">
        <f>lc_detailed!AH37</f>
        <v/>
      </c>
      <c r="I36" s="23">
        <f>lc_detailed!AI37</f>
        <v/>
      </c>
      <c r="J36" s="23">
        <f>lc_detailed!AK37</f>
        <v/>
      </c>
      <c r="K36" s="23">
        <f>lc_detailed!AL37</f>
        <v/>
      </c>
      <c r="L36" s="23">
        <f>lc_detailed!Y37</f>
        <v/>
      </c>
      <c r="N36" t="inlineStr">
        <is>
          <t>x</t>
        </is>
      </c>
      <c r="O36" t="n">
        <v>432.6620378808233</v>
      </c>
      <c r="P36" t="n">
        <v>41.53220522158397</v>
      </c>
      <c r="Q36" t="n">
        <v>560.5403677449619</v>
      </c>
      <c r="R36" t="n">
        <v>-14.32303127617547</v>
      </c>
      <c r="S36" t="n">
        <v>-848.5084515168575</v>
      </c>
      <c r="T36" t="n">
        <v>214.5739079866578</v>
      </c>
      <c r="U36" t="n">
        <v>117.9560160184401</v>
      </c>
      <c r="V36" t="n">
        <v>3.542547876</v>
      </c>
      <c r="W36" t="n">
        <v>0</v>
      </c>
      <c r="X36" t="n">
        <v>161.2377157083531</v>
      </c>
      <c r="Y36" t="n">
        <v>669.2133156437874</v>
      </c>
    </row>
    <row r="37">
      <c r="A37">
        <f>lc_detailed!W38</f>
        <v/>
      </c>
      <c r="B37" s="23">
        <f>lc_detailed!AB38</f>
        <v/>
      </c>
      <c r="C37" s="23">
        <f>lc_detailed!AC38</f>
        <v/>
      </c>
      <c r="D37" s="23">
        <f>lc_detailed!AD38</f>
        <v/>
      </c>
      <c r="E37" s="23">
        <f>lc_detailed!AE38</f>
        <v/>
      </c>
      <c r="F37" s="23">
        <f>lc_detailed!AF38</f>
        <v/>
      </c>
      <c r="G37" s="23">
        <f>lc_detailed!AG38</f>
        <v/>
      </c>
      <c r="H37" s="23">
        <f>lc_detailed!AH38</f>
        <v/>
      </c>
      <c r="I37" s="23">
        <f>lc_detailed!AI38</f>
        <v/>
      </c>
      <c r="J37" s="23">
        <f>lc_detailed!AK38</f>
        <v/>
      </c>
      <c r="K37" s="23">
        <f>lc_detailed!AL38</f>
        <v/>
      </c>
      <c r="L37" s="23">
        <f>lc_detailed!Y38</f>
        <v/>
      </c>
      <c r="N37" t="inlineStr">
        <is>
          <t>x</t>
        </is>
      </c>
      <c r="O37" t="n">
        <v>432.6620378808233</v>
      </c>
      <c r="P37" t="n">
        <v>41.53220522158397</v>
      </c>
      <c r="Q37" t="n">
        <v>560.5403677449619</v>
      </c>
      <c r="R37" t="n">
        <v>-14.32303127617547</v>
      </c>
      <c r="S37" t="n">
        <v>-848.5084515168575</v>
      </c>
      <c r="T37" t="n">
        <v>214.5739079866578</v>
      </c>
      <c r="U37" t="n">
        <v>117.9560160184401</v>
      </c>
      <c r="V37" t="n">
        <v>3.542547876</v>
      </c>
      <c r="W37" t="n">
        <v>0</v>
      </c>
      <c r="X37" t="n">
        <v>161.2377157083531</v>
      </c>
      <c r="Y37" t="n">
        <v>669.2133156437874</v>
      </c>
    </row>
    <row r="38">
      <c r="A38">
        <f>lc_detailed!W39</f>
        <v/>
      </c>
      <c r="B38" s="23">
        <f>lc_detailed!AB39</f>
        <v/>
      </c>
      <c r="C38" s="23">
        <f>lc_detailed!AC39</f>
        <v/>
      </c>
      <c r="D38" s="23">
        <f>lc_detailed!AD39</f>
        <v/>
      </c>
      <c r="E38" s="23">
        <f>lc_detailed!AE39</f>
        <v/>
      </c>
      <c r="F38" s="23">
        <f>lc_detailed!AF39</f>
        <v/>
      </c>
      <c r="G38" s="23">
        <f>lc_detailed!AG39</f>
        <v/>
      </c>
      <c r="H38" s="23">
        <f>lc_detailed!AH39</f>
        <v/>
      </c>
      <c r="I38" s="23">
        <f>lc_detailed!AI39</f>
        <v/>
      </c>
      <c r="J38" s="23">
        <f>lc_detailed!AK39</f>
        <v/>
      </c>
      <c r="K38" s="23">
        <f>lc_detailed!AL39</f>
        <v/>
      </c>
      <c r="L38" s="23">
        <f>lc_detailed!Y39</f>
        <v/>
      </c>
      <c r="N38" t="inlineStr">
        <is>
          <t>x</t>
        </is>
      </c>
      <c r="O38" t="n">
        <v>432.6620378808233</v>
      </c>
      <c r="P38" t="n">
        <v>41.53220522158397</v>
      </c>
      <c r="Q38" t="n">
        <v>560.5403677449619</v>
      </c>
      <c r="R38" t="n">
        <v>-14.32303127617547</v>
      </c>
      <c r="S38" t="n">
        <v>-848.5084515168575</v>
      </c>
      <c r="T38" t="n">
        <v>214.5739079866578</v>
      </c>
      <c r="U38" t="n">
        <v>117.9560160184401</v>
      </c>
      <c r="V38" t="n">
        <v>3.542547876</v>
      </c>
      <c r="W38" t="n">
        <v>0</v>
      </c>
      <c r="X38" t="n">
        <v>161.2377157083531</v>
      </c>
      <c r="Y38" t="n">
        <v>669.2133156437874</v>
      </c>
    </row>
    <row r="39">
      <c r="A39">
        <f>lc_detailed!W40</f>
        <v/>
      </c>
      <c r="B39" s="23">
        <f>lc_detailed!AB40</f>
        <v/>
      </c>
      <c r="C39" s="23">
        <f>lc_detailed!AC40</f>
        <v/>
      </c>
      <c r="D39" s="23">
        <f>lc_detailed!AD40</f>
        <v/>
      </c>
      <c r="E39" s="23">
        <f>lc_detailed!AE40</f>
        <v/>
      </c>
      <c r="F39" s="23">
        <f>lc_detailed!AF40</f>
        <v/>
      </c>
      <c r="G39" s="23">
        <f>lc_detailed!AG40</f>
        <v/>
      </c>
      <c r="H39" s="23">
        <f>lc_detailed!AH40</f>
        <v/>
      </c>
      <c r="I39" s="23">
        <f>lc_detailed!AI40</f>
        <v/>
      </c>
      <c r="J39" s="23">
        <f>lc_detailed!AK40</f>
        <v/>
      </c>
      <c r="K39" s="23">
        <f>lc_detailed!AL40</f>
        <v/>
      </c>
      <c r="L39" s="23">
        <f>lc_detailed!Y40</f>
        <v/>
      </c>
      <c r="N39" t="inlineStr">
        <is>
          <t>x</t>
        </is>
      </c>
      <c r="O39" t="n">
        <v>432.6620378808233</v>
      </c>
      <c r="P39" t="n">
        <v>41.53220522158397</v>
      </c>
      <c r="Q39" t="n">
        <v>560.5403677449619</v>
      </c>
      <c r="R39" t="n">
        <v>-14.32303127617547</v>
      </c>
      <c r="S39" t="n">
        <v>-848.5084515168575</v>
      </c>
      <c r="T39" t="n">
        <v>214.5739079866578</v>
      </c>
      <c r="U39" t="n">
        <v>117.9560160184401</v>
      </c>
      <c r="V39" t="n">
        <v>3.542547876</v>
      </c>
      <c r="W39" t="n">
        <v>0</v>
      </c>
      <c r="X39" t="n">
        <v>161.2377157083531</v>
      </c>
      <c r="Y39" t="n">
        <v>669.2133156437874</v>
      </c>
    </row>
    <row r="40">
      <c r="A40">
        <f>lc_detailed!W41</f>
        <v/>
      </c>
      <c r="B40" s="23">
        <f>lc_detailed!AB41</f>
        <v/>
      </c>
      <c r="C40" s="23">
        <f>lc_detailed!AC41</f>
        <v/>
      </c>
      <c r="D40" s="23">
        <f>lc_detailed!AD41</f>
        <v/>
      </c>
      <c r="E40" s="23">
        <f>lc_detailed!AE41</f>
        <v/>
      </c>
      <c r="F40" s="23">
        <f>lc_detailed!AF41</f>
        <v/>
      </c>
      <c r="G40" s="23">
        <f>lc_detailed!AG41</f>
        <v/>
      </c>
      <c r="H40" s="23">
        <f>lc_detailed!AH41</f>
        <v/>
      </c>
      <c r="I40" s="23">
        <f>lc_detailed!AI41</f>
        <v/>
      </c>
      <c r="J40" s="23">
        <f>lc_detailed!AK41</f>
        <v/>
      </c>
      <c r="K40" s="23">
        <f>lc_detailed!AL41</f>
        <v/>
      </c>
      <c r="L40" s="23">
        <f>lc_detailed!Y41</f>
        <v/>
      </c>
      <c r="N40" t="inlineStr">
        <is>
          <t>x</t>
        </is>
      </c>
      <c r="O40" t="n">
        <v>432.6620378808233</v>
      </c>
      <c r="P40" t="n">
        <v>41.53220522158397</v>
      </c>
      <c r="Q40" t="n">
        <v>560.5403677449619</v>
      </c>
      <c r="R40" t="n">
        <v>-14.32303127617547</v>
      </c>
      <c r="S40" t="n">
        <v>-848.5084515168575</v>
      </c>
      <c r="T40" t="n">
        <v>214.5739079866578</v>
      </c>
      <c r="U40" t="n">
        <v>117.9560160184401</v>
      </c>
      <c r="V40" t="n">
        <v>3.542547876</v>
      </c>
      <c r="W40" t="n">
        <v>0</v>
      </c>
      <c r="X40" t="n">
        <v>161.2377157083531</v>
      </c>
      <c r="Y40" t="n">
        <v>669.2133156437874</v>
      </c>
    </row>
    <row r="41">
      <c r="A41">
        <f>lc_detailed!W42</f>
        <v/>
      </c>
      <c r="B41" s="23">
        <f>lc_detailed!AB42</f>
        <v/>
      </c>
      <c r="C41" s="23">
        <f>lc_detailed!AC42</f>
        <v/>
      </c>
      <c r="D41" s="23">
        <f>lc_detailed!AD42</f>
        <v/>
      </c>
      <c r="E41" s="23">
        <f>lc_detailed!AE42</f>
        <v/>
      </c>
      <c r="F41" s="23">
        <f>lc_detailed!AF42</f>
        <v/>
      </c>
      <c r="G41" s="23">
        <f>lc_detailed!AG42</f>
        <v/>
      </c>
      <c r="H41" s="23">
        <f>lc_detailed!AH42</f>
        <v/>
      </c>
      <c r="I41" s="23">
        <f>lc_detailed!AI42</f>
        <v/>
      </c>
      <c r="J41" s="23">
        <f>lc_detailed!AK42</f>
        <v/>
      </c>
      <c r="K41" s="23">
        <f>lc_detailed!AL42</f>
        <v/>
      </c>
      <c r="L41" s="23">
        <f>lc_detailed!Y42</f>
        <v/>
      </c>
      <c r="N41" t="inlineStr">
        <is>
          <t>x</t>
        </is>
      </c>
      <c r="O41" t="n">
        <v>432.6620378808233</v>
      </c>
      <c r="P41" t="n">
        <v>41.53220522158397</v>
      </c>
      <c r="Q41" t="n">
        <v>560.5403677449619</v>
      </c>
      <c r="R41" t="n">
        <v>-14.32303127617547</v>
      </c>
      <c r="S41" t="n">
        <v>-848.5084515168575</v>
      </c>
      <c r="T41" t="n">
        <v>214.5739079866578</v>
      </c>
      <c r="U41" t="n">
        <v>117.9560160184401</v>
      </c>
      <c r="V41" t="n">
        <v>3.542547876</v>
      </c>
      <c r="W41" t="n">
        <v>0</v>
      </c>
      <c r="X41" t="n">
        <v>161.2377157083531</v>
      </c>
      <c r="Y41" t="n">
        <v>669.2133156437874</v>
      </c>
    </row>
    <row r="42">
      <c r="A42">
        <f>lc_detailed!W43</f>
        <v/>
      </c>
      <c r="B42" s="23">
        <f>lc_detailed!AB43</f>
        <v/>
      </c>
      <c r="C42" s="23">
        <f>lc_detailed!AC43</f>
        <v/>
      </c>
      <c r="D42" s="23">
        <f>lc_detailed!AD43</f>
        <v/>
      </c>
      <c r="E42" s="23">
        <f>lc_detailed!AE43</f>
        <v/>
      </c>
      <c r="F42" s="23">
        <f>lc_detailed!AF43</f>
        <v/>
      </c>
      <c r="G42" s="23">
        <f>lc_detailed!AG43</f>
        <v/>
      </c>
      <c r="H42" s="23">
        <f>lc_detailed!AH43</f>
        <v/>
      </c>
      <c r="I42" s="23">
        <f>lc_detailed!AI43</f>
        <v/>
      </c>
      <c r="J42" s="23">
        <f>lc_detailed!AK43</f>
        <v/>
      </c>
      <c r="K42" s="23">
        <f>lc_detailed!AL43</f>
        <v/>
      </c>
      <c r="L42" s="23">
        <f>lc_detailed!Y43</f>
        <v/>
      </c>
      <c r="N42" t="inlineStr">
        <is>
          <t>x</t>
        </is>
      </c>
      <c r="O42" t="n">
        <v>432.6620378808233</v>
      </c>
      <c r="P42" t="n">
        <v>41.53220522158397</v>
      </c>
      <c r="Q42" t="n">
        <v>560.5403677449619</v>
      </c>
      <c r="R42" t="n">
        <v>-14.32303127617547</v>
      </c>
      <c r="S42" t="n">
        <v>-848.5084515168575</v>
      </c>
      <c r="T42" t="n">
        <v>214.5739079866578</v>
      </c>
      <c r="U42" t="n">
        <v>117.9560160184401</v>
      </c>
      <c r="V42" t="n">
        <v>3.542547876</v>
      </c>
      <c r="W42" t="n">
        <v>0</v>
      </c>
      <c r="X42" t="n">
        <v>161.2377157083531</v>
      </c>
      <c r="Y42" t="n">
        <v>669.2133156437874</v>
      </c>
    </row>
    <row r="43">
      <c r="A43">
        <f>lc_detailed!W44</f>
        <v/>
      </c>
      <c r="B43" s="23">
        <f>lc_detailed!AB44</f>
        <v/>
      </c>
      <c r="C43" s="23">
        <f>lc_detailed!AC44</f>
        <v/>
      </c>
      <c r="D43" s="23">
        <f>lc_detailed!AD44</f>
        <v/>
      </c>
      <c r="E43" s="23">
        <f>lc_detailed!AE44</f>
        <v/>
      </c>
      <c r="F43" s="23">
        <f>lc_detailed!AF44</f>
        <v/>
      </c>
      <c r="G43" s="23">
        <f>lc_detailed!AG44</f>
        <v/>
      </c>
      <c r="H43" s="23">
        <f>lc_detailed!AH44</f>
        <v/>
      </c>
      <c r="I43" s="23">
        <f>lc_detailed!AI44</f>
        <v/>
      </c>
      <c r="J43" s="23">
        <f>lc_detailed!AK44</f>
        <v/>
      </c>
      <c r="K43" s="23">
        <f>lc_detailed!AL44</f>
        <v/>
      </c>
      <c r="L43" s="23">
        <f>lc_detailed!Y44</f>
        <v/>
      </c>
      <c r="N43" t="inlineStr">
        <is>
          <t>x</t>
        </is>
      </c>
      <c r="O43" t="n">
        <v>432.6620378808233</v>
      </c>
      <c r="P43" t="n">
        <v>41.53220522158397</v>
      </c>
      <c r="Q43" t="n">
        <v>560.5403677449619</v>
      </c>
      <c r="R43" t="n">
        <v>-14.32303127617547</v>
      </c>
      <c r="S43" t="n">
        <v>-848.5084515168575</v>
      </c>
      <c r="T43" t="n">
        <v>214.5739079866578</v>
      </c>
      <c r="U43" t="n">
        <v>117.9560160184401</v>
      </c>
      <c r="V43" t="n">
        <v>3.542547876</v>
      </c>
      <c r="W43" t="n">
        <v>0</v>
      </c>
      <c r="X43" t="n">
        <v>161.2377157083531</v>
      </c>
      <c r="Y43" t="n">
        <v>669.2133156437874</v>
      </c>
    </row>
    <row r="44">
      <c r="A44">
        <f>lc_detailed!W45</f>
        <v/>
      </c>
      <c r="B44" s="23">
        <f>lc_detailed!AB45</f>
        <v/>
      </c>
      <c r="C44" s="23">
        <f>lc_detailed!AC45</f>
        <v/>
      </c>
      <c r="D44" s="23">
        <f>lc_detailed!AD45</f>
        <v/>
      </c>
      <c r="E44" s="23">
        <f>lc_detailed!AE45</f>
        <v/>
      </c>
      <c r="F44" s="23">
        <f>lc_detailed!AF45</f>
        <v/>
      </c>
      <c r="G44" s="23">
        <f>lc_detailed!AG45</f>
        <v/>
      </c>
      <c r="H44" s="23">
        <f>lc_detailed!AH45</f>
        <v/>
      </c>
      <c r="I44" s="23">
        <f>lc_detailed!AI45</f>
        <v/>
      </c>
      <c r="J44" s="23">
        <f>lc_detailed!AK45</f>
        <v/>
      </c>
      <c r="K44" s="23">
        <f>lc_detailed!AL45</f>
        <v/>
      </c>
      <c r="L44" s="23">
        <f>lc_detailed!Y45</f>
        <v/>
      </c>
      <c r="N44" t="inlineStr">
        <is>
          <t>x</t>
        </is>
      </c>
      <c r="O44" t="n">
        <v>432.6620378808233</v>
      </c>
      <c r="P44" t="n">
        <v>41.53220522158397</v>
      </c>
      <c r="Q44" t="n">
        <v>560.5403677449619</v>
      </c>
      <c r="R44" t="n">
        <v>-14.32303127617547</v>
      </c>
      <c r="S44" t="n">
        <v>-848.5084515168575</v>
      </c>
      <c r="T44" t="n">
        <v>214.5739079866578</v>
      </c>
      <c r="U44" t="n">
        <v>117.9560160184401</v>
      </c>
      <c r="V44" t="n">
        <v>3.542547876</v>
      </c>
      <c r="W44" t="n">
        <v>0</v>
      </c>
      <c r="X44" t="n">
        <v>161.2377157083531</v>
      </c>
      <c r="Y44" t="n">
        <v>669.2133156437874</v>
      </c>
    </row>
    <row r="45">
      <c r="A45">
        <f>lc_detailed!W46</f>
        <v/>
      </c>
      <c r="B45" s="23">
        <f>lc_detailed!AB46</f>
        <v/>
      </c>
      <c r="C45" s="23">
        <f>lc_detailed!AC46</f>
        <v/>
      </c>
      <c r="D45" s="23">
        <f>lc_detailed!AD46</f>
        <v/>
      </c>
      <c r="E45" s="23">
        <f>lc_detailed!AE46</f>
        <v/>
      </c>
      <c r="F45" s="23">
        <f>lc_detailed!AF46</f>
        <v/>
      </c>
      <c r="G45" s="23">
        <f>lc_detailed!AG46</f>
        <v/>
      </c>
      <c r="H45" s="23">
        <f>lc_detailed!AH46</f>
        <v/>
      </c>
      <c r="I45" s="23">
        <f>lc_detailed!AI46</f>
        <v/>
      </c>
      <c r="J45" s="23">
        <f>lc_detailed!AK46</f>
        <v/>
      </c>
      <c r="K45" s="23">
        <f>lc_detailed!AL46</f>
        <v/>
      </c>
      <c r="L45" s="23">
        <f>lc_detailed!Y46</f>
        <v/>
      </c>
      <c r="N45" t="inlineStr">
        <is>
          <t>x</t>
        </is>
      </c>
      <c r="O45" t="n">
        <v>432.6620378808233</v>
      </c>
      <c r="P45" t="n">
        <v>41.53220522158397</v>
      </c>
      <c r="Q45" t="n">
        <v>560.5403677449619</v>
      </c>
      <c r="R45" t="n">
        <v>-14.32303127617547</v>
      </c>
      <c r="S45" t="n">
        <v>-848.5084515168575</v>
      </c>
      <c r="T45" t="n">
        <v>214.5739079866578</v>
      </c>
      <c r="U45" t="n">
        <v>117.9560160184401</v>
      </c>
      <c r="V45" t="n">
        <v>3.542547876</v>
      </c>
      <c r="W45" t="n">
        <v>0</v>
      </c>
      <c r="X45" t="n">
        <v>161.2377157083531</v>
      </c>
      <c r="Y45" t="n">
        <v>669.2133156437874</v>
      </c>
    </row>
    <row r="46">
      <c r="A46">
        <f>lc_detailed!W47</f>
        <v/>
      </c>
      <c r="B46" s="23">
        <f>lc_detailed!AB47</f>
        <v/>
      </c>
      <c r="C46" s="23">
        <f>lc_detailed!AC47</f>
        <v/>
      </c>
      <c r="D46" s="23">
        <f>lc_detailed!AD47</f>
        <v/>
      </c>
      <c r="E46" s="23">
        <f>lc_detailed!AE47</f>
        <v/>
      </c>
      <c r="F46" s="23">
        <f>lc_detailed!AF47</f>
        <v/>
      </c>
      <c r="G46" s="23">
        <f>lc_detailed!AG47</f>
        <v/>
      </c>
      <c r="H46" s="23">
        <f>lc_detailed!AH47</f>
        <v/>
      </c>
      <c r="I46" s="23">
        <f>lc_detailed!AI47</f>
        <v/>
      </c>
      <c r="J46" s="23">
        <f>lc_detailed!AK47</f>
        <v/>
      </c>
      <c r="K46" s="23">
        <f>lc_detailed!AL47</f>
        <v/>
      </c>
      <c r="L46" s="23">
        <f>lc_detailed!Y47</f>
        <v/>
      </c>
      <c r="N46" t="inlineStr">
        <is>
          <t>x</t>
        </is>
      </c>
      <c r="O46" t="n">
        <v>432.6620378808233</v>
      </c>
      <c r="P46" t="n">
        <v>41.53220522158397</v>
      </c>
      <c r="Q46" t="n">
        <v>560.5403677449619</v>
      </c>
      <c r="R46" t="n">
        <v>-14.32303127617547</v>
      </c>
      <c r="S46" t="n">
        <v>-848.5084515168575</v>
      </c>
      <c r="T46" t="n">
        <v>214.5739079866578</v>
      </c>
      <c r="U46" t="n">
        <v>117.9560160184401</v>
      </c>
      <c r="V46" t="n">
        <v>3.542547876</v>
      </c>
      <c r="W46" t="n">
        <v>0</v>
      </c>
      <c r="X46" t="n">
        <v>161.2377157083531</v>
      </c>
      <c r="Y46" t="n">
        <v>669.2133156437874</v>
      </c>
    </row>
    <row r="47">
      <c r="A47">
        <f>lc_detailed!W48</f>
        <v/>
      </c>
      <c r="B47" s="23">
        <f>lc_detailed!AB48</f>
        <v/>
      </c>
      <c r="C47" s="23">
        <f>lc_detailed!AC48</f>
        <v/>
      </c>
      <c r="D47" s="23">
        <f>lc_detailed!AD48</f>
        <v/>
      </c>
      <c r="E47" s="23">
        <f>lc_detailed!AE48</f>
        <v/>
      </c>
      <c r="F47" s="23">
        <f>lc_detailed!AF48</f>
        <v/>
      </c>
      <c r="G47" s="23">
        <f>lc_detailed!AG48</f>
        <v/>
      </c>
      <c r="H47" s="23">
        <f>lc_detailed!AH48</f>
        <v/>
      </c>
      <c r="I47" s="23">
        <f>lc_detailed!AI48</f>
        <v/>
      </c>
      <c r="J47" s="23">
        <f>lc_detailed!AK48</f>
        <v/>
      </c>
      <c r="K47" s="23">
        <f>lc_detailed!AL48</f>
        <v/>
      </c>
      <c r="L47" s="23">
        <f>lc_detailed!Y48</f>
        <v/>
      </c>
      <c r="N47" t="inlineStr">
        <is>
          <t>x</t>
        </is>
      </c>
      <c r="O47" t="n">
        <v>432.6620378808233</v>
      </c>
      <c r="P47" t="n">
        <v>41.53220522158397</v>
      </c>
      <c r="Q47" t="n">
        <v>560.5403677449619</v>
      </c>
      <c r="R47" t="n">
        <v>-14.32303127617547</v>
      </c>
      <c r="S47" t="n">
        <v>-848.5084515168575</v>
      </c>
      <c r="T47" t="n">
        <v>214.5739079866578</v>
      </c>
      <c r="U47" t="n">
        <v>117.9560160184401</v>
      </c>
      <c r="V47" t="n">
        <v>3.542547876</v>
      </c>
      <c r="W47" t="n">
        <v>0</v>
      </c>
      <c r="X47" t="n">
        <v>161.2377157083531</v>
      </c>
      <c r="Y47" t="n">
        <v>669.2133156437874</v>
      </c>
    </row>
    <row r="48">
      <c r="A48">
        <f>lc_detailed!W49</f>
        <v/>
      </c>
      <c r="B48" s="23">
        <f>lc_detailed!AB49</f>
        <v/>
      </c>
      <c r="C48" s="23">
        <f>lc_detailed!AC49</f>
        <v/>
      </c>
      <c r="D48" s="23">
        <f>lc_detailed!AD49</f>
        <v/>
      </c>
      <c r="E48" s="23">
        <f>lc_detailed!AE49</f>
        <v/>
      </c>
      <c r="F48" s="23">
        <f>lc_detailed!AF49</f>
        <v/>
      </c>
      <c r="G48" s="23">
        <f>lc_detailed!AG49</f>
        <v/>
      </c>
      <c r="H48" s="23">
        <f>lc_detailed!AH49</f>
        <v/>
      </c>
      <c r="I48" s="23">
        <f>lc_detailed!AI49</f>
        <v/>
      </c>
      <c r="J48" s="23">
        <f>lc_detailed!AK49</f>
        <v/>
      </c>
      <c r="K48" s="23">
        <f>lc_detailed!AL49</f>
        <v/>
      </c>
      <c r="L48" s="23">
        <f>lc_detailed!Y49</f>
        <v/>
      </c>
      <c r="N48" t="inlineStr">
        <is>
          <t>x</t>
        </is>
      </c>
      <c r="O48" t="n">
        <v>432.6620378808233</v>
      </c>
      <c r="P48" t="n">
        <v>41.53220522158397</v>
      </c>
      <c r="Q48" t="n">
        <v>560.5403677449619</v>
      </c>
      <c r="R48" t="n">
        <v>-14.32303127617547</v>
      </c>
      <c r="S48" t="n">
        <v>-848.5084515168575</v>
      </c>
      <c r="T48" t="n">
        <v>214.5739079866578</v>
      </c>
      <c r="U48" t="n">
        <v>117.9560160184401</v>
      </c>
      <c r="V48" t="n">
        <v>3.542547876</v>
      </c>
      <c r="W48" t="n">
        <v>0</v>
      </c>
      <c r="X48" t="n">
        <v>161.2377157083531</v>
      </c>
      <c r="Y48" t="n">
        <v>669.2133156437874</v>
      </c>
    </row>
    <row r="49">
      <c r="A49">
        <f>lc_detailed!W50</f>
        <v/>
      </c>
      <c r="B49" s="23">
        <f>lc_detailed!AB50</f>
        <v/>
      </c>
      <c r="C49" s="23">
        <f>lc_detailed!AC50</f>
        <v/>
      </c>
      <c r="D49" s="23">
        <f>lc_detailed!AD50</f>
        <v/>
      </c>
      <c r="E49" s="23">
        <f>lc_detailed!AE50</f>
        <v/>
      </c>
      <c r="F49" s="23">
        <f>lc_detailed!AF50</f>
        <v/>
      </c>
      <c r="G49" s="23">
        <f>lc_detailed!AG50</f>
        <v/>
      </c>
      <c r="H49" s="23">
        <f>lc_detailed!AH50</f>
        <v/>
      </c>
      <c r="I49" s="23">
        <f>lc_detailed!AI50</f>
        <v/>
      </c>
      <c r="J49" s="23">
        <f>lc_detailed!AK50</f>
        <v/>
      </c>
      <c r="K49" s="23">
        <f>lc_detailed!AL50</f>
        <v/>
      </c>
      <c r="L49" s="23">
        <f>lc_detailed!Y50</f>
        <v/>
      </c>
      <c r="N49" t="inlineStr">
        <is>
          <t>x</t>
        </is>
      </c>
      <c r="O49" t="n">
        <v>432.6620378808233</v>
      </c>
      <c r="P49" t="n">
        <v>41.53220522158397</v>
      </c>
      <c r="Q49" t="n">
        <v>560.5403677449619</v>
      </c>
      <c r="R49" t="n">
        <v>-14.32303127617547</v>
      </c>
      <c r="S49" t="n">
        <v>-848.5084515168575</v>
      </c>
      <c r="T49" t="n">
        <v>214.5739079866578</v>
      </c>
      <c r="U49" t="n">
        <v>117.9560160184401</v>
      </c>
      <c r="V49" t="n">
        <v>3.542547876</v>
      </c>
      <c r="W49" t="n">
        <v>0</v>
      </c>
      <c r="X49" t="n">
        <v>161.2377157083531</v>
      </c>
      <c r="Y49" t="n">
        <v>669.2133156437874</v>
      </c>
    </row>
    <row r="50">
      <c r="A50">
        <f>lc_detailed!W51</f>
        <v/>
      </c>
      <c r="B50" s="23">
        <f>lc_detailed!AB51</f>
        <v/>
      </c>
      <c r="C50" s="23">
        <f>lc_detailed!AC51</f>
        <v/>
      </c>
      <c r="D50" s="23">
        <f>lc_detailed!AD51</f>
        <v/>
      </c>
      <c r="E50" s="23">
        <f>lc_detailed!AE51</f>
        <v/>
      </c>
      <c r="F50" s="23">
        <f>lc_detailed!AF51</f>
        <v/>
      </c>
      <c r="G50" s="23">
        <f>lc_detailed!AG51</f>
        <v/>
      </c>
      <c r="H50" s="23">
        <f>lc_detailed!AH51</f>
        <v/>
      </c>
      <c r="I50" s="23">
        <f>lc_detailed!AI51</f>
        <v/>
      </c>
      <c r="J50" s="23">
        <f>lc_detailed!AK51</f>
        <v/>
      </c>
      <c r="K50" s="23">
        <f>lc_detailed!AL51</f>
        <v/>
      </c>
      <c r="L50" s="23">
        <f>lc_detailed!Y51</f>
        <v/>
      </c>
      <c r="N50" t="inlineStr">
        <is>
          <t>x</t>
        </is>
      </c>
      <c r="O50" t="n">
        <v>432.6620378808233</v>
      </c>
      <c r="P50" t="n">
        <v>41.53220522158397</v>
      </c>
      <c r="Q50" t="n">
        <v>560.5403677449619</v>
      </c>
      <c r="R50" t="n">
        <v>-14.32303127617547</v>
      </c>
      <c r="S50" t="n">
        <v>-848.5084515168575</v>
      </c>
      <c r="T50" t="n">
        <v>214.5739079866578</v>
      </c>
      <c r="U50" t="n">
        <v>117.9560160184401</v>
      </c>
      <c r="V50" t="n">
        <v>3.542547876</v>
      </c>
      <c r="W50" t="n">
        <v>0</v>
      </c>
      <c r="X50" t="n">
        <v>161.2377157083531</v>
      </c>
      <c r="Y50" t="n">
        <v>669.2133156437874</v>
      </c>
    </row>
    <row r="51">
      <c r="A51">
        <f>lc_detailed!W52</f>
        <v/>
      </c>
      <c r="B51" s="23">
        <f>lc_detailed!AB52</f>
        <v/>
      </c>
      <c r="C51" s="23">
        <f>lc_detailed!AC52</f>
        <v/>
      </c>
      <c r="D51" s="23">
        <f>lc_detailed!AD52</f>
        <v/>
      </c>
      <c r="E51" s="23">
        <f>lc_detailed!AE52</f>
        <v/>
      </c>
      <c r="F51" s="23">
        <f>lc_detailed!AF52</f>
        <v/>
      </c>
      <c r="G51" s="23">
        <f>lc_detailed!AG52</f>
        <v/>
      </c>
      <c r="H51" s="23">
        <f>lc_detailed!AH52</f>
        <v/>
      </c>
      <c r="I51" s="23">
        <f>lc_detailed!AI52</f>
        <v/>
      </c>
      <c r="J51" s="23">
        <f>lc_detailed!AK52</f>
        <v/>
      </c>
      <c r="K51" s="23">
        <f>lc_detailed!AL52</f>
        <v/>
      </c>
      <c r="L51" s="23">
        <f>lc_detailed!Y52</f>
        <v/>
      </c>
      <c r="N51" t="inlineStr">
        <is>
          <t>x</t>
        </is>
      </c>
      <c r="O51" t="n">
        <v>432.6620378808233</v>
      </c>
      <c r="P51" t="n">
        <v>41.53220522158397</v>
      </c>
      <c r="Q51" t="n">
        <v>560.5403677449619</v>
      </c>
      <c r="R51" t="n">
        <v>-14.32303127617547</v>
      </c>
      <c r="S51" t="n">
        <v>-848.5084515168575</v>
      </c>
      <c r="T51" t="n">
        <v>214.5739079866578</v>
      </c>
      <c r="U51" t="n">
        <v>117.9560160184401</v>
      </c>
      <c r="V51" t="n">
        <v>3.542547876</v>
      </c>
      <c r="W51" t="n">
        <v>0</v>
      </c>
      <c r="X51" t="n">
        <v>161.2377157083531</v>
      </c>
      <c r="Y51" t="n">
        <v>669.2133156437874</v>
      </c>
    </row>
    <row r="52">
      <c r="A52">
        <f>lc_detailed!W53</f>
        <v/>
      </c>
      <c r="B52" s="23">
        <f>lc_detailed!AB53</f>
        <v/>
      </c>
      <c r="C52" s="23">
        <f>lc_detailed!AC53</f>
        <v/>
      </c>
      <c r="D52" s="23">
        <f>lc_detailed!AD53</f>
        <v/>
      </c>
      <c r="E52" s="23">
        <f>lc_detailed!AE53</f>
        <v/>
      </c>
      <c r="F52" s="23">
        <f>lc_detailed!AF53</f>
        <v/>
      </c>
      <c r="G52" s="23">
        <f>lc_detailed!AG53</f>
        <v/>
      </c>
      <c r="H52" s="23">
        <f>lc_detailed!AH53</f>
        <v/>
      </c>
      <c r="I52" s="23">
        <f>lc_detailed!AI53</f>
        <v/>
      </c>
      <c r="J52" s="23">
        <f>lc_detailed!AK53</f>
        <v/>
      </c>
      <c r="K52" s="23">
        <f>lc_detailed!AL53</f>
        <v/>
      </c>
      <c r="L52" s="23">
        <f>lc_detailed!Y53</f>
        <v/>
      </c>
      <c r="N52" t="inlineStr">
        <is>
          <t>x</t>
        </is>
      </c>
      <c r="O52" t="n">
        <v>432.6620378808233</v>
      </c>
      <c r="P52" t="n">
        <v>41.53220522158397</v>
      </c>
      <c r="Q52" t="n">
        <v>560.5403677449619</v>
      </c>
      <c r="R52" t="n">
        <v>-14.32303127617547</v>
      </c>
      <c r="S52" t="n">
        <v>-848.5084515168575</v>
      </c>
      <c r="T52" t="n">
        <v>214.5739079866578</v>
      </c>
      <c r="U52" t="n">
        <v>117.9560160184401</v>
      </c>
      <c r="V52" t="n">
        <v>3.542547876</v>
      </c>
      <c r="W52" t="n">
        <v>0</v>
      </c>
      <c r="X52" t="n">
        <v>161.2377157083531</v>
      </c>
      <c r="Y52" t="n">
        <v>669.2133156437874</v>
      </c>
    </row>
    <row r="53">
      <c r="A53">
        <f>lc_detailed!W54</f>
        <v/>
      </c>
      <c r="B53" s="23">
        <f>lc_detailed!AB54</f>
        <v/>
      </c>
      <c r="C53" s="23">
        <f>lc_detailed!AC54</f>
        <v/>
      </c>
      <c r="D53" s="23">
        <f>lc_detailed!AD54</f>
        <v/>
      </c>
      <c r="E53" s="23">
        <f>lc_detailed!AE54</f>
        <v/>
      </c>
      <c r="F53" s="23">
        <f>lc_detailed!AF54</f>
        <v/>
      </c>
      <c r="G53" s="23">
        <f>lc_detailed!AG54</f>
        <v/>
      </c>
      <c r="H53" s="23">
        <f>lc_detailed!AH54</f>
        <v/>
      </c>
      <c r="I53" s="23">
        <f>lc_detailed!AI54</f>
        <v/>
      </c>
      <c r="J53" s="23">
        <f>lc_detailed!AK54</f>
        <v/>
      </c>
      <c r="K53" s="23">
        <f>lc_detailed!AL54</f>
        <v/>
      </c>
      <c r="L53" s="23">
        <f>lc_detailed!Y54</f>
        <v/>
      </c>
      <c r="N53" t="inlineStr">
        <is>
          <t>x</t>
        </is>
      </c>
      <c r="O53" t="n">
        <v>432.6620378808233</v>
      </c>
      <c r="P53" t="n">
        <v>41.53220522158397</v>
      </c>
      <c r="Q53" t="n">
        <v>560.5403677449619</v>
      </c>
      <c r="R53" t="n">
        <v>-14.32303127617547</v>
      </c>
      <c r="S53" t="n">
        <v>-848.5084515168575</v>
      </c>
      <c r="T53" t="n">
        <v>214.5739079866578</v>
      </c>
      <c r="U53" t="n">
        <v>117.9560160184401</v>
      </c>
      <c r="V53" t="n">
        <v>3.542547876</v>
      </c>
      <c r="W53" t="n">
        <v>0</v>
      </c>
      <c r="X53" t="n">
        <v>161.2377157083531</v>
      </c>
      <c r="Y53" t="n">
        <v>669.2133156437874</v>
      </c>
    </row>
    <row r="54">
      <c r="A54">
        <f>lc_detailed!W55</f>
        <v/>
      </c>
      <c r="B54" s="23">
        <f>lc_detailed!AB55</f>
        <v/>
      </c>
      <c r="C54" s="23">
        <f>lc_detailed!AC55</f>
        <v/>
      </c>
      <c r="D54" s="23">
        <f>lc_detailed!AD55</f>
        <v/>
      </c>
      <c r="E54" s="23">
        <f>lc_detailed!AE55</f>
        <v/>
      </c>
      <c r="F54" s="23">
        <f>lc_detailed!AF55</f>
        <v/>
      </c>
      <c r="G54" s="23">
        <f>lc_detailed!AG55</f>
        <v/>
      </c>
      <c r="H54" s="23">
        <f>lc_detailed!AH55</f>
        <v/>
      </c>
      <c r="I54" s="23">
        <f>lc_detailed!AI55</f>
        <v/>
      </c>
      <c r="J54" s="23">
        <f>lc_detailed!AK55</f>
        <v/>
      </c>
      <c r="K54" s="23">
        <f>lc_detailed!AL55</f>
        <v/>
      </c>
      <c r="L54" s="23">
        <f>lc_detailed!Y55</f>
        <v/>
      </c>
      <c r="N54" t="inlineStr">
        <is>
          <t>x</t>
        </is>
      </c>
      <c r="O54" t="n">
        <v>432.6620378808233</v>
      </c>
      <c r="P54" t="n">
        <v>41.53220522158397</v>
      </c>
      <c r="Q54" t="n">
        <v>560.5403677449619</v>
      </c>
      <c r="R54" t="n">
        <v>-14.32303127617547</v>
      </c>
      <c r="S54" t="n">
        <v>-848.5084515168575</v>
      </c>
      <c r="T54" t="n">
        <v>214.5739079866578</v>
      </c>
      <c r="U54" t="n">
        <v>117.9560160184401</v>
      </c>
      <c r="V54" t="n">
        <v>3.542547876</v>
      </c>
      <c r="W54" t="n">
        <v>0</v>
      </c>
      <c r="X54" t="n">
        <v>161.2377157083531</v>
      </c>
      <c r="Y54" t="n">
        <v>669.2133156437874</v>
      </c>
    </row>
    <row r="55">
      <c r="A55">
        <f>lc_detailed!W56</f>
        <v/>
      </c>
      <c r="B55" s="23">
        <f>lc_detailed!AB56</f>
        <v/>
      </c>
      <c r="C55" s="23">
        <f>lc_detailed!AC56</f>
        <v/>
      </c>
      <c r="D55" s="23">
        <f>lc_detailed!AD56</f>
        <v/>
      </c>
      <c r="E55" s="23">
        <f>lc_detailed!AE56</f>
        <v/>
      </c>
      <c r="F55" s="23">
        <f>lc_detailed!AF56</f>
        <v/>
      </c>
      <c r="G55" s="23">
        <f>lc_detailed!AG56</f>
        <v/>
      </c>
      <c r="H55" s="23">
        <f>lc_detailed!AH56</f>
        <v/>
      </c>
      <c r="I55" s="23">
        <f>lc_detailed!AI56</f>
        <v/>
      </c>
      <c r="J55" s="23">
        <f>lc_detailed!AK56</f>
        <v/>
      </c>
      <c r="K55" s="23">
        <f>lc_detailed!AL56</f>
        <v/>
      </c>
      <c r="L55" s="23">
        <f>lc_detailed!Y56</f>
        <v/>
      </c>
      <c r="N55" t="inlineStr">
        <is>
          <t>x</t>
        </is>
      </c>
      <c r="O55" t="n">
        <v>432.6620378808233</v>
      </c>
      <c r="P55" t="n">
        <v>41.53220522158397</v>
      </c>
      <c r="Q55" t="n">
        <v>560.5403677449619</v>
      </c>
      <c r="R55" t="n">
        <v>-14.32303127617547</v>
      </c>
      <c r="S55" t="n">
        <v>-848.5084515168575</v>
      </c>
      <c r="T55" t="n">
        <v>214.5739079866578</v>
      </c>
      <c r="U55" t="n">
        <v>117.9560160184401</v>
      </c>
      <c r="V55" t="n">
        <v>3.542547876</v>
      </c>
      <c r="W55" t="n">
        <v>0</v>
      </c>
      <c r="X55" t="n">
        <v>161.2377157083531</v>
      </c>
      <c r="Y55" t="n">
        <v>669.2133156437874</v>
      </c>
    </row>
    <row r="56">
      <c r="A56">
        <f>lc_detailed!W57</f>
        <v/>
      </c>
      <c r="B56" s="23">
        <f>lc_detailed!AB57</f>
        <v/>
      </c>
      <c r="C56" s="23">
        <f>lc_detailed!AC57</f>
        <v/>
      </c>
      <c r="D56" s="23">
        <f>lc_detailed!AD57</f>
        <v/>
      </c>
      <c r="E56" s="23">
        <f>lc_detailed!AE57</f>
        <v/>
      </c>
      <c r="F56" s="23">
        <f>lc_detailed!AF57</f>
        <v/>
      </c>
      <c r="G56" s="23">
        <f>lc_detailed!AG57</f>
        <v/>
      </c>
      <c r="H56" s="23">
        <f>lc_detailed!AH57</f>
        <v/>
      </c>
      <c r="I56" s="23">
        <f>lc_detailed!AI57</f>
        <v/>
      </c>
      <c r="J56" s="23">
        <f>lc_detailed!AK57</f>
        <v/>
      </c>
      <c r="K56" s="23">
        <f>lc_detailed!AL57</f>
        <v/>
      </c>
      <c r="L56" s="23">
        <f>lc_detailed!Y57</f>
        <v/>
      </c>
      <c r="N56" t="inlineStr">
        <is>
          <t>x</t>
        </is>
      </c>
      <c r="O56" t="n">
        <v>432.6620378808233</v>
      </c>
      <c r="P56" t="n">
        <v>41.53220522158397</v>
      </c>
      <c r="Q56" t="n">
        <v>560.5403677449619</v>
      </c>
      <c r="R56" t="n">
        <v>-14.32303127617547</v>
      </c>
      <c r="S56" t="n">
        <v>-848.5084515168575</v>
      </c>
      <c r="T56" t="n">
        <v>214.5739079866578</v>
      </c>
      <c r="U56" t="n">
        <v>117.9560160184401</v>
      </c>
      <c r="V56" t="n">
        <v>3.542547876</v>
      </c>
      <c r="W56" t="n">
        <v>0</v>
      </c>
      <c r="X56" t="n">
        <v>161.2377157083531</v>
      </c>
      <c r="Y56" t="n">
        <v>669.2133156437874</v>
      </c>
    </row>
    <row r="57">
      <c r="A57">
        <f>lc_detailed!W58</f>
        <v/>
      </c>
      <c r="B57" s="23">
        <f>lc_detailed!AB58</f>
        <v/>
      </c>
      <c r="C57" s="23">
        <f>lc_detailed!AC58</f>
        <v/>
      </c>
      <c r="D57" s="23">
        <f>lc_detailed!AD58</f>
        <v/>
      </c>
      <c r="E57" s="23">
        <f>lc_detailed!AE58</f>
        <v/>
      </c>
      <c r="F57" s="23">
        <f>lc_detailed!AF58</f>
        <v/>
      </c>
      <c r="G57" s="23">
        <f>lc_detailed!AG58</f>
        <v/>
      </c>
      <c r="H57" s="23">
        <f>lc_detailed!AH58</f>
        <v/>
      </c>
      <c r="I57" s="23">
        <f>lc_detailed!AI58</f>
        <v/>
      </c>
      <c r="J57" s="23">
        <f>lc_detailed!AK58</f>
        <v/>
      </c>
      <c r="K57" s="23">
        <f>lc_detailed!AL58</f>
        <v/>
      </c>
      <c r="L57" s="23">
        <f>lc_detailed!Y58</f>
        <v/>
      </c>
      <c r="N57" t="inlineStr">
        <is>
          <t>x</t>
        </is>
      </c>
      <c r="O57" t="n">
        <v>432.6620378808233</v>
      </c>
      <c r="P57" t="n">
        <v>41.53220522158397</v>
      </c>
      <c r="Q57" t="n">
        <v>560.5403677449619</v>
      </c>
      <c r="R57" t="n">
        <v>-14.32303127617547</v>
      </c>
      <c r="S57" t="n">
        <v>-848.5084515168575</v>
      </c>
      <c r="T57" t="n">
        <v>214.5739079866578</v>
      </c>
      <c r="U57" t="n">
        <v>117.9560160184401</v>
      </c>
      <c r="V57" t="n">
        <v>3.542547876</v>
      </c>
      <c r="W57" t="n">
        <v>0</v>
      </c>
      <c r="X57" t="n">
        <v>161.2377157083531</v>
      </c>
      <c r="Y57" t="n">
        <v>669.2133156437874</v>
      </c>
    </row>
    <row r="58">
      <c r="A58">
        <f>lc_detailed!W59</f>
        <v/>
      </c>
      <c r="B58" s="23">
        <f>lc_detailed!AB59</f>
        <v/>
      </c>
      <c r="C58" s="23">
        <f>lc_detailed!AC59</f>
        <v/>
      </c>
      <c r="D58" s="23">
        <f>lc_detailed!AD59</f>
        <v/>
      </c>
      <c r="E58" s="23">
        <f>lc_detailed!AE59</f>
        <v/>
      </c>
      <c r="F58" s="23">
        <f>lc_detailed!AF59</f>
        <v/>
      </c>
      <c r="G58" s="23">
        <f>lc_detailed!AG59</f>
        <v/>
      </c>
      <c r="H58" s="23">
        <f>lc_detailed!AH59</f>
        <v/>
      </c>
      <c r="I58" s="23">
        <f>lc_detailed!AI59</f>
        <v/>
      </c>
      <c r="J58" s="23">
        <f>lc_detailed!AK59</f>
        <v/>
      </c>
      <c r="K58" s="23">
        <f>lc_detailed!AL59</f>
        <v/>
      </c>
      <c r="L58" s="23">
        <f>lc_detailed!Y59</f>
        <v/>
      </c>
      <c r="N58" t="inlineStr">
        <is>
          <t>x</t>
        </is>
      </c>
      <c r="O58" t="n">
        <v>432.6620378808233</v>
      </c>
      <c r="P58" t="n">
        <v>41.53220522158397</v>
      </c>
      <c r="Q58" t="n">
        <v>560.5403677449619</v>
      </c>
      <c r="R58" t="n">
        <v>-14.32303127617547</v>
      </c>
      <c r="S58" t="n">
        <v>-848.5084515168575</v>
      </c>
      <c r="T58" t="n">
        <v>214.5739079866578</v>
      </c>
      <c r="U58" t="n">
        <v>117.9560160184401</v>
      </c>
      <c r="V58" t="n">
        <v>3.542547876</v>
      </c>
      <c r="W58" t="n">
        <v>0</v>
      </c>
      <c r="X58" t="n">
        <v>161.2377157083531</v>
      </c>
      <c r="Y58" t="n">
        <v>669.2133156437874</v>
      </c>
    </row>
    <row r="59">
      <c r="A59">
        <f>lc_detailed!W60</f>
        <v/>
      </c>
      <c r="B59" s="23">
        <f>lc_detailed!AB60</f>
        <v/>
      </c>
      <c r="C59" s="23">
        <f>lc_detailed!AC60</f>
        <v/>
      </c>
      <c r="D59" s="23">
        <f>lc_detailed!AD60</f>
        <v/>
      </c>
      <c r="E59" s="23">
        <f>lc_detailed!AE60</f>
        <v/>
      </c>
      <c r="F59" s="23">
        <f>lc_detailed!AF60</f>
        <v/>
      </c>
      <c r="G59" s="23">
        <f>lc_detailed!AG60</f>
        <v/>
      </c>
      <c r="H59" s="23">
        <f>lc_detailed!AH60</f>
        <v/>
      </c>
      <c r="I59" s="23">
        <f>lc_detailed!AI60</f>
        <v/>
      </c>
      <c r="J59" s="23">
        <f>lc_detailed!AK60</f>
        <v/>
      </c>
      <c r="K59" s="23">
        <f>lc_detailed!AL60</f>
        <v/>
      </c>
      <c r="L59" s="23">
        <f>lc_detailed!Y60</f>
        <v/>
      </c>
      <c r="N59" t="inlineStr">
        <is>
          <t>x</t>
        </is>
      </c>
      <c r="O59" t="n">
        <v>432.6620378808233</v>
      </c>
      <c r="P59" t="n">
        <v>41.53220522158397</v>
      </c>
      <c r="Q59" t="n">
        <v>560.5403677449619</v>
      </c>
      <c r="R59" t="n">
        <v>-14.32303127617547</v>
      </c>
      <c r="S59" t="n">
        <v>-848.5084515168575</v>
      </c>
      <c r="T59" t="n">
        <v>214.5739079866578</v>
      </c>
      <c r="U59" t="n">
        <v>117.9560160184401</v>
      </c>
      <c r="V59" t="n">
        <v>3.542547876</v>
      </c>
      <c r="W59" t="n">
        <v>0</v>
      </c>
      <c r="X59" t="n">
        <v>161.2377157083531</v>
      </c>
      <c r="Y59" t="n">
        <v>669.2133156437874</v>
      </c>
    </row>
    <row r="60">
      <c r="A60">
        <f>lc_detailed!W61</f>
        <v/>
      </c>
      <c r="B60" s="23">
        <f>lc_detailed!AB61</f>
        <v/>
      </c>
      <c r="C60" s="23">
        <f>lc_detailed!AC61</f>
        <v/>
      </c>
      <c r="D60" s="23">
        <f>lc_detailed!AD61</f>
        <v/>
      </c>
      <c r="E60" s="23">
        <f>lc_detailed!AE61</f>
        <v/>
      </c>
      <c r="F60" s="23">
        <f>lc_detailed!AF61</f>
        <v/>
      </c>
      <c r="G60" s="23">
        <f>lc_detailed!AG61</f>
        <v/>
      </c>
      <c r="H60" s="23">
        <f>lc_detailed!AH61</f>
        <v/>
      </c>
      <c r="I60" s="23">
        <f>lc_detailed!AI61</f>
        <v/>
      </c>
      <c r="J60" s="23">
        <f>lc_detailed!AK61</f>
        <v/>
      </c>
      <c r="K60" s="23">
        <f>lc_detailed!AL61</f>
        <v/>
      </c>
      <c r="L60" s="23">
        <f>lc_detailed!Y61</f>
        <v/>
      </c>
      <c r="N60" t="inlineStr">
        <is>
          <t>x</t>
        </is>
      </c>
      <c r="O60" t="n">
        <v>405.0292828338058</v>
      </c>
      <c r="P60" t="n">
        <v>40.05717526096546</v>
      </c>
      <c r="Q60" t="n">
        <v>626.1933116297239</v>
      </c>
      <c r="R60" t="n">
        <v>-17.98960080963037</v>
      </c>
      <c r="S60" t="n">
        <v>-780.7846234731938</v>
      </c>
      <c r="T60" t="n">
        <v>214.5739079866578</v>
      </c>
      <c r="U60" t="n">
        <v>117.9560160184401</v>
      </c>
      <c r="V60" t="n">
        <v>3.542547876</v>
      </c>
      <c r="W60" t="n">
        <v>0</v>
      </c>
      <c r="X60" t="n">
        <v>161.2377157083531</v>
      </c>
      <c r="Y60" t="n">
        <v>769.8157330311218</v>
      </c>
    </row>
    <row r="61">
      <c r="A61">
        <f>lc_detailed!W62</f>
        <v/>
      </c>
      <c r="B61" s="23">
        <f>lc_detailed!AB62</f>
        <v/>
      </c>
      <c r="C61" s="23">
        <f>lc_detailed!AC62</f>
        <v/>
      </c>
      <c r="D61" s="23">
        <f>lc_detailed!AD62</f>
        <v/>
      </c>
      <c r="E61" s="23">
        <f>lc_detailed!AE62</f>
        <v/>
      </c>
      <c r="F61" s="23">
        <f>lc_detailed!AF62</f>
        <v/>
      </c>
      <c r="G61" s="23">
        <f>lc_detailed!AG62</f>
        <v/>
      </c>
      <c r="H61" s="23">
        <f>lc_detailed!AH62</f>
        <v/>
      </c>
      <c r="I61" s="23">
        <f>lc_detailed!AI62</f>
        <v/>
      </c>
      <c r="J61" s="23">
        <f>lc_detailed!AK62</f>
        <v/>
      </c>
      <c r="K61" s="23">
        <f>lc_detailed!AL62</f>
        <v/>
      </c>
      <c r="L61" s="23">
        <f>lc_detailed!Y62</f>
        <v/>
      </c>
      <c r="N61" t="inlineStr">
        <is>
          <t>x</t>
        </is>
      </c>
      <c r="O61" t="n">
        <v>389.031049731185</v>
      </c>
      <c r="P61" t="n">
        <v>39.9723762412414</v>
      </c>
      <c r="Q61" t="n">
        <v>646.485702938297</v>
      </c>
      <c r="R61" t="n">
        <v>-17.08285718925706</v>
      </c>
      <c r="S61" t="n">
        <v>-759.5388254494688</v>
      </c>
      <c r="T61" t="n">
        <v>214.5739079866578</v>
      </c>
      <c r="U61" t="n">
        <v>117.9560160184401</v>
      </c>
      <c r="V61" t="n">
        <v>3.542547876</v>
      </c>
      <c r="W61" t="n">
        <v>0</v>
      </c>
      <c r="X61" t="n">
        <v>161.2377157083531</v>
      </c>
      <c r="Y61" t="n">
        <v>796.1776338614485</v>
      </c>
    </row>
    <row r="62">
      <c r="A62">
        <f>lc_detailed!W63</f>
        <v/>
      </c>
      <c r="B62" s="23">
        <f>lc_detailed!AB63</f>
        <v/>
      </c>
      <c r="C62" s="23">
        <f>lc_detailed!AC63</f>
        <v/>
      </c>
      <c r="D62" s="23">
        <f>lc_detailed!AD63</f>
        <v/>
      </c>
      <c r="E62" s="23">
        <f>lc_detailed!AE63</f>
        <v/>
      </c>
      <c r="F62" s="23">
        <f>lc_detailed!AF63</f>
        <v/>
      </c>
      <c r="G62" s="23">
        <f>lc_detailed!AG63</f>
        <v/>
      </c>
      <c r="H62" s="23">
        <f>lc_detailed!AH63</f>
        <v/>
      </c>
      <c r="I62" s="23">
        <f>lc_detailed!AI63</f>
        <v/>
      </c>
      <c r="J62" s="23">
        <f>lc_detailed!AK63</f>
        <v/>
      </c>
      <c r="K62" s="23">
        <f>lc_detailed!AL63</f>
        <v/>
      </c>
      <c r="L62" s="23">
        <f>lc_detailed!Y63</f>
        <v/>
      </c>
      <c r="N62" t="inlineStr">
        <is>
          <t>x</t>
        </is>
      </c>
      <c r="O62" t="n">
        <v>347.685584832908</v>
      </c>
      <c r="P62" t="n">
        <v>32.96267354252279</v>
      </c>
      <c r="Q62" t="n">
        <v>594.4486958939769</v>
      </c>
      <c r="R62" t="n">
        <v>-11.05139365442244</v>
      </c>
      <c r="S62" t="n">
        <v>-860.9608316698569</v>
      </c>
      <c r="T62" t="n">
        <v>194.2604033039462</v>
      </c>
      <c r="U62" t="n">
        <v>106.8554210806572</v>
      </c>
      <c r="V62" t="n">
        <v>2.946301684</v>
      </c>
      <c r="W62" t="n">
        <v>0</v>
      </c>
      <c r="X62" t="n">
        <v>407.7681570869949</v>
      </c>
      <c r="Y62" t="n">
        <v>814.9150121007265</v>
      </c>
    </row>
    <row r="63">
      <c r="A63">
        <f>lc_detailed!W64</f>
        <v/>
      </c>
      <c r="B63" s="23">
        <f>lc_detailed!AB64</f>
        <v/>
      </c>
      <c r="C63" s="23">
        <f>lc_detailed!AC64</f>
        <v/>
      </c>
      <c r="D63" s="23">
        <f>lc_detailed!AD64</f>
        <v/>
      </c>
      <c r="E63" s="23">
        <f>lc_detailed!AE64</f>
        <v/>
      </c>
      <c r="F63" s="23">
        <f>lc_detailed!AF64</f>
        <v/>
      </c>
      <c r="G63" s="23">
        <f>lc_detailed!AG64</f>
        <v/>
      </c>
      <c r="H63" s="23">
        <f>lc_detailed!AH64</f>
        <v/>
      </c>
      <c r="I63" s="23">
        <f>lc_detailed!AI64</f>
        <v/>
      </c>
      <c r="J63" s="23">
        <f>lc_detailed!AK64</f>
        <v/>
      </c>
      <c r="K63" s="23">
        <f>lc_detailed!AL64</f>
        <v/>
      </c>
      <c r="L63" s="23">
        <f>lc_detailed!Y64</f>
        <v/>
      </c>
      <c r="N63" t="inlineStr">
        <is>
          <t>x</t>
        </is>
      </c>
      <c r="O63" t="n">
        <v>631.3384351996882</v>
      </c>
      <c r="P63" t="n">
        <v>45.25674744584074</v>
      </c>
      <c r="Q63" t="n">
        <v>546.0443951659336</v>
      </c>
      <c r="R63" t="n">
        <v>-20.75212310522848</v>
      </c>
      <c r="S63" t="n">
        <v>-870.7170404289293</v>
      </c>
      <c r="T63" t="n">
        <v>214.5739079866578</v>
      </c>
      <c r="U63" t="n">
        <v>117.9560160184401</v>
      </c>
      <c r="V63" t="n">
        <v>3.542547876</v>
      </c>
      <c r="W63" t="n">
        <v>0</v>
      </c>
      <c r="X63" t="n">
        <v>161.2377157083531</v>
      </c>
      <c r="Y63" t="n">
        <v>828.4806018667556</v>
      </c>
    </row>
    <row r="64">
      <c r="A64">
        <f>lc_detailed!W65</f>
        <v/>
      </c>
      <c r="B64" s="23">
        <f>lc_detailed!AB65</f>
        <v/>
      </c>
      <c r="C64" s="23">
        <f>lc_detailed!AC65</f>
        <v/>
      </c>
      <c r="D64" s="23">
        <f>lc_detailed!AD65</f>
        <v/>
      </c>
      <c r="E64" s="23">
        <f>lc_detailed!AE65</f>
        <v/>
      </c>
      <c r="F64" s="23">
        <f>lc_detailed!AF65</f>
        <v/>
      </c>
      <c r="G64" s="23">
        <f>lc_detailed!AG65</f>
        <v/>
      </c>
      <c r="H64" s="23">
        <f>lc_detailed!AH65</f>
        <v/>
      </c>
      <c r="I64" s="23">
        <f>lc_detailed!AI65</f>
        <v/>
      </c>
      <c r="J64" s="23">
        <f>lc_detailed!AK65</f>
        <v/>
      </c>
      <c r="K64" s="23">
        <f>lc_detailed!AL65</f>
        <v/>
      </c>
      <c r="L64" s="23">
        <f>lc_detailed!Y65</f>
        <v/>
      </c>
      <c r="N64" t="inlineStr">
        <is>
          <t>x</t>
        </is>
      </c>
      <c r="O64" t="n">
        <v>635.5756592032208</v>
      </c>
      <c r="P64" t="n">
        <v>44.38438106199322</v>
      </c>
      <c r="Q64" t="n">
        <v>545.2212288025597</v>
      </c>
      <c r="R64" t="n">
        <v>-20.88100408345404</v>
      </c>
      <c r="S64" t="n">
        <v>-871.7419778672233</v>
      </c>
      <c r="T64" t="n">
        <v>214.5739079866578</v>
      </c>
      <c r="U64" t="n">
        <v>117.9560160184401</v>
      </c>
      <c r="V64" t="n">
        <v>3.542547876</v>
      </c>
      <c r="W64" t="n">
        <v>0</v>
      </c>
      <c r="X64" t="n">
        <v>161.2377157083531</v>
      </c>
      <c r="Y64" t="n">
        <v>829.8684747065475</v>
      </c>
    </row>
    <row r="65">
      <c r="A65">
        <f>lc_detailed!W66</f>
        <v/>
      </c>
      <c r="B65" s="23">
        <f>lc_detailed!AB66</f>
        <v/>
      </c>
      <c r="C65" s="23">
        <f>lc_detailed!AC66</f>
        <v/>
      </c>
      <c r="D65" s="23">
        <f>lc_detailed!AD66</f>
        <v/>
      </c>
      <c r="E65" s="23">
        <f>lc_detailed!AE66</f>
        <v/>
      </c>
      <c r="F65" s="23">
        <f>lc_detailed!AF66</f>
        <v/>
      </c>
      <c r="G65" s="23">
        <f>lc_detailed!AG66</f>
        <v/>
      </c>
      <c r="H65" s="23">
        <f>lc_detailed!AH66</f>
        <v/>
      </c>
      <c r="I65" s="23">
        <f>lc_detailed!AI66</f>
        <v/>
      </c>
      <c r="J65" s="23">
        <f>lc_detailed!AK66</f>
        <v/>
      </c>
      <c r="K65" s="23">
        <f>lc_detailed!AL66</f>
        <v/>
      </c>
      <c r="L65" s="23">
        <f>lc_detailed!Y66</f>
        <v/>
      </c>
      <c r="N65" t="inlineStr">
        <is>
          <t>x</t>
        </is>
      </c>
      <c r="O65" t="n">
        <v>361.1059963229602</v>
      </c>
      <c r="P65" t="n">
        <v>33.10455434249061</v>
      </c>
      <c r="Q65" t="n">
        <v>604.037865111944</v>
      </c>
      <c r="R65" t="n">
        <v>-11.93696727164398</v>
      </c>
      <c r="S65" t="n">
        <v>-852.2572359225933</v>
      </c>
      <c r="T65" t="n">
        <v>194.2604033039462</v>
      </c>
      <c r="U65" t="n">
        <v>106.8554210806572</v>
      </c>
      <c r="V65" t="n">
        <v>2.946301684</v>
      </c>
      <c r="W65" t="n">
        <v>0</v>
      </c>
      <c r="X65" t="n">
        <v>407.7681570869949</v>
      </c>
      <c r="Y65" t="n">
        <v>845.8844957387557</v>
      </c>
    </row>
    <row r="66">
      <c r="A66">
        <f>lc_detailed!W67</f>
        <v/>
      </c>
      <c r="B66" s="23">
        <f>lc_detailed!AB67</f>
        <v/>
      </c>
      <c r="C66" s="23">
        <f>lc_detailed!AC67</f>
        <v/>
      </c>
      <c r="D66" s="23">
        <f>lc_detailed!AD67</f>
        <v/>
      </c>
      <c r="E66" s="23">
        <f>lc_detailed!AE67</f>
        <v/>
      </c>
      <c r="F66" s="23">
        <f>lc_detailed!AF67</f>
        <v/>
      </c>
      <c r="G66" s="23">
        <f>lc_detailed!AG67</f>
        <v/>
      </c>
      <c r="H66" s="23">
        <f>lc_detailed!AH67</f>
        <v/>
      </c>
      <c r="I66" s="23">
        <f>lc_detailed!AI67</f>
        <v/>
      </c>
      <c r="J66" s="23">
        <f>lc_detailed!AK67</f>
        <v/>
      </c>
      <c r="K66" s="23">
        <f>lc_detailed!AL67</f>
        <v/>
      </c>
      <c r="L66" s="23">
        <f>lc_detailed!Y67</f>
        <v/>
      </c>
      <c r="N66" t="inlineStr">
        <is>
          <t>x</t>
        </is>
      </c>
      <c r="O66" t="n">
        <v>432.662037721371</v>
      </c>
      <c r="P66" t="n">
        <v>32.58334669260884</v>
      </c>
      <c r="Q66" t="n">
        <v>610.1727137606434</v>
      </c>
      <c r="R66" t="n">
        <v>-14.32303126923085</v>
      </c>
      <c r="S66" t="n">
        <v>-848.5084511653187</v>
      </c>
      <c r="T66" t="n">
        <v>194.2604033039462</v>
      </c>
      <c r="U66" t="n">
        <v>106.8554210806572</v>
      </c>
      <c r="V66" t="n">
        <v>2.946301684</v>
      </c>
      <c r="W66" t="n">
        <v>0</v>
      </c>
      <c r="X66" t="n">
        <v>407.7681570869949</v>
      </c>
      <c r="Y66" t="n">
        <v>924.4168988956721</v>
      </c>
    </row>
    <row r="67">
      <c r="A67">
        <f>lc_detailed!W68</f>
        <v/>
      </c>
      <c r="B67" s="23">
        <f>lc_detailed!AB68</f>
        <v/>
      </c>
      <c r="C67" s="23">
        <f>lc_detailed!AC68</f>
        <v/>
      </c>
      <c r="D67" s="23">
        <f>lc_detailed!AD68</f>
        <v/>
      </c>
      <c r="E67" s="23">
        <f>lc_detailed!AE68</f>
        <v/>
      </c>
      <c r="F67" s="23">
        <f>lc_detailed!AF68</f>
        <v/>
      </c>
      <c r="G67" s="23">
        <f>lc_detailed!AG68</f>
        <v/>
      </c>
      <c r="H67" s="23">
        <f>lc_detailed!AH68</f>
        <v/>
      </c>
      <c r="I67" s="23">
        <f>lc_detailed!AI68</f>
        <v/>
      </c>
      <c r="J67" s="23">
        <f>lc_detailed!AK68</f>
        <v/>
      </c>
      <c r="K67" s="23">
        <f>lc_detailed!AL68</f>
        <v/>
      </c>
      <c r="L67" s="23">
        <f>lc_detailed!Y68</f>
        <v/>
      </c>
      <c r="N67" t="inlineStr">
        <is>
          <t>x</t>
        </is>
      </c>
      <c r="O67" t="n">
        <v>405.0292826845372</v>
      </c>
      <c r="P67" t="n">
        <v>31.42613839287134</v>
      </c>
      <c r="Q67" t="n">
        <v>681.6388154754926</v>
      </c>
      <c r="R67" t="n">
        <v>-17.98960080090798</v>
      </c>
      <c r="S67" t="n">
        <v>-780.7846231497132</v>
      </c>
      <c r="T67" t="n">
        <v>194.2604033039462</v>
      </c>
      <c r="U67" t="n">
        <v>106.8554210806572</v>
      </c>
      <c r="V67" t="n">
        <v>2.946301684</v>
      </c>
      <c r="W67" t="n">
        <v>0</v>
      </c>
      <c r="X67" t="n">
        <v>407.7681570869949</v>
      </c>
      <c r="Y67" t="n">
        <v>1031.150295757878</v>
      </c>
    </row>
    <row r="68">
      <c r="A68">
        <f>lc_detailed!W69</f>
        <v/>
      </c>
      <c r="B68" s="23">
        <f>lc_detailed!AB69</f>
        <v/>
      </c>
      <c r="C68" s="23">
        <f>lc_detailed!AC69</f>
        <v/>
      </c>
      <c r="D68" s="23">
        <f>lc_detailed!AD69</f>
        <v/>
      </c>
      <c r="E68" s="23">
        <f>lc_detailed!AE69</f>
        <v/>
      </c>
      <c r="F68" s="23">
        <f>lc_detailed!AF69</f>
        <v/>
      </c>
      <c r="G68" s="23">
        <f>lc_detailed!AG69</f>
        <v/>
      </c>
      <c r="H68" s="23">
        <f>lc_detailed!AH69</f>
        <v/>
      </c>
      <c r="I68" s="23">
        <f>lc_detailed!AI69</f>
        <v/>
      </c>
      <c r="J68" s="23">
        <f>lc_detailed!AK69</f>
        <v/>
      </c>
      <c r="K68" s="23">
        <f>lc_detailed!AL69</f>
        <v/>
      </c>
      <c r="L68" s="23">
        <f>lc_detailed!Y69</f>
        <v/>
      </c>
      <c r="N68" t="inlineStr">
        <is>
          <t>x</t>
        </is>
      </c>
      <c r="O68" t="n">
        <v>389.0310495878124</v>
      </c>
      <c r="P68" t="n">
        <v>31.35961084288643</v>
      </c>
      <c r="Q68" t="n">
        <v>703.7279712008097</v>
      </c>
      <c r="R68" t="n">
        <v>-17.08285718097431</v>
      </c>
      <c r="S68" t="n">
        <v>-759.5388251347903</v>
      </c>
      <c r="T68" t="n">
        <v>194.2604033039462</v>
      </c>
      <c r="U68" t="n">
        <v>106.8554210806572</v>
      </c>
      <c r="V68" t="n">
        <v>2.946301684</v>
      </c>
      <c r="W68" t="n">
        <v>0</v>
      </c>
      <c r="X68" t="n">
        <v>407.7681570869949</v>
      </c>
      <c r="Y68" t="n">
        <v>1059.327232471342</v>
      </c>
    </row>
    <row r="69">
      <c r="A69">
        <f>lc_detailed!W70</f>
        <v/>
      </c>
      <c r="B69" s="23">
        <f>lc_detailed!AB70</f>
        <v/>
      </c>
      <c r="C69" s="23">
        <f>lc_detailed!AC70</f>
        <v/>
      </c>
      <c r="D69" s="23">
        <f>lc_detailed!AD70</f>
        <v/>
      </c>
      <c r="E69" s="23">
        <f>lc_detailed!AE70</f>
        <v/>
      </c>
      <c r="F69" s="23">
        <f>lc_detailed!AF70</f>
        <v/>
      </c>
      <c r="G69" s="23">
        <f>lc_detailed!AG70</f>
        <v/>
      </c>
      <c r="H69" s="23">
        <f>lc_detailed!AH70</f>
        <v/>
      </c>
      <c r="I69" s="23">
        <f>lc_detailed!AI70</f>
        <v/>
      </c>
      <c r="J69" s="23">
        <f>lc_detailed!AK70</f>
        <v/>
      </c>
      <c r="K69" s="23">
        <f>lc_detailed!AL70</f>
        <v/>
      </c>
      <c r="L69" s="23">
        <f>lc_detailed!Y70</f>
        <v/>
      </c>
      <c r="N69" t="inlineStr">
        <is>
          <t>x</t>
        </is>
      </c>
      <c r="O69" t="n">
        <v>631.3384349670163</v>
      </c>
      <c r="P69" t="n">
        <v>35.50536949194601</v>
      </c>
      <c r="Q69" t="n">
        <v>594.3932134139887</v>
      </c>
      <c r="R69" t="n">
        <v>-20.75212309516666</v>
      </c>
      <c r="S69" t="n">
        <v>-870.7170400681894</v>
      </c>
      <c r="T69" t="n">
        <v>194.2604033039462</v>
      </c>
      <c r="U69" t="n">
        <v>106.8554210806572</v>
      </c>
      <c r="V69" t="n">
        <v>2.946301684</v>
      </c>
      <c r="W69" t="n">
        <v>0</v>
      </c>
      <c r="X69" t="n">
        <v>407.7681570869949</v>
      </c>
      <c r="Y69" t="n">
        <v>1081.598137865193</v>
      </c>
    </row>
    <row r="70">
      <c r="A70">
        <f>lc_detailed!W71</f>
        <v/>
      </c>
      <c r="B70" s="23">
        <f>lc_detailed!AB71</f>
        <v/>
      </c>
      <c r="C70" s="23">
        <f>lc_detailed!AC71</f>
        <v/>
      </c>
      <c r="D70" s="23">
        <f>lc_detailed!AD71</f>
        <v/>
      </c>
      <c r="E70" s="23">
        <f>lc_detailed!AE71</f>
        <v/>
      </c>
      <c r="F70" s="23">
        <f>lc_detailed!AF71</f>
        <v/>
      </c>
      <c r="G70" s="23">
        <f>lc_detailed!AG71</f>
        <v/>
      </c>
      <c r="H70" s="23">
        <f>lc_detailed!AH71</f>
        <v/>
      </c>
      <c r="I70" s="23">
        <f>lc_detailed!AI71</f>
        <v/>
      </c>
      <c r="J70" s="23">
        <f>lc_detailed!AK71</f>
        <v/>
      </c>
      <c r="K70" s="23">
        <f>lc_detailed!AL71</f>
        <v/>
      </c>
      <c r="L70" s="23">
        <f>lc_detailed!Y71</f>
        <v/>
      </c>
      <c r="N70" t="inlineStr">
        <is>
          <t>x</t>
        </is>
      </c>
      <c r="O70" t="n">
        <v>635.5756589689871</v>
      </c>
      <c r="P70" t="n">
        <v>34.82097009210126</v>
      </c>
      <c r="Q70" t="n">
        <v>593.4971608141786</v>
      </c>
      <c r="R70" t="n">
        <v>-20.88100407332973</v>
      </c>
      <c r="S70" t="n">
        <v>-871.7419775060588</v>
      </c>
      <c r="T70" t="n">
        <v>194.2604033039462</v>
      </c>
      <c r="U70" t="n">
        <v>106.8554210806572</v>
      </c>
      <c r="V70" t="n">
        <v>2.946301684</v>
      </c>
      <c r="W70" t="n">
        <v>0</v>
      </c>
      <c r="X70" t="n">
        <v>407.7681570869949</v>
      </c>
      <c r="Y70" t="n">
        <v>1083.101091451477</v>
      </c>
    </row>
    <row r="71">
      <c r="A71">
        <f>lc_detailed!W72</f>
        <v/>
      </c>
      <c r="B71" s="23">
        <f>lc_detailed!AB72</f>
        <v/>
      </c>
      <c r="C71" s="23">
        <f>lc_detailed!AC72</f>
        <v/>
      </c>
      <c r="D71" s="23">
        <f>lc_detailed!AD72</f>
        <v/>
      </c>
      <c r="E71" s="23">
        <f>lc_detailed!AE72</f>
        <v/>
      </c>
      <c r="F71" s="23">
        <f>lc_detailed!AF72</f>
        <v/>
      </c>
      <c r="G71" s="23">
        <f>lc_detailed!AG72</f>
        <v/>
      </c>
      <c r="H71" s="23">
        <f>lc_detailed!AH72</f>
        <v/>
      </c>
      <c r="I71" s="23">
        <f>lc_detailed!AI72</f>
        <v/>
      </c>
      <c r="J71" s="23">
        <f>lc_detailed!AK72</f>
        <v/>
      </c>
      <c r="K71" s="23">
        <f>lc_detailed!AL72</f>
        <v/>
      </c>
      <c r="L71" s="23">
        <f>lc_detailed!Y72</f>
        <v/>
      </c>
    </row>
    <row r="72">
      <c r="A72">
        <f>lc_detailed!W73</f>
        <v/>
      </c>
      <c r="B72" s="23">
        <f>lc_detailed!AB73</f>
        <v/>
      </c>
      <c r="C72" s="23">
        <f>lc_detailed!AC73</f>
        <v/>
      </c>
      <c r="D72" s="23">
        <f>lc_detailed!AD73</f>
        <v/>
      </c>
      <c r="E72" s="23">
        <f>lc_detailed!AE73</f>
        <v/>
      </c>
      <c r="F72" s="23">
        <f>lc_detailed!AF73</f>
        <v/>
      </c>
      <c r="G72" s="23">
        <f>lc_detailed!AG73</f>
        <v/>
      </c>
      <c r="H72" s="23">
        <f>lc_detailed!AH73</f>
        <v/>
      </c>
      <c r="I72" s="23">
        <f>lc_detailed!AI73</f>
        <v/>
      </c>
      <c r="J72" s="23">
        <f>lc_detailed!AK73</f>
        <v/>
      </c>
      <c r="K72" s="23">
        <f>lc_detailed!AL73</f>
        <v/>
      </c>
      <c r="L72" s="23">
        <f>lc_detailed!Y73</f>
        <v/>
      </c>
    </row>
    <row r="73">
      <c r="A73">
        <f>lc_detailed!W74</f>
        <v/>
      </c>
      <c r="B73" s="23">
        <f>lc_detailed!AB74</f>
        <v/>
      </c>
      <c r="C73" s="23">
        <f>lc_detailed!AC74</f>
        <v/>
      </c>
      <c r="D73" s="23">
        <f>lc_detailed!AD74</f>
        <v/>
      </c>
      <c r="E73" s="23">
        <f>lc_detailed!AE74</f>
        <v/>
      </c>
      <c r="F73" s="23">
        <f>lc_detailed!AF74</f>
        <v/>
      </c>
      <c r="G73" s="23">
        <f>lc_detailed!AG74</f>
        <v/>
      </c>
      <c r="H73" s="23">
        <f>lc_detailed!AH74</f>
        <v/>
      </c>
      <c r="I73" s="23">
        <f>lc_detailed!AI74</f>
        <v/>
      </c>
      <c r="J73" s="23">
        <f>lc_detailed!AK74</f>
        <v/>
      </c>
      <c r="K73" s="23">
        <f>lc_detailed!AL74</f>
        <v/>
      </c>
      <c r="L73" s="23">
        <f>lc_detailed!Y74</f>
        <v/>
      </c>
    </row>
    <row r="74">
      <c r="A74">
        <f>lc_detailed!W75</f>
        <v/>
      </c>
      <c r="B74" s="23">
        <f>lc_detailed!AB75</f>
        <v/>
      </c>
      <c r="C74" s="23">
        <f>lc_detailed!AC75</f>
        <v/>
      </c>
      <c r="D74" s="23">
        <f>lc_detailed!AD75</f>
        <v/>
      </c>
      <c r="E74" s="23">
        <f>lc_detailed!AE75</f>
        <v/>
      </c>
      <c r="F74" s="23">
        <f>lc_detailed!AF75</f>
        <v/>
      </c>
      <c r="G74" s="23">
        <f>lc_detailed!AG75</f>
        <v/>
      </c>
      <c r="H74" s="23">
        <f>lc_detailed!AH75</f>
        <v/>
      </c>
      <c r="I74" s="23">
        <f>lc_detailed!AI75</f>
        <v/>
      </c>
      <c r="J74" s="23">
        <f>lc_detailed!AK75</f>
        <v/>
      </c>
      <c r="K74" s="23">
        <f>lc_detailed!AL75</f>
        <v/>
      </c>
      <c r="L74" s="23">
        <f>lc_detailed!Y75</f>
        <v/>
      </c>
    </row>
    <row r="75">
      <c r="A75">
        <f>lc_detailed!W76</f>
        <v/>
      </c>
      <c r="B75" s="23">
        <f>lc_detailed!AB76</f>
        <v/>
      </c>
      <c r="C75" s="23">
        <f>lc_detailed!AC76</f>
        <v/>
      </c>
      <c r="D75" s="23">
        <f>lc_detailed!AD76</f>
        <v/>
      </c>
      <c r="E75" s="23">
        <f>lc_detailed!AE76</f>
        <v/>
      </c>
      <c r="F75" s="23">
        <f>lc_detailed!AF76</f>
        <v/>
      </c>
      <c r="G75" s="23">
        <f>lc_detailed!AG76</f>
        <v/>
      </c>
      <c r="H75" s="23">
        <f>lc_detailed!AH76</f>
        <v/>
      </c>
      <c r="I75" s="23">
        <f>lc_detailed!AI76</f>
        <v/>
      </c>
      <c r="J75" s="23">
        <f>lc_detailed!AK76</f>
        <v/>
      </c>
      <c r="K75" s="23">
        <f>lc_detailed!AL76</f>
        <v/>
      </c>
      <c r="L75" s="23">
        <f>lc_detailed!Y76</f>
        <v/>
      </c>
    </row>
    <row r="76">
      <c r="A76">
        <f>lc_detailed!W77</f>
        <v/>
      </c>
      <c r="B76" s="23">
        <f>lc_detailed!AB77</f>
        <v/>
      </c>
      <c r="C76" s="23">
        <f>lc_detailed!AC77</f>
        <v/>
      </c>
      <c r="D76" s="23">
        <f>lc_detailed!AD77</f>
        <v/>
      </c>
      <c r="E76" s="23">
        <f>lc_detailed!AE77</f>
        <v/>
      </c>
      <c r="F76" s="23">
        <f>lc_detailed!AF77</f>
        <v/>
      </c>
      <c r="G76" s="23">
        <f>lc_detailed!AG77</f>
        <v/>
      </c>
      <c r="H76" s="23">
        <f>lc_detailed!AH77</f>
        <v/>
      </c>
      <c r="I76" s="23">
        <f>lc_detailed!AI77</f>
        <v/>
      </c>
      <c r="J76" s="23">
        <f>lc_detailed!AK77</f>
        <v/>
      </c>
      <c r="K76" s="23">
        <f>lc_detailed!AL77</f>
        <v/>
      </c>
      <c r="L76" s="23">
        <f>lc_detailed!Y77</f>
        <v/>
      </c>
    </row>
    <row r="77">
      <c r="A77">
        <f>lc_detailed!W78</f>
        <v/>
      </c>
      <c r="B77" s="23">
        <f>lc_detailed!AB78</f>
        <v/>
      </c>
      <c r="C77" s="23">
        <f>lc_detailed!AC78</f>
        <v/>
      </c>
      <c r="D77" s="23">
        <f>lc_detailed!AD78</f>
        <v/>
      </c>
      <c r="E77" s="23">
        <f>lc_detailed!AE78</f>
        <v/>
      </c>
      <c r="F77" s="23">
        <f>lc_detailed!AF78</f>
        <v/>
      </c>
      <c r="G77" s="23">
        <f>lc_detailed!AG78</f>
        <v/>
      </c>
      <c r="H77" s="23">
        <f>lc_detailed!AH78</f>
        <v/>
      </c>
      <c r="I77" s="23">
        <f>lc_detailed!AI78</f>
        <v/>
      </c>
      <c r="J77" s="23">
        <f>lc_detailed!AK78</f>
        <v/>
      </c>
      <c r="K77" s="23">
        <f>lc_detailed!AL78</f>
        <v/>
      </c>
      <c r="L77" s="23">
        <f>lc_detailed!Y78</f>
        <v/>
      </c>
    </row>
    <row r="78">
      <c r="A78">
        <f>lc_detailed!W79</f>
        <v/>
      </c>
      <c r="B78" s="23">
        <f>lc_detailed!AB79</f>
        <v/>
      </c>
      <c r="C78" s="23">
        <f>lc_detailed!AC79</f>
        <v/>
      </c>
      <c r="D78" s="23">
        <f>lc_detailed!AD79</f>
        <v/>
      </c>
      <c r="E78" s="23">
        <f>lc_detailed!AE79</f>
        <v/>
      </c>
      <c r="F78" s="23">
        <f>lc_detailed!AF79</f>
        <v/>
      </c>
      <c r="G78" s="23">
        <f>lc_detailed!AG79</f>
        <v/>
      </c>
      <c r="H78" s="23">
        <f>lc_detailed!AH79</f>
        <v/>
      </c>
      <c r="I78" s="23">
        <f>lc_detailed!AI79</f>
        <v/>
      </c>
      <c r="J78" s="23">
        <f>lc_detailed!AK79</f>
        <v/>
      </c>
      <c r="K78" s="23">
        <f>lc_detailed!AL79</f>
        <v/>
      </c>
      <c r="L78" s="23">
        <f>lc_detailed!Y79</f>
        <v/>
      </c>
    </row>
    <row r="79">
      <c r="A79">
        <f>lc_detailed!W80</f>
        <v/>
      </c>
      <c r="B79" s="23">
        <f>lc_detailed!AB80</f>
        <v/>
      </c>
      <c r="C79" s="23">
        <f>lc_detailed!AC80</f>
        <v/>
      </c>
      <c r="D79" s="23">
        <f>lc_detailed!AD80</f>
        <v/>
      </c>
      <c r="E79" s="23">
        <f>lc_detailed!AE80</f>
        <v/>
      </c>
      <c r="F79" s="23">
        <f>lc_detailed!AF80</f>
        <v/>
      </c>
      <c r="G79" s="23">
        <f>lc_detailed!AG80</f>
        <v/>
      </c>
      <c r="H79" s="23">
        <f>lc_detailed!AH80</f>
        <v/>
      </c>
      <c r="I79" s="23">
        <f>lc_detailed!AI80</f>
        <v/>
      </c>
      <c r="J79" s="23">
        <f>lc_detailed!AK80</f>
        <v/>
      </c>
      <c r="K79" s="23">
        <f>lc_detailed!AL80</f>
        <v/>
      </c>
      <c r="L79" s="23">
        <f>lc_detailed!Y80</f>
        <v/>
      </c>
    </row>
    <row r="80">
      <c r="A80">
        <f>lc_detailed!W81</f>
        <v/>
      </c>
      <c r="B80" s="23">
        <f>lc_detailed!AB81</f>
        <v/>
      </c>
      <c r="C80" s="23">
        <f>lc_detailed!AC81</f>
        <v/>
      </c>
      <c r="D80" s="23">
        <f>lc_detailed!AD81</f>
        <v/>
      </c>
      <c r="E80" s="23">
        <f>lc_detailed!AE81</f>
        <v/>
      </c>
      <c r="F80" s="23">
        <f>lc_detailed!AF81</f>
        <v/>
      </c>
      <c r="G80" s="23">
        <f>lc_detailed!AG81</f>
        <v/>
      </c>
      <c r="H80" s="23">
        <f>lc_detailed!AH81</f>
        <v/>
      </c>
      <c r="I80" s="23">
        <f>lc_detailed!AI81</f>
        <v/>
      </c>
      <c r="J80" s="23">
        <f>lc_detailed!AK81</f>
        <v/>
      </c>
      <c r="K80" s="23">
        <f>lc_detailed!AL81</f>
        <v/>
      </c>
      <c r="L80" s="23">
        <f>lc_detailed!Y81</f>
        <v/>
      </c>
    </row>
    <row r="81">
      <c r="A81">
        <f>lc_detailed!W82</f>
        <v/>
      </c>
      <c r="B81" s="23">
        <f>lc_detailed!AB82</f>
        <v/>
      </c>
      <c r="C81" s="23">
        <f>lc_detailed!AC82</f>
        <v/>
      </c>
      <c r="D81" s="23">
        <f>lc_detailed!AD82</f>
        <v/>
      </c>
      <c r="E81" s="23">
        <f>lc_detailed!AE82</f>
        <v/>
      </c>
      <c r="F81" s="23">
        <f>lc_detailed!AF82</f>
        <v/>
      </c>
      <c r="G81" s="23">
        <f>lc_detailed!AG82</f>
        <v/>
      </c>
      <c r="H81" s="23">
        <f>lc_detailed!AH82</f>
        <v/>
      </c>
      <c r="I81" s="23">
        <f>lc_detailed!AI82</f>
        <v/>
      </c>
      <c r="J81" s="23">
        <f>lc_detailed!AK82</f>
        <v/>
      </c>
      <c r="K81" s="23">
        <f>lc_detailed!AL82</f>
        <v/>
      </c>
      <c r="L81" s="23">
        <f>lc_detailed!Y82</f>
        <v/>
      </c>
    </row>
    <row r="82">
      <c r="A82">
        <f>lc_detailed!W83</f>
        <v/>
      </c>
      <c r="B82" s="23">
        <f>lc_detailed!AB83</f>
        <v/>
      </c>
      <c r="C82" s="23">
        <f>lc_detailed!AC83</f>
        <v/>
      </c>
      <c r="D82" s="23">
        <f>lc_detailed!AD83</f>
        <v/>
      </c>
      <c r="E82" s="23">
        <f>lc_detailed!AE83</f>
        <v/>
      </c>
      <c r="F82" s="23">
        <f>lc_detailed!AF83</f>
        <v/>
      </c>
      <c r="G82" s="23">
        <f>lc_detailed!AG83</f>
        <v/>
      </c>
      <c r="H82" s="23">
        <f>lc_detailed!AH83</f>
        <v/>
      </c>
      <c r="I82" s="23">
        <f>lc_detailed!AI83</f>
        <v/>
      </c>
      <c r="J82" s="23">
        <f>lc_detailed!AK83</f>
        <v/>
      </c>
      <c r="K82" s="23">
        <f>lc_detailed!AL83</f>
        <v/>
      </c>
      <c r="L82" s="23">
        <f>lc_detailed!Y83</f>
        <v/>
      </c>
    </row>
    <row r="83">
      <c r="A83">
        <f>lc_detailed!W84</f>
        <v/>
      </c>
      <c r="B83" s="23">
        <f>lc_detailed!AB84</f>
        <v/>
      </c>
      <c r="C83" s="23">
        <f>lc_detailed!AC84</f>
        <v/>
      </c>
      <c r="D83" s="23">
        <f>lc_detailed!AD84</f>
        <v/>
      </c>
      <c r="E83" s="23">
        <f>lc_detailed!AE84</f>
        <v/>
      </c>
      <c r="F83" s="23">
        <f>lc_detailed!AF84</f>
        <v/>
      </c>
      <c r="G83" s="23">
        <f>lc_detailed!AG84</f>
        <v/>
      </c>
      <c r="H83" s="23">
        <f>lc_detailed!AH84</f>
        <v/>
      </c>
      <c r="I83" s="23">
        <f>lc_detailed!AI84</f>
        <v/>
      </c>
      <c r="J83" s="23">
        <f>lc_detailed!AK84</f>
        <v/>
      </c>
      <c r="K83" s="23">
        <f>lc_detailed!AL84</f>
        <v/>
      </c>
      <c r="L83" s="23">
        <f>lc_detailed!Y84</f>
        <v/>
      </c>
    </row>
    <row r="84">
      <c r="A84">
        <f>lc_detailed!W85</f>
        <v/>
      </c>
      <c r="B84" s="23">
        <f>lc_detailed!AB85</f>
        <v/>
      </c>
      <c r="C84" s="23">
        <f>lc_detailed!AC85</f>
        <v/>
      </c>
      <c r="D84" s="23">
        <f>lc_detailed!AD85</f>
        <v/>
      </c>
      <c r="E84" s="23">
        <f>lc_detailed!AE85</f>
        <v/>
      </c>
      <c r="F84" s="23">
        <f>lc_detailed!AF85</f>
        <v/>
      </c>
      <c r="G84" s="23">
        <f>lc_detailed!AG85</f>
        <v/>
      </c>
      <c r="H84" s="23">
        <f>lc_detailed!AH85</f>
        <v/>
      </c>
      <c r="I84" s="23">
        <f>lc_detailed!AI85</f>
        <v/>
      </c>
      <c r="J84" s="23">
        <f>lc_detailed!AK85</f>
        <v/>
      </c>
      <c r="K84" s="23">
        <f>lc_detailed!AL85</f>
        <v/>
      </c>
      <c r="L84" s="23">
        <f>lc_detailed!Y85</f>
        <v/>
      </c>
    </row>
    <row r="85">
      <c r="A85">
        <f>lc_detailed!W86</f>
        <v/>
      </c>
      <c r="B85" s="23">
        <f>lc_detailed!AB86</f>
        <v/>
      </c>
      <c r="C85" s="23">
        <f>lc_detailed!AC86</f>
        <v/>
      </c>
      <c r="D85" s="23">
        <f>lc_detailed!AD86</f>
        <v/>
      </c>
      <c r="E85" s="23">
        <f>lc_detailed!AE86</f>
        <v/>
      </c>
      <c r="F85" s="23">
        <f>lc_detailed!AF86</f>
        <v/>
      </c>
      <c r="G85" s="23">
        <f>lc_detailed!AG86</f>
        <v/>
      </c>
      <c r="H85" s="23">
        <f>lc_detailed!AH86</f>
        <v/>
      </c>
      <c r="I85" s="23">
        <f>lc_detailed!AI86</f>
        <v/>
      </c>
      <c r="J85" s="23">
        <f>lc_detailed!AK86</f>
        <v/>
      </c>
      <c r="K85" s="23">
        <f>lc_detailed!AL86</f>
        <v/>
      </c>
      <c r="L85" s="23">
        <f>lc_detailed!Y86</f>
        <v/>
      </c>
    </row>
    <row r="86">
      <c r="A86">
        <f>lc_detailed!W87</f>
        <v/>
      </c>
      <c r="B86" s="23">
        <f>lc_detailed!AB87</f>
        <v/>
      </c>
      <c r="C86" s="23">
        <f>lc_detailed!AC87</f>
        <v/>
      </c>
      <c r="D86" s="23">
        <f>lc_detailed!AD87</f>
        <v/>
      </c>
      <c r="E86" s="23">
        <f>lc_detailed!AE87</f>
        <v/>
      </c>
      <c r="F86" s="23">
        <f>lc_detailed!AF87</f>
        <v/>
      </c>
      <c r="G86" s="23">
        <f>lc_detailed!AG87</f>
        <v/>
      </c>
      <c r="H86" s="23">
        <f>lc_detailed!AH87</f>
        <v/>
      </c>
      <c r="I86" s="23">
        <f>lc_detailed!AI87</f>
        <v/>
      </c>
      <c r="J86" s="23">
        <f>lc_detailed!AK87</f>
        <v/>
      </c>
      <c r="K86" s="23">
        <f>lc_detailed!AL87</f>
        <v/>
      </c>
      <c r="L86" s="23">
        <f>lc_detailed!Y87</f>
        <v/>
      </c>
    </row>
    <row r="87">
      <c r="A87">
        <f>lc_detailed!W88</f>
        <v/>
      </c>
      <c r="B87" s="23">
        <f>lc_detailed!AB88</f>
        <v/>
      </c>
      <c r="C87" s="23">
        <f>lc_detailed!AC88</f>
        <v/>
      </c>
      <c r="D87" s="23">
        <f>lc_detailed!AD88</f>
        <v/>
      </c>
      <c r="E87" s="23">
        <f>lc_detailed!AE88</f>
        <v/>
      </c>
      <c r="F87" s="23">
        <f>lc_detailed!AF88</f>
        <v/>
      </c>
      <c r="G87" s="23">
        <f>lc_detailed!AG88</f>
        <v/>
      </c>
      <c r="H87" s="23">
        <f>lc_detailed!AH88</f>
        <v/>
      </c>
      <c r="I87" s="23">
        <f>lc_detailed!AI88</f>
        <v/>
      </c>
      <c r="J87" s="23">
        <f>lc_detailed!AK88</f>
        <v/>
      </c>
      <c r="K87" s="23">
        <f>lc_detailed!AL88</f>
        <v/>
      </c>
      <c r="L87" s="23">
        <f>lc_detailed!Y88</f>
        <v/>
      </c>
    </row>
    <row r="88">
      <c r="A88">
        <f>lc_detailed!W89</f>
        <v/>
      </c>
      <c r="B88" s="23">
        <f>lc_detailed!AB89</f>
        <v/>
      </c>
      <c r="C88" s="23">
        <f>lc_detailed!AC89</f>
        <v/>
      </c>
      <c r="D88" s="23">
        <f>lc_detailed!AD89</f>
        <v/>
      </c>
      <c r="E88" s="23">
        <f>lc_detailed!AE89</f>
        <v/>
      </c>
      <c r="F88" s="23">
        <f>lc_detailed!AF89</f>
        <v/>
      </c>
      <c r="G88" s="23">
        <f>lc_detailed!AG89</f>
        <v/>
      </c>
      <c r="H88" s="23">
        <f>lc_detailed!AH89</f>
        <v/>
      </c>
      <c r="I88" s="23">
        <f>lc_detailed!AI89</f>
        <v/>
      </c>
      <c r="J88" s="23">
        <f>lc_detailed!AK89</f>
        <v/>
      </c>
      <c r="K88" s="23">
        <f>lc_detailed!AL89</f>
        <v/>
      </c>
      <c r="L88" s="23">
        <f>lc_detailed!Y89</f>
        <v/>
      </c>
    </row>
    <row r="89">
      <c r="A89">
        <f>lc_detailed!W90</f>
        <v/>
      </c>
      <c r="B89" s="23">
        <f>lc_detailed!AB90</f>
        <v/>
      </c>
      <c r="C89" s="23">
        <f>lc_detailed!AC90</f>
        <v/>
      </c>
      <c r="D89" s="23">
        <f>lc_detailed!AD90</f>
        <v/>
      </c>
      <c r="E89" s="23">
        <f>lc_detailed!AE90</f>
        <v/>
      </c>
      <c r="F89" s="23">
        <f>lc_detailed!AF90</f>
        <v/>
      </c>
      <c r="G89" s="23">
        <f>lc_detailed!AG90</f>
        <v/>
      </c>
      <c r="H89" s="23">
        <f>lc_detailed!AH90</f>
        <v/>
      </c>
      <c r="I89" s="23">
        <f>lc_detailed!AI90</f>
        <v/>
      </c>
      <c r="J89" s="23">
        <f>lc_detailed!AK90</f>
        <v/>
      </c>
      <c r="K89" s="23">
        <f>lc_detailed!AL90</f>
        <v/>
      </c>
      <c r="L89" s="23">
        <f>lc_detailed!Y90</f>
        <v/>
      </c>
    </row>
    <row r="90">
      <c r="A90">
        <f>lc_detailed!W91</f>
        <v/>
      </c>
      <c r="B90" s="23">
        <f>lc_detailed!AB91</f>
        <v/>
      </c>
      <c r="C90" s="23">
        <f>lc_detailed!AC91</f>
        <v/>
      </c>
      <c r="D90" s="23">
        <f>lc_detailed!AD91</f>
        <v/>
      </c>
      <c r="E90" s="23">
        <f>lc_detailed!AE91</f>
        <v/>
      </c>
      <c r="F90" s="23">
        <f>lc_detailed!AF91</f>
        <v/>
      </c>
      <c r="G90" s="23">
        <f>lc_detailed!AG91</f>
        <v/>
      </c>
      <c r="H90" s="23">
        <f>lc_detailed!AH91</f>
        <v/>
      </c>
      <c r="I90" s="23">
        <f>lc_detailed!AI91</f>
        <v/>
      </c>
      <c r="J90" s="23">
        <f>lc_detailed!AK91</f>
        <v/>
      </c>
      <c r="K90" s="23">
        <f>lc_detailed!AL91</f>
        <v/>
      </c>
      <c r="L90" s="23">
        <f>lc_detailed!Y91</f>
        <v/>
      </c>
    </row>
    <row r="91">
      <c r="A91">
        <f>lc_detailed!W92</f>
        <v/>
      </c>
      <c r="B91" s="23">
        <f>lc_detailed!AB92</f>
        <v/>
      </c>
      <c r="C91" s="23">
        <f>lc_detailed!AC92</f>
        <v/>
      </c>
      <c r="D91" s="23">
        <f>lc_detailed!AD92</f>
        <v/>
      </c>
      <c r="E91" s="23">
        <f>lc_detailed!AE92</f>
        <v/>
      </c>
      <c r="F91" s="23">
        <f>lc_detailed!AF92</f>
        <v/>
      </c>
      <c r="G91" s="23">
        <f>lc_detailed!AG92</f>
        <v/>
      </c>
      <c r="H91" s="23">
        <f>lc_detailed!AH92</f>
        <v/>
      </c>
      <c r="I91" s="23">
        <f>lc_detailed!AI92</f>
        <v/>
      </c>
      <c r="J91" s="23">
        <f>lc_detailed!AK92</f>
        <v/>
      </c>
      <c r="K91" s="23">
        <f>lc_detailed!AL92</f>
        <v/>
      </c>
      <c r="L91" s="23">
        <f>lc_detailed!Y92</f>
        <v/>
      </c>
    </row>
    <row r="92">
      <c r="A92">
        <f>lc_detailed!W93</f>
        <v/>
      </c>
      <c r="B92" s="23">
        <f>lc_detailed!AB93</f>
        <v/>
      </c>
      <c r="C92" s="23">
        <f>lc_detailed!AC93</f>
        <v/>
      </c>
      <c r="D92" s="23">
        <f>lc_detailed!AD93</f>
        <v/>
      </c>
      <c r="E92" s="23">
        <f>lc_detailed!AE93</f>
        <v/>
      </c>
      <c r="F92" s="23">
        <f>lc_detailed!AF93</f>
        <v/>
      </c>
      <c r="G92" s="23">
        <f>lc_detailed!AG93</f>
        <v/>
      </c>
      <c r="H92" s="23">
        <f>lc_detailed!AH93</f>
        <v/>
      </c>
      <c r="I92" s="23">
        <f>lc_detailed!AI93</f>
        <v/>
      </c>
      <c r="J92" s="23">
        <f>lc_detailed!AK93</f>
        <v/>
      </c>
      <c r="K92" s="23">
        <f>lc_detailed!AL93</f>
        <v/>
      </c>
      <c r="L92" s="23">
        <f>lc_detailed!Y93</f>
        <v/>
      </c>
    </row>
    <row r="93">
      <c r="A93">
        <f>lc_detailed!W94</f>
        <v/>
      </c>
      <c r="B93" s="23">
        <f>lc_detailed!AB94</f>
        <v/>
      </c>
      <c r="C93" s="23">
        <f>lc_detailed!AC94</f>
        <v/>
      </c>
      <c r="D93" s="23">
        <f>lc_detailed!AD94</f>
        <v/>
      </c>
      <c r="E93" s="23">
        <f>lc_detailed!AE94</f>
        <v/>
      </c>
      <c r="F93" s="23">
        <f>lc_detailed!AF94</f>
        <v/>
      </c>
      <c r="G93" s="23">
        <f>lc_detailed!AG94</f>
        <v/>
      </c>
      <c r="H93" s="23">
        <f>lc_detailed!AH94</f>
        <v/>
      </c>
      <c r="I93" s="23">
        <f>lc_detailed!AI94</f>
        <v/>
      </c>
      <c r="J93" s="23">
        <f>lc_detailed!AK94</f>
        <v/>
      </c>
      <c r="K93" s="23">
        <f>lc_detailed!AL94</f>
        <v/>
      </c>
      <c r="L93" s="23">
        <f>lc_detailed!Y94</f>
        <v/>
      </c>
    </row>
    <row r="94">
      <c r="A94">
        <f>lc_detailed!W95</f>
        <v/>
      </c>
      <c r="B94" s="23">
        <f>lc_detailed!AB95</f>
        <v/>
      </c>
      <c r="C94" s="23">
        <f>lc_detailed!AC95</f>
        <v/>
      </c>
      <c r="D94" s="23">
        <f>lc_detailed!AD95</f>
        <v/>
      </c>
      <c r="E94" s="23">
        <f>lc_detailed!AE95</f>
        <v/>
      </c>
      <c r="F94" s="23">
        <f>lc_detailed!AF95</f>
        <v/>
      </c>
      <c r="G94" s="23">
        <f>lc_detailed!AG95</f>
        <v/>
      </c>
      <c r="H94" s="23">
        <f>lc_detailed!AH95</f>
        <v/>
      </c>
      <c r="I94" s="23">
        <f>lc_detailed!AI95</f>
        <v/>
      </c>
      <c r="J94" s="23">
        <f>lc_detailed!AK95</f>
        <v/>
      </c>
      <c r="K94" s="23">
        <f>lc_detailed!AL95</f>
        <v/>
      </c>
      <c r="L94" s="23">
        <f>lc_detailed!Y95</f>
        <v/>
      </c>
    </row>
    <row r="95">
      <c r="A95">
        <f>lc_detailed!W96</f>
        <v/>
      </c>
      <c r="B95" s="23">
        <f>lc_detailed!AB96</f>
        <v/>
      </c>
      <c r="C95" s="23">
        <f>lc_detailed!AC96</f>
        <v/>
      </c>
      <c r="D95" s="23">
        <f>lc_detailed!AD96</f>
        <v/>
      </c>
      <c r="E95" s="23">
        <f>lc_detailed!AE96</f>
        <v/>
      </c>
      <c r="F95" s="23">
        <f>lc_detailed!AF96</f>
        <v/>
      </c>
      <c r="G95" s="23">
        <f>lc_detailed!AG96</f>
        <v/>
      </c>
      <c r="H95" s="23">
        <f>lc_detailed!AH96</f>
        <v/>
      </c>
      <c r="I95" s="23">
        <f>lc_detailed!AI96</f>
        <v/>
      </c>
      <c r="J95" s="23">
        <f>lc_detailed!AK96</f>
        <v/>
      </c>
      <c r="K95" s="23">
        <f>lc_detailed!AL96</f>
        <v/>
      </c>
      <c r="L95" s="23">
        <f>lc_detailed!Y96</f>
        <v/>
      </c>
    </row>
    <row r="96">
      <c r="A96">
        <f>lc_detailed!W97</f>
        <v/>
      </c>
      <c r="B96" s="23">
        <f>lc_detailed!AB97</f>
        <v/>
      </c>
      <c r="C96" s="23">
        <f>lc_detailed!AC97</f>
        <v/>
      </c>
      <c r="D96" s="23">
        <f>lc_detailed!AD97</f>
        <v/>
      </c>
      <c r="E96" s="23">
        <f>lc_detailed!AE97</f>
        <v/>
      </c>
      <c r="F96" s="23">
        <f>lc_detailed!AF97</f>
        <v/>
      </c>
      <c r="G96" s="23">
        <f>lc_detailed!AG97</f>
        <v/>
      </c>
      <c r="H96" s="23">
        <f>lc_detailed!AH97</f>
        <v/>
      </c>
      <c r="I96" s="23">
        <f>lc_detailed!AI97</f>
        <v/>
      </c>
      <c r="J96" s="23">
        <f>lc_detailed!AK97</f>
        <v/>
      </c>
      <c r="K96" s="23">
        <f>lc_detailed!AL97</f>
        <v/>
      </c>
      <c r="L96" s="23">
        <f>lc_detailed!Y97</f>
        <v/>
      </c>
    </row>
    <row r="97">
      <c r="A97">
        <f>lc_detailed!W98</f>
        <v/>
      </c>
      <c r="B97" s="23">
        <f>lc_detailed!AB98</f>
        <v/>
      </c>
      <c r="C97" s="23">
        <f>lc_detailed!AC98</f>
        <v/>
      </c>
      <c r="D97" s="23">
        <f>lc_detailed!AD98</f>
        <v/>
      </c>
      <c r="E97" s="23">
        <f>lc_detailed!AE98</f>
        <v/>
      </c>
      <c r="F97" s="23">
        <f>lc_detailed!AF98</f>
        <v/>
      </c>
      <c r="G97" s="23">
        <f>lc_detailed!AG98</f>
        <v/>
      </c>
      <c r="H97" s="23">
        <f>lc_detailed!AH98</f>
        <v/>
      </c>
      <c r="I97" s="23">
        <f>lc_detailed!AI98</f>
        <v/>
      </c>
      <c r="J97" s="23">
        <f>lc_detailed!AK98</f>
        <v/>
      </c>
      <c r="K97" s="23">
        <f>lc_detailed!AL98</f>
        <v/>
      </c>
      <c r="L97" s="23">
        <f>lc_detailed!Y98</f>
        <v/>
      </c>
    </row>
    <row r="98">
      <c r="A98">
        <f>lc_detailed!W99</f>
        <v/>
      </c>
      <c r="B98" s="23">
        <f>lc_detailed!AB99</f>
        <v/>
      </c>
      <c r="C98" s="23">
        <f>lc_detailed!AC99</f>
        <v/>
      </c>
      <c r="D98" s="23">
        <f>lc_detailed!AD99</f>
        <v/>
      </c>
      <c r="E98" s="23">
        <f>lc_detailed!AE99</f>
        <v/>
      </c>
      <c r="F98" s="23">
        <f>lc_detailed!AF99</f>
        <v/>
      </c>
      <c r="G98" s="23">
        <f>lc_detailed!AG99</f>
        <v/>
      </c>
      <c r="H98" s="23">
        <f>lc_detailed!AH99</f>
        <v/>
      </c>
      <c r="I98" s="23">
        <f>lc_detailed!AI99</f>
        <v/>
      </c>
      <c r="J98" s="23">
        <f>lc_detailed!AK99</f>
        <v/>
      </c>
      <c r="K98" s="23">
        <f>lc_detailed!AL99</f>
        <v/>
      </c>
      <c r="L98" s="23">
        <f>lc_detailed!Y99</f>
        <v/>
      </c>
    </row>
    <row r="99">
      <c r="A99">
        <f>lc_detailed!W100</f>
        <v/>
      </c>
      <c r="B99" s="23">
        <f>lc_detailed!AB100</f>
        <v/>
      </c>
      <c r="C99" s="23">
        <f>lc_detailed!AC100</f>
        <v/>
      </c>
      <c r="D99" s="23">
        <f>lc_detailed!AD100</f>
        <v/>
      </c>
      <c r="E99" s="23">
        <f>lc_detailed!AE100</f>
        <v/>
      </c>
      <c r="F99" s="23">
        <f>lc_detailed!AF100</f>
        <v/>
      </c>
      <c r="G99" s="23">
        <f>lc_detailed!AG100</f>
        <v/>
      </c>
      <c r="H99" s="23">
        <f>lc_detailed!AH100</f>
        <v/>
      </c>
      <c r="I99" s="23">
        <f>lc_detailed!AI100</f>
        <v/>
      </c>
      <c r="J99" s="23">
        <f>lc_detailed!AK100</f>
        <v/>
      </c>
      <c r="K99" s="23">
        <f>lc_detailed!AL100</f>
        <v/>
      </c>
      <c r="L99" s="23">
        <f>lc_detailed!Y100</f>
        <v/>
      </c>
    </row>
    <row r="100">
      <c r="A100">
        <f>lc_detailed!W101</f>
        <v/>
      </c>
      <c r="B100" s="23">
        <f>lc_detailed!AB101</f>
        <v/>
      </c>
      <c r="C100" s="23">
        <f>lc_detailed!AC101</f>
        <v/>
      </c>
      <c r="D100" s="23">
        <f>lc_detailed!AD101</f>
        <v/>
      </c>
      <c r="E100" s="23">
        <f>lc_detailed!AE101</f>
        <v/>
      </c>
      <c r="F100" s="23">
        <f>lc_detailed!AF101</f>
        <v/>
      </c>
      <c r="G100" s="23">
        <f>lc_detailed!AG101</f>
        <v/>
      </c>
      <c r="H100" s="23">
        <f>lc_detailed!AH101</f>
        <v/>
      </c>
      <c r="I100" s="23">
        <f>lc_detailed!AI101</f>
        <v/>
      </c>
      <c r="J100" s="23">
        <f>lc_detailed!AK101</f>
        <v/>
      </c>
      <c r="K100" s="23">
        <f>lc_detailed!AL101</f>
        <v/>
      </c>
      <c r="L100" s="23">
        <f>lc_detailed!Y101</f>
        <v/>
      </c>
    </row>
    <row r="101">
      <c r="A101">
        <f>lc_detailed!W102</f>
        <v/>
      </c>
      <c r="B101" s="23">
        <f>lc_detailed!AB102</f>
        <v/>
      </c>
      <c r="C101" s="23">
        <f>lc_detailed!AC102</f>
        <v/>
      </c>
      <c r="D101" s="23">
        <f>lc_detailed!AD102</f>
        <v/>
      </c>
      <c r="E101" s="23">
        <f>lc_detailed!AE102</f>
        <v/>
      </c>
      <c r="F101" s="23">
        <f>lc_detailed!AF102</f>
        <v/>
      </c>
      <c r="G101" s="23">
        <f>lc_detailed!AG102</f>
        <v/>
      </c>
      <c r="H101" s="23">
        <f>lc_detailed!AH102</f>
        <v/>
      </c>
      <c r="I101" s="23">
        <f>lc_detailed!AI102</f>
        <v/>
      </c>
      <c r="J101" s="23">
        <f>lc_detailed!AK102</f>
        <v/>
      </c>
      <c r="K101" s="23">
        <f>lc_detailed!AL102</f>
        <v/>
      </c>
      <c r="L101" s="23">
        <f>lc_detailed!Y102</f>
        <v/>
      </c>
    </row>
    <row r="102">
      <c r="A102">
        <f>lc_detailed!W103</f>
        <v/>
      </c>
      <c r="B102" s="23">
        <f>lc_detailed!AB103</f>
        <v/>
      </c>
      <c r="C102" s="23">
        <f>lc_detailed!AC103</f>
        <v/>
      </c>
      <c r="D102" s="23">
        <f>lc_detailed!AD103</f>
        <v/>
      </c>
      <c r="E102" s="23">
        <f>lc_detailed!AE103</f>
        <v/>
      </c>
      <c r="F102" s="23">
        <f>lc_detailed!AF103</f>
        <v/>
      </c>
      <c r="G102" s="23">
        <f>lc_detailed!AG103</f>
        <v/>
      </c>
      <c r="H102" s="23">
        <f>lc_detailed!AH103</f>
        <v/>
      </c>
      <c r="I102" s="23">
        <f>lc_detailed!AI103</f>
        <v/>
      </c>
      <c r="J102" s="23">
        <f>lc_detailed!AK103</f>
        <v/>
      </c>
      <c r="K102" s="23">
        <f>lc_detailed!AL103</f>
        <v/>
      </c>
      <c r="L102" s="23">
        <f>lc_detailed!Y103</f>
        <v/>
      </c>
    </row>
    <row r="103">
      <c r="A103">
        <f>lc_detailed!W104</f>
        <v/>
      </c>
      <c r="B103" s="23">
        <f>lc_detailed!AB104</f>
        <v/>
      </c>
      <c r="C103" s="23">
        <f>lc_detailed!AC104</f>
        <v/>
      </c>
      <c r="D103" s="23">
        <f>lc_detailed!AD104</f>
        <v/>
      </c>
      <c r="E103" s="23">
        <f>lc_detailed!AE104</f>
        <v/>
      </c>
      <c r="F103" s="23">
        <f>lc_detailed!AF104</f>
        <v/>
      </c>
      <c r="G103" s="23">
        <f>lc_detailed!AG104</f>
        <v/>
      </c>
      <c r="H103" s="23">
        <f>lc_detailed!AH104</f>
        <v/>
      </c>
      <c r="I103" s="23">
        <f>lc_detailed!AI104</f>
        <v/>
      </c>
      <c r="J103" s="23">
        <f>lc_detailed!AK104</f>
        <v/>
      </c>
      <c r="K103" s="23">
        <f>lc_detailed!AL104</f>
        <v/>
      </c>
      <c r="L103" s="23">
        <f>lc_detailed!Y104</f>
        <v/>
      </c>
    </row>
    <row r="104">
      <c r="A104">
        <f>lc_detailed!W105</f>
        <v/>
      </c>
      <c r="B104" s="23">
        <f>lc_detailed!AB105</f>
        <v/>
      </c>
      <c r="C104" s="23">
        <f>lc_detailed!AC105</f>
        <v/>
      </c>
      <c r="D104" s="23">
        <f>lc_detailed!AD105</f>
        <v/>
      </c>
      <c r="E104" s="23">
        <f>lc_detailed!AE105</f>
        <v/>
      </c>
      <c r="F104" s="23">
        <f>lc_detailed!AF105</f>
        <v/>
      </c>
      <c r="G104" s="23">
        <f>lc_detailed!AG105</f>
        <v/>
      </c>
      <c r="H104" s="23">
        <f>lc_detailed!AH105</f>
        <v/>
      </c>
      <c r="I104" s="23">
        <f>lc_detailed!AI105</f>
        <v/>
      </c>
      <c r="J104" s="23">
        <f>lc_detailed!AK105</f>
        <v/>
      </c>
      <c r="K104" s="23">
        <f>lc_detailed!AL105</f>
        <v/>
      </c>
      <c r="L104" s="23">
        <f>lc_detailed!Y105</f>
        <v/>
      </c>
    </row>
    <row r="105">
      <c r="A105">
        <f>lc_detailed!W106</f>
        <v/>
      </c>
      <c r="B105" s="23">
        <f>lc_detailed!AB106</f>
        <v/>
      </c>
      <c r="C105" s="23">
        <f>lc_detailed!AC106</f>
        <v/>
      </c>
      <c r="D105" s="23">
        <f>lc_detailed!AD106</f>
        <v/>
      </c>
      <c r="E105" s="23">
        <f>lc_detailed!AE106</f>
        <v/>
      </c>
      <c r="F105" s="23">
        <f>lc_detailed!AF106</f>
        <v/>
      </c>
      <c r="G105" s="23">
        <f>lc_detailed!AG106</f>
        <v/>
      </c>
      <c r="H105" s="23">
        <f>lc_detailed!AH106</f>
        <v/>
      </c>
      <c r="I105" s="23">
        <f>lc_detailed!AI106</f>
        <v/>
      </c>
      <c r="J105" s="23">
        <f>lc_detailed!AK106</f>
        <v/>
      </c>
      <c r="K105" s="23">
        <f>lc_detailed!AL106</f>
        <v/>
      </c>
      <c r="L105" s="23">
        <f>lc_detailed!Y106</f>
        <v/>
      </c>
    </row>
    <row r="106">
      <c r="A106">
        <f>lc_detailed!W107</f>
        <v/>
      </c>
      <c r="B106" s="23">
        <f>lc_detailed!AB107</f>
        <v/>
      </c>
      <c r="C106" s="23">
        <f>lc_detailed!AC107</f>
        <v/>
      </c>
      <c r="D106" s="23">
        <f>lc_detailed!AD107</f>
        <v/>
      </c>
      <c r="E106" s="23">
        <f>lc_detailed!AE107</f>
        <v/>
      </c>
      <c r="F106" s="23">
        <f>lc_detailed!AF107</f>
        <v/>
      </c>
      <c r="G106" s="23">
        <f>lc_detailed!AG107</f>
        <v/>
      </c>
      <c r="H106" s="23">
        <f>lc_detailed!AH107</f>
        <v/>
      </c>
      <c r="I106" s="23">
        <f>lc_detailed!AI107</f>
        <v/>
      </c>
      <c r="J106" s="23">
        <f>lc_detailed!AK107</f>
        <v/>
      </c>
      <c r="K106" s="23">
        <f>lc_detailed!AL107</f>
        <v/>
      </c>
      <c r="L106" s="23">
        <f>lc_detailed!Y107</f>
        <v/>
      </c>
    </row>
    <row r="107">
      <c r="A107">
        <f>lc_detailed!W108</f>
        <v/>
      </c>
      <c r="B107" s="23">
        <f>lc_detailed!AB108</f>
        <v/>
      </c>
      <c r="C107" s="23">
        <f>lc_detailed!AC108</f>
        <v/>
      </c>
      <c r="D107" s="23">
        <f>lc_detailed!AD108</f>
        <v/>
      </c>
      <c r="E107" s="23">
        <f>lc_detailed!AE108</f>
        <v/>
      </c>
      <c r="F107" s="23">
        <f>lc_detailed!AF108</f>
        <v/>
      </c>
      <c r="G107" s="23">
        <f>lc_detailed!AG108</f>
        <v/>
      </c>
      <c r="H107" s="23">
        <f>lc_detailed!AH108</f>
        <v/>
      </c>
      <c r="I107" s="23">
        <f>lc_detailed!AI108</f>
        <v/>
      </c>
      <c r="J107" s="23">
        <f>lc_detailed!AK108</f>
        <v/>
      </c>
      <c r="K107" s="23">
        <f>lc_detailed!AL108</f>
        <v/>
      </c>
      <c r="L107" s="23">
        <f>lc_detailed!Y108</f>
        <v/>
      </c>
    </row>
    <row r="108">
      <c r="A108">
        <f>lc_detailed!W109</f>
        <v/>
      </c>
      <c r="B108" s="23">
        <f>lc_detailed!AB109</f>
        <v/>
      </c>
      <c r="C108" s="23">
        <f>lc_detailed!AC109</f>
        <v/>
      </c>
      <c r="D108" s="23">
        <f>lc_detailed!AD109</f>
        <v/>
      </c>
      <c r="E108" s="23">
        <f>lc_detailed!AE109</f>
        <v/>
      </c>
      <c r="F108" s="23">
        <f>lc_detailed!AF109</f>
        <v/>
      </c>
      <c r="G108" s="23">
        <f>lc_detailed!AG109</f>
        <v/>
      </c>
      <c r="H108" s="23">
        <f>lc_detailed!AH109</f>
        <v/>
      </c>
      <c r="I108" s="23">
        <f>lc_detailed!AI109</f>
        <v/>
      </c>
      <c r="J108" s="23">
        <f>lc_detailed!AK109</f>
        <v/>
      </c>
      <c r="K108" s="23">
        <f>lc_detailed!AL109</f>
        <v/>
      </c>
      <c r="L108" s="23">
        <f>lc_detailed!Y109</f>
        <v/>
      </c>
    </row>
    <row r="109">
      <c r="A109">
        <f>lc_detailed!W110</f>
        <v/>
      </c>
      <c r="B109" s="23">
        <f>lc_detailed!AB110</f>
        <v/>
      </c>
      <c r="C109" s="23">
        <f>lc_detailed!AC110</f>
        <v/>
      </c>
      <c r="D109" s="23">
        <f>lc_detailed!AD110</f>
        <v/>
      </c>
      <c r="E109" s="23">
        <f>lc_detailed!AE110</f>
        <v/>
      </c>
      <c r="F109" s="23">
        <f>lc_detailed!AF110</f>
        <v/>
      </c>
      <c r="G109" s="23">
        <f>lc_detailed!AG110</f>
        <v/>
      </c>
      <c r="H109" s="23">
        <f>lc_detailed!AH110</f>
        <v/>
      </c>
      <c r="I109" s="23">
        <f>lc_detailed!AI110</f>
        <v/>
      </c>
      <c r="J109" s="23">
        <f>lc_detailed!AK110</f>
        <v/>
      </c>
      <c r="K109" s="23">
        <f>lc_detailed!AL110</f>
        <v/>
      </c>
      <c r="L109" s="23">
        <f>lc_detailed!Y110</f>
        <v/>
      </c>
    </row>
    <row r="110">
      <c r="A110">
        <f>lc_detailed!W111</f>
        <v/>
      </c>
      <c r="B110" s="23">
        <f>lc_detailed!AB111</f>
        <v/>
      </c>
      <c r="C110" s="23">
        <f>lc_detailed!AC111</f>
        <v/>
      </c>
      <c r="D110" s="23">
        <f>lc_detailed!AD111</f>
        <v/>
      </c>
      <c r="E110" s="23">
        <f>lc_detailed!AE111</f>
        <v/>
      </c>
      <c r="F110" s="23">
        <f>lc_detailed!AF111</f>
        <v/>
      </c>
      <c r="G110" s="23">
        <f>lc_detailed!AG111</f>
        <v/>
      </c>
      <c r="H110" s="23">
        <f>lc_detailed!AH111</f>
        <v/>
      </c>
      <c r="I110" s="23">
        <f>lc_detailed!AI111</f>
        <v/>
      </c>
      <c r="J110" s="23">
        <f>lc_detailed!AK111</f>
        <v/>
      </c>
      <c r="K110" s="23">
        <f>lc_detailed!AL111</f>
        <v/>
      </c>
      <c r="L110" s="23">
        <f>lc_detailed!Y111</f>
        <v/>
      </c>
    </row>
    <row r="111">
      <c r="A111">
        <f>lc_detailed!W112</f>
        <v/>
      </c>
      <c r="B111" s="23">
        <f>lc_detailed!AB112</f>
        <v/>
      </c>
      <c r="C111" s="23">
        <f>lc_detailed!AC112</f>
        <v/>
      </c>
      <c r="D111" s="23">
        <f>lc_detailed!AD112</f>
        <v/>
      </c>
      <c r="E111" s="23">
        <f>lc_detailed!AE112</f>
        <v/>
      </c>
      <c r="F111" s="23">
        <f>lc_detailed!AF112</f>
        <v/>
      </c>
      <c r="G111" s="23">
        <f>lc_detailed!AG112</f>
        <v/>
      </c>
      <c r="H111" s="23">
        <f>lc_detailed!AH112</f>
        <v/>
      </c>
      <c r="I111" s="23">
        <f>lc_detailed!AI112</f>
        <v/>
      </c>
      <c r="J111" s="23">
        <f>lc_detailed!AK112</f>
        <v/>
      </c>
      <c r="K111" s="23">
        <f>lc_detailed!AL112</f>
        <v/>
      </c>
      <c r="L111" s="23">
        <f>lc_detailed!Y112</f>
        <v/>
      </c>
    </row>
    <row r="112">
      <c r="A112">
        <f>lc_detailed!W113</f>
        <v/>
      </c>
      <c r="B112" s="23">
        <f>lc_detailed!AB113</f>
        <v/>
      </c>
      <c r="C112" s="23">
        <f>lc_detailed!AC113</f>
        <v/>
      </c>
      <c r="D112" s="23">
        <f>lc_detailed!AD113</f>
        <v/>
      </c>
      <c r="E112" s="23">
        <f>lc_detailed!AE113</f>
        <v/>
      </c>
      <c r="F112" s="23">
        <f>lc_detailed!AF113</f>
        <v/>
      </c>
      <c r="G112" s="23">
        <f>lc_detailed!AG113</f>
        <v/>
      </c>
      <c r="H112" s="23">
        <f>lc_detailed!AH113</f>
        <v/>
      </c>
      <c r="I112" s="23">
        <f>lc_detailed!AI113</f>
        <v/>
      </c>
      <c r="J112" s="23">
        <f>lc_detailed!AK113</f>
        <v/>
      </c>
      <c r="K112" s="23">
        <f>lc_detailed!AL113</f>
        <v/>
      </c>
      <c r="L112" s="23">
        <f>lc_detailed!Y113</f>
        <v/>
      </c>
    </row>
    <row r="113">
      <c r="A113">
        <f>lc_detailed!W114</f>
        <v/>
      </c>
      <c r="B113" s="23">
        <f>lc_detailed!AB114</f>
        <v/>
      </c>
      <c r="C113" s="23">
        <f>lc_detailed!AC114</f>
        <v/>
      </c>
      <c r="D113" s="23">
        <f>lc_detailed!AD114</f>
        <v/>
      </c>
      <c r="E113" s="23">
        <f>lc_detailed!AE114</f>
        <v/>
      </c>
      <c r="F113" s="23">
        <f>lc_detailed!AF114</f>
        <v/>
      </c>
      <c r="G113" s="23">
        <f>lc_detailed!AG114</f>
        <v/>
      </c>
      <c r="H113" s="23">
        <f>lc_detailed!AH114</f>
        <v/>
      </c>
      <c r="I113" s="23">
        <f>lc_detailed!AI114</f>
        <v/>
      </c>
      <c r="J113" s="23">
        <f>lc_detailed!AK114</f>
        <v/>
      </c>
      <c r="K113" s="23">
        <f>lc_detailed!AL114</f>
        <v/>
      </c>
      <c r="L113" s="23">
        <f>lc_detailed!Y114</f>
        <v/>
      </c>
    </row>
    <row r="114">
      <c r="A114">
        <f>lc_detailed!W115</f>
        <v/>
      </c>
      <c r="B114" s="23">
        <f>lc_detailed!AB115</f>
        <v/>
      </c>
      <c r="C114" s="23">
        <f>lc_detailed!AC115</f>
        <v/>
      </c>
      <c r="D114" s="23">
        <f>lc_detailed!AD115</f>
        <v/>
      </c>
      <c r="E114" s="23">
        <f>lc_detailed!AE115</f>
        <v/>
      </c>
      <c r="F114" s="23">
        <f>lc_detailed!AF115</f>
        <v/>
      </c>
      <c r="G114" s="23">
        <f>lc_detailed!AG115</f>
        <v/>
      </c>
      <c r="H114" s="23">
        <f>lc_detailed!AH115</f>
        <v/>
      </c>
      <c r="I114" s="23">
        <f>lc_detailed!AI115</f>
        <v/>
      </c>
      <c r="J114" s="23">
        <f>lc_detailed!AK115</f>
        <v/>
      </c>
      <c r="K114" s="23">
        <f>lc_detailed!AL115</f>
        <v/>
      </c>
      <c r="L114" s="23">
        <f>lc_detailed!Y115</f>
        <v/>
      </c>
    </row>
    <row r="115">
      <c r="A115">
        <f>lc_detailed!W116</f>
        <v/>
      </c>
      <c r="B115" s="23">
        <f>lc_detailed!AB116</f>
        <v/>
      </c>
      <c r="C115" s="23">
        <f>lc_detailed!AC116</f>
        <v/>
      </c>
      <c r="D115" s="23">
        <f>lc_detailed!AD116</f>
        <v/>
      </c>
      <c r="E115" s="23">
        <f>lc_detailed!AE116</f>
        <v/>
      </c>
      <c r="F115" s="23">
        <f>lc_detailed!AF116</f>
        <v/>
      </c>
      <c r="G115" s="23">
        <f>lc_detailed!AG116</f>
        <v/>
      </c>
      <c r="H115" s="23">
        <f>lc_detailed!AH116</f>
        <v/>
      </c>
      <c r="I115" s="23">
        <f>lc_detailed!AI116</f>
        <v/>
      </c>
      <c r="J115" s="23">
        <f>lc_detailed!AK116</f>
        <v/>
      </c>
      <c r="K115" s="23">
        <f>lc_detailed!AL116</f>
        <v/>
      </c>
      <c r="L115" s="23">
        <f>lc_detailed!Y116</f>
        <v/>
      </c>
    </row>
    <row r="116">
      <c r="A116">
        <f>lc_detailed!W117</f>
        <v/>
      </c>
      <c r="B116" s="23">
        <f>lc_detailed!AB117</f>
        <v/>
      </c>
      <c r="C116" s="23">
        <f>lc_detailed!AC117</f>
        <v/>
      </c>
      <c r="D116" s="23">
        <f>lc_detailed!AD117</f>
        <v/>
      </c>
      <c r="E116" s="23">
        <f>lc_detailed!AE117</f>
        <v/>
      </c>
      <c r="F116" s="23">
        <f>lc_detailed!AF117</f>
        <v/>
      </c>
      <c r="G116" s="23">
        <f>lc_detailed!AG117</f>
        <v/>
      </c>
      <c r="H116" s="23">
        <f>lc_detailed!AH117</f>
        <v/>
      </c>
      <c r="I116" s="23">
        <f>lc_detailed!AI117</f>
        <v/>
      </c>
      <c r="J116" s="23">
        <f>lc_detailed!AK117</f>
        <v/>
      </c>
      <c r="K116" s="23">
        <f>lc_detailed!AL117</f>
        <v/>
      </c>
      <c r="L116" s="23">
        <f>lc_detailed!Y117</f>
        <v/>
      </c>
    </row>
    <row r="117">
      <c r="A117">
        <f>lc_detailed!W118</f>
        <v/>
      </c>
      <c r="B117" s="23">
        <f>lc_detailed!AB118</f>
        <v/>
      </c>
      <c r="C117" s="23">
        <f>lc_detailed!AC118</f>
        <v/>
      </c>
      <c r="D117" s="23">
        <f>lc_detailed!AD118</f>
        <v/>
      </c>
      <c r="E117" s="23">
        <f>lc_detailed!AE118</f>
        <v/>
      </c>
      <c r="F117" s="23">
        <f>lc_detailed!AF118</f>
        <v/>
      </c>
      <c r="G117" s="23">
        <f>lc_detailed!AG118</f>
        <v/>
      </c>
      <c r="H117" s="23">
        <f>lc_detailed!AH118</f>
        <v/>
      </c>
      <c r="I117" s="23">
        <f>lc_detailed!AI118</f>
        <v/>
      </c>
      <c r="J117" s="23">
        <f>lc_detailed!AK118</f>
        <v/>
      </c>
      <c r="K117" s="23">
        <f>lc_detailed!AL118</f>
        <v/>
      </c>
      <c r="L117" s="23">
        <f>lc_detailed!Y118</f>
        <v/>
      </c>
    </row>
    <row r="118">
      <c r="A118">
        <f>lc_detailed!W119</f>
        <v/>
      </c>
      <c r="B118" s="23">
        <f>lc_detailed!AB119</f>
        <v/>
      </c>
      <c r="C118" s="23">
        <f>lc_detailed!AC119</f>
        <v/>
      </c>
      <c r="D118" s="23">
        <f>lc_detailed!AD119</f>
        <v/>
      </c>
      <c r="E118" s="23">
        <f>lc_detailed!AE119</f>
        <v/>
      </c>
      <c r="F118" s="23">
        <f>lc_detailed!AF119</f>
        <v/>
      </c>
      <c r="G118" s="23">
        <f>lc_detailed!AG119</f>
        <v/>
      </c>
      <c r="H118" s="23">
        <f>lc_detailed!AH119</f>
        <v/>
      </c>
      <c r="I118" s="23">
        <f>lc_detailed!AI119</f>
        <v/>
      </c>
      <c r="J118" s="23">
        <f>lc_detailed!AK119</f>
        <v/>
      </c>
      <c r="K118" s="23">
        <f>lc_detailed!AL119</f>
        <v/>
      </c>
      <c r="L118" s="23">
        <f>lc_detailed!Y119</f>
        <v/>
      </c>
    </row>
    <row r="119">
      <c r="A119">
        <f>lc_detailed!W120</f>
        <v/>
      </c>
      <c r="B119" s="23">
        <f>lc_detailed!AB120</f>
        <v/>
      </c>
      <c r="C119" s="23">
        <f>lc_detailed!AC120</f>
        <v/>
      </c>
      <c r="D119" s="23">
        <f>lc_detailed!AD120</f>
        <v/>
      </c>
      <c r="E119" s="23">
        <f>lc_detailed!AE120</f>
        <v/>
      </c>
      <c r="F119" s="23">
        <f>lc_detailed!AF120</f>
        <v/>
      </c>
      <c r="G119" s="23">
        <f>lc_detailed!AG120</f>
        <v/>
      </c>
      <c r="H119" s="23">
        <f>lc_detailed!AH120</f>
        <v/>
      </c>
      <c r="I119" s="23">
        <f>lc_detailed!AI120</f>
        <v/>
      </c>
      <c r="J119" s="23">
        <f>lc_detailed!AK120</f>
        <v/>
      </c>
      <c r="K119" s="23">
        <f>lc_detailed!AL120</f>
        <v/>
      </c>
      <c r="L119" s="23">
        <f>lc_detailed!Y120</f>
        <v/>
      </c>
    </row>
    <row r="120">
      <c r="A120">
        <f>lc_detailed!W121</f>
        <v/>
      </c>
      <c r="B120" s="23">
        <f>lc_detailed!AB121</f>
        <v/>
      </c>
      <c r="C120" s="23">
        <f>lc_detailed!AC121</f>
        <v/>
      </c>
      <c r="D120" s="23">
        <f>lc_detailed!AD121</f>
        <v/>
      </c>
      <c r="E120" s="23">
        <f>lc_detailed!AE121</f>
        <v/>
      </c>
      <c r="F120" s="23">
        <f>lc_detailed!AF121</f>
        <v/>
      </c>
      <c r="G120" s="23">
        <f>lc_detailed!AG121</f>
        <v/>
      </c>
      <c r="H120" s="23">
        <f>lc_detailed!AH121</f>
        <v/>
      </c>
      <c r="I120" s="23">
        <f>lc_detailed!AI121</f>
        <v/>
      </c>
      <c r="J120" s="23">
        <f>lc_detailed!AK121</f>
        <v/>
      </c>
      <c r="K120" s="23">
        <f>lc_detailed!AL121</f>
        <v/>
      </c>
      <c r="L120" s="23">
        <f>lc_detailed!Y121</f>
        <v/>
      </c>
    </row>
    <row r="121">
      <c r="A121">
        <f>lc_detailed!W122</f>
        <v/>
      </c>
      <c r="B121" s="23">
        <f>lc_detailed!AB122</f>
        <v/>
      </c>
      <c r="C121" s="23">
        <f>lc_detailed!AC122</f>
        <v/>
      </c>
      <c r="D121" s="23">
        <f>lc_detailed!AD122</f>
        <v/>
      </c>
      <c r="E121" s="23">
        <f>lc_detailed!AE122</f>
        <v/>
      </c>
      <c r="F121" s="23">
        <f>lc_detailed!AF122</f>
        <v/>
      </c>
      <c r="G121" s="23">
        <f>lc_detailed!AG122</f>
        <v/>
      </c>
      <c r="H121" s="23">
        <f>lc_detailed!AH122</f>
        <v/>
      </c>
      <c r="I121" s="23">
        <f>lc_detailed!AI122</f>
        <v/>
      </c>
      <c r="J121" s="23">
        <f>lc_detailed!AK122</f>
        <v/>
      </c>
      <c r="K121" s="23">
        <f>lc_detailed!AL122</f>
        <v/>
      </c>
      <c r="L121" s="23">
        <f>lc_detailed!Y122</f>
        <v/>
      </c>
    </row>
    <row r="122">
      <c r="A122">
        <f>lc_detailed!W123</f>
        <v/>
      </c>
      <c r="B122" s="23">
        <f>lc_detailed!AB123</f>
        <v/>
      </c>
      <c r="C122" s="23">
        <f>lc_detailed!AC123</f>
        <v/>
      </c>
      <c r="D122" s="23">
        <f>lc_detailed!AD123</f>
        <v/>
      </c>
      <c r="E122" s="23">
        <f>lc_detailed!AE123</f>
        <v/>
      </c>
      <c r="F122" s="23">
        <f>lc_detailed!AF123</f>
        <v/>
      </c>
      <c r="G122" s="23">
        <f>lc_detailed!AG123</f>
        <v/>
      </c>
      <c r="H122" s="23">
        <f>lc_detailed!AH123</f>
        <v/>
      </c>
      <c r="I122" s="23">
        <f>lc_detailed!AI123</f>
        <v/>
      </c>
      <c r="J122" s="23">
        <f>lc_detailed!AK123</f>
        <v/>
      </c>
      <c r="K122" s="23">
        <f>lc_detailed!AL123</f>
        <v/>
      </c>
      <c r="L122" s="23">
        <f>lc_detailed!Y123</f>
        <v/>
      </c>
    </row>
    <row r="123">
      <c r="A123">
        <f>lc_detailed!W124</f>
        <v/>
      </c>
      <c r="B123" s="23">
        <f>lc_detailed!AB124</f>
        <v/>
      </c>
      <c r="C123" s="23">
        <f>lc_detailed!AC124</f>
        <v/>
      </c>
      <c r="D123" s="23">
        <f>lc_detailed!AD124</f>
        <v/>
      </c>
      <c r="E123" s="23">
        <f>lc_detailed!AE124</f>
        <v/>
      </c>
      <c r="F123" s="23">
        <f>lc_detailed!AF124</f>
        <v/>
      </c>
      <c r="G123" s="23">
        <f>lc_detailed!AG124</f>
        <v/>
      </c>
      <c r="H123" s="23">
        <f>lc_detailed!AH124</f>
        <v/>
      </c>
      <c r="I123" s="23">
        <f>lc_detailed!AI124</f>
        <v/>
      </c>
      <c r="J123" s="23">
        <f>lc_detailed!AK124</f>
        <v/>
      </c>
      <c r="K123" s="23">
        <f>lc_detailed!AL124</f>
        <v/>
      </c>
      <c r="L123" s="23">
        <f>lc_detailed!Y124</f>
        <v/>
      </c>
    </row>
    <row r="124">
      <c r="A124">
        <f>lc_detailed!W125</f>
        <v/>
      </c>
      <c r="B124" s="23">
        <f>lc_detailed!AB125</f>
        <v/>
      </c>
      <c r="C124" s="23">
        <f>lc_detailed!AC125</f>
        <v/>
      </c>
      <c r="D124" s="23">
        <f>lc_detailed!AD125</f>
        <v/>
      </c>
      <c r="E124" s="23">
        <f>lc_detailed!AE125</f>
        <v/>
      </c>
      <c r="F124" s="23">
        <f>lc_detailed!AF125</f>
        <v/>
      </c>
      <c r="G124" s="23">
        <f>lc_detailed!AG125</f>
        <v/>
      </c>
      <c r="H124" s="23">
        <f>lc_detailed!AH125</f>
        <v/>
      </c>
      <c r="I124" s="23">
        <f>lc_detailed!AI125</f>
        <v/>
      </c>
      <c r="J124" s="23">
        <f>lc_detailed!AK125</f>
        <v/>
      </c>
      <c r="K124" s="23">
        <f>lc_detailed!AL125</f>
        <v/>
      </c>
      <c r="L124" s="23">
        <f>lc_detailed!Y125</f>
        <v/>
      </c>
    </row>
    <row r="125">
      <c r="A125">
        <f>lc_detailed!W126</f>
        <v/>
      </c>
      <c r="B125" s="23">
        <f>lc_detailed!AB126</f>
        <v/>
      </c>
      <c r="C125" s="23">
        <f>lc_detailed!AC126</f>
        <v/>
      </c>
      <c r="D125" s="23">
        <f>lc_detailed!AD126</f>
        <v/>
      </c>
      <c r="E125" s="23">
        <f>lc_detailed!AE126</f>
        <v/>
      </c>
      <c r="F125" s="23">
        <f>lc_detailed!AF126</f>
        <v/>
      </c>
      <c r="G125" s="23">
        <f>lc_detailed!AG126</f>
        <v/>
      </c>
      <c r="H125" s="23">
        <f>lc_detailed!AH126</f>
        <v/>
      </c>
      <c r="I125" s="23">
        <f>lc_detailed!AI126</f>
        <v/>
      </c>
      <c r="J125" s="23">
        <f>lc_detailed!AK126</f>
        <v/>
      </c>
      <c r="K125" s="23">
        <f>lc_detailed!AL126</f>
        <v/>
      </c>
      <c r="L125" s="23">
        <f>lc_detailed!Y126</f>
        <v/>
      </c>
    </row>
    <row r="126">
      <c r="A126">
        <f>lc_detailed!W127</f>
        <v/>
      </c>
      <c r="B126" s="23">
        <f>lc_detailed!AB127</f>
        <v/>
      </c>
      <c r="C126" s="23">
        <f>lc_detailed!AC127</f>
        <v/>
      </c>
      <c r="D126" s="23">
        <f>lc_detailed!AD127</f>
        <v/>
      </c>
      <c r="E126" s="23">
        <f>lc_detailed!AE127</f>
        <v/>
      </c>
      <c r="F126" s="23">
        <f>lc_detailed!AF127</f>
        <v/>
      </c>
      <c r="G126" s="23">
        <f>lc_detailed!AG127</f>
        <v/>
      </c>
      <c r="H126" s="23">
        <f>lc_detailed!AH127</f>
        <v/>
      </c>
      <c r="I126" s="23">
        <f>lc_detailed!AI127</f>
        <v/>
      </c>
      <c r="J126" s="23">
        <f>lc_detailed!AK127</f>
        <v/>
      </c>
      <c r="K126" s="23">
        <f>lc_detailed!AL127</f>
        <v/>
      </c>
      <c r="L126" s="23">
        <f>lc_detailed!Y127</f>
        <v/>
      </c>
    </row>
    <row r="127">
      <c r="A127">
        <f>lc_detailed!W128</f>
        <v/>
      </c>
      <c r="B127" s="23">
        <f>lc_detailed!AB128</f>
        <v/>
      </c>
      <c r="C127" s="23">
        <f>lc_detailed!AC128</f>
        <v/>
      </c>
      <c r="D127" s="23">
        <f>lc_detailed!AD128</f>
        <v/>
      </c>
      <c r="E127" s="23">
        <f>lc_detailed!AE128</f>
        <v/>
      </c>
      <c r="F127" s="23">
        <f>lc_detailed!AF128</f>
        <v/>
      </c>
      <c r="G127" s="23">
        <f>lc_detailed!AG128</f>
        <v/>
      </c>
      <c r="H127" s="23">
        <f>lc_detailed!AH128</f>
        <v/>
      </c>
      <c r="I127" s="23">
        <f>lc_detailed!AI128</f>
        <v/>
      </c>
      <c r="J127" s="23">
        <f>lc_detailed!AK128</f>
        <v/>
      </c>
      <c r="K127" s="23">
        <f>lc_detailed!AL128</f>
        <v/>
      </c>
      <c r="L127" s="23">
        <f>lc_detailed!Y128</f>
        <v/>
      </c>
    </row>
    <row r="128">
      <c r="A128">
        <f>lc_detailed!W129</f>
        <v/>
      </c>
      <c r="B128" s="23">
        <f>lc_detailed!AB129</f>
        <v/>
      </c>
      <c r="C128" s="23">
        <f>lc_detailed!AC129</f>
        <v/>
      </c>
      <c r="D128" s="23">
        <f>lc_detailed!AD129</f>
        <v/>
      </c>
      <c r="E128" s="23">
        <f>lc_detailed!AE129</f>
        <v/>
      </c>
      <c r="F128" s="23">
        <f>lc_detailed!AF129</f>
        <v/>
      </c>
      <c r="G128" s="23">
        <f>lc_detailed!AG129</f>
        <v/>
      </c>
      <c r="H128" s="23">
        <f>lc_detailed!AH129</f>
        <v/>
      </c>
      <c r="I128" s="23">
        <f>lc_detailed!AI129</f>
        <v/>
      </c>
      <c r="J128" s="23">
        <f>lc_detailed!AK129</f>
        <v/>
      </c>
      <c r="K128" s="23">
        <f>lc_detailed!AL129</f>
        <v/>
      </c>
      <c r="L128" s="23">
        <f>lc_detailed!Y129</f>
        <v/>
      </c>
    </row>
    <row r="129">
      <c r="A129">
        <f>lc_detailed!W130</f>
        <v/>
      </c>
      <c r="B129" s="23">
        <f>lc_detailed!AB130</f>
        <v/>
      </c>
      <c r="C129" s="23">
        <f>lc_detailed!AC130</f>
        <v/>
      </c>
      <c r="D129" s="23">
        <f>lc_detailed!AD130</f>
        <v/>
      </c>
      <c r="E129" s="23">
        <f>lc_detailed!AE130</f>
        <v/>
      </c>
      <c r="F129" s="23">
        <f>lc_detailed!AF130</f>
        <v/>
      </c>
      <c r="G129" s="23">
        <f>lc_detailed!AG130</f>
        <v/>
      </c>
      <c r="H129" s="23">
        <f>lc_detailed!AH130</f>
        <v/>
      </c>
      <c r="I129" s="23">
        <f>lc_detailed!AI130</f>
        <v/>
      </c>
      <c r="J129" s="23">
        <f>lc_detailed!AK130</f>
        <v/>
      </c>
      <c r="K129" s="23">
        <f>lc_detailed!AL130</f>
        <v/>
      </c>
      <c r="L129" s="23">
        <f>lc_detailed!Y130</f>
        <v/>
      </c>
    </row>
    <row r="130">
      <c r="A130">
        <f>lc_detailed!W131</f>
        <v/>
      </c>
      <c r="B130" s="23">
        <f>lc_detailed!AB131</f>
        <v/>
      </c>
      <c r="C130" s="23">
        <f>lc_detailed!AC131</f>
        <v/>
      </c>
      <c r="D130" s="23">
        <f>lc_detailed!AD131</f>
        <v/>
      </c>
      <c r="E130" s="23">
        <f>lc_detailed!AE131</f>
        <v/>
      </c>
      <c r="F130" s="23">
        <f>lc_detailed!AF131</f>
        <v/>
      </c>
      <c r="G130" s="23">
        <f>lc_detailed!AG131</f>
        <v/>
      </c>
      <c r="H130" s="23">
        <f>lc_detailed!AH131</f>
        <v/>
      </c>
      <c r="I130" s="23">
        <f>lc_detailed!AI131</f>
        <v/>
      </c>
      <c r="J130" s="23">
        <f>lc_detailed!AK131</f>
        <v/>
      </c>
      <c r="K130" s="23">
        <f>lc_detailed!AL131</f>
        <v/>
      </c>
      <c r="L130" s="23">
        <f>lc_detailed!Y131</f>
        <v/>
      </c>
    </row>
    <row r="131">
      <c r="A131">
        <f>lc_detailed!W132</f>
        <v/>
      </c>
      <c r="B131" s="23">
        <f>lc_detailed!AB132</f>
        <v/>
      </c>
      <c r="C131" s="23">
        <f>lc_detailed!AC132</f>
        <v/>
      </c>
      <c r="D131" s="23">
        <f>lc_detailed!AD132</f>
        <v/>
      </c>
      <c r="E131" s="23">
        <f>lc_detailed!AE132</f>
        <v/>
      </c>
      <c r="F131" s="23">
        <f>lc_detailed!AF132</f>
        <v/>
      </c>
      <c r="G131" s="23">
        <f>lc_detailed!AG132</f>
        <v/>
      </c>
      <c r="H131" s="23">
        <f>lc_detailed!AH132</f>
        <v/>
      </c>
      <c r="I131" s="23">
        <f>lc_detailed!AI132</f>
        <v/>
      </c>
      <c r="J131" s="23">
        <f>lc_detailed!AK132</f>
        <v/>
      </c>
      <c r="K131" s="23">
        <f>lc_detailed!AL132</f>
        <v/>
      </c>
      <c r="L131" s="23">
        <f>lc_detailed!Y132</f>
        <v/>
      </c>
    </row>
    <row r="132">
      <c r="A132">
        <f>lc_detailed!W133</f>
        <v/>
      </c>
      <c r="B132" s="23">
        <f>lc_detailed!AB133</f>
        <v/>
      </c>
      <c r="C132" s="23">
        <f>lc_detailed!AC133</f>
        <v/>
      </c>
      <c r="D132" s="23">
        <f>lc_detailed!AD133</f>
        <v/>
      </c>
      <c r="E132" s="23">
        <f>lc_detailed!AE133</f>
        <v/>
      </c>
      <c r="F132" s="23">
        <f>lc_detailed!AF133</f>
        <v/>
      </c>
      <c r="G132" s="23">
        <f>lc_detailed!AG133</f>
        <v/>
      </c>
      <c r="H132" s="23">
        <f>lc_detailed!AH133</f>
        <v/>
      </c>
      <c r="I132" s="23">
        <f>lc_detailed!AI133</f>
        <v/>
      </c>
      <c r="J132" s="23">
        <f>lc_detailed!AK133</f>
        <v/>
      </c>
      <c r="K132" s="23">
        <f>lc_detailed!AL133</f>
        <v/>
      </c>
      <c r="L132" s="23">
        <f>lc_detailed!Y133</f>
        <v/>
      </c>
    </row>
    <row r="133">
      <c r="A133">
        <f>lc_detailed!W134</f>
        <v/>
      </c>
      <c r="B133" s="23">
        <f>lc_detailed!AB134</f>
        <v/>
      </c>
      <c r="C133" s="23">
        <f>lc_detailed!AC134</f>
        <v/>
      </c>
      <c r="D133" s="23">
        <f>lc_detailed!AD134</f>
        <v/>
      </c>
      <c r="E133" s="23">
        <f>lc_detailed!AE134</f>
        <v/>
      </c>
      <c r="F133" s="23">
        <f>lc_detailed!AF134</f>
        <v/>
      </c>
      <c r="G133" s="23">
        <f>lc_detailed!AG134</f>
        <v/>
      </c>
      <c r="H133" s="23">
        <f>lc_detailed!AH134</f>
        <v/>
      </c>
      <c r="I133" s="23">
        <f>lc_detailed!AI134</f>
        <v/>
      </c>
      <c r="J133" s="23">
        <f>lc_detailed!AK134</f>
        <v/>
      </c>
      <c r="K133" s="23">
        <f>lc_detailed!AL134</f>
        <v/>
      </c>
      <c r="L133" s="23">
        <f>lc_detailed!Y134</f>
        <v/>
      </c>
    </row>
    <row r="134">
      <c r="A134">
        <f>lc_detailed!W135</f>
        <v/>
      </c>
      <c r="B134" s="23">
        <f>lc_detailed!AB135</f>
        <v/>
      </c>
      <c r="C134" s="23">
        <f>lc_detailed!AC135</f>
        <v/>
      </c>
      <c r="D134" s="23">
        <f>lc_detailed!AD135</f>
        <v/>
      </c>
      <c r="E134" s="23">
        <f>lc_detailed!AE135</f>
        <v/>
      </c>
      <c r="F134" s="23">
        <f>lc_detailed!AF135</f>
        <v/>
      </c>
      <c r="G134" s="23">
        <f>lc_detailed!AG135</f>
        <v/>
      </c>
      <c r="H134" s="23">
        <f>lc_detailed!AH135</f>
        <v/>
      </c>
      <c r="I134" s="23">
        <f>lc_detailed!AI135</f>
        <v/>
      </c>
      <c r="J134" s="23">
        <f>lc_detailed!AK135</f>
        <v/>
      </c>
      <c r="K134" s="23">
        <f>lc_detailed!AL135</f>
        <v/>
      </c>
      <c r="L134" s="23">
        <f>lc_detailed!Y135</f>
        <v/>
      </c>
    </row>
    <row r="135">
      <c r="A135">
        <f>lc_detailed!W136</f>
        <v/>
      </c>
      <c r="B135" s="23">
        <f>lc_detailed!AB136</f>
        <v/>
      </c>
      <c r="C135" s="23">
        <f>lc_detailed!AC136</f>
        <v/>
      </c>
      <c r="D135" s="23">
        <f>lc_detailed!AD136</f>
        <v/>
      </c>
      <c r="E135" s="23">
        <f>lc_detailed!AE136</f>
        <v/>
      </c>
      <c r="F135" s="23">
        <f>lc_detailed!AF136</f>
        <v/>
      </c>
      <c r="G135" s="23">
        <f>lc_detailed!AG136</f>
        <v/>
      </c>
      <c r="H135" s="23">
        <f>lc_detailed!AH136</f>
        <v/>
      </c>
      <c r="I135" s="23">
        <f>lc_detailed!AI136</f>
        <v/>
      </c>
      <c r="J135" s="23">
        <f>lc_detailed!AK136</f>
        <v/>
      </c>
      <c r="K135" s="23">
        <f>lc_detailed!AL136</f>
        <v/>
      </c>
      <c r="L135" s="23">
        <f>lc_detailed!Y136</f>
        <v/>
      </c>
    </row>
    <row r="136">
      <c r="A136">
        <f>lc_detailed!W137</f>
        <v/>
      </c>
      <c r="B136" s="23">
        <f>lc_detailed!AB137</f>
        <v/>
      </c>
      <c r="C136" s="23">
        <f>lc_detailed!AC137</f>
        <v/>
      </c>
      <c r="D136" s="23">
        <f>lc_detailed!AD137</f>
        <v/>
      </c>
      <c r="E136" s="23">
        <f>lc_detailed!AE137</f>
        <v/>
      </c>
      <c r="F136" s="23">
        <f>lc_detailed!AF137</f>
        <v/>
      </c>
      <c r="G136" s="23">
        <f>lc_detailed!AG137</f>
        <v/>
      </c>
      <c r="H136" s="23">
        <f>lc_detailed!AH137</f>
        <v/>
      </c>
      <c r="I136" s="23">
        <f>lc_detailed!AI137</f>
        <v/>
      </c>
      <c r="J136" s="23">
        <f>lc_detailed!AK137</f>
        <v/>
      </c>
      <c r="K136" s="23">
        <f>lc_detailed!AL137</f>
        <v/>
      </c>
      <c r="L136" s="23">
        <f>lc_detailed!Y137</f>
        <v/>
      </c>
    </row>
    <row r="137">
      <c r="A137">
        <f>lc_detailed!W138</f>
        <v/>
      </c>
      <c r="B137" s="23">
        <f>lc_detailed!AB138</f>
        <v/>
      </c>
      <c r="C137" s="23">
        <f>lc_detailed!AC138</f>
        <v/>
      </c>
      <c r="D137" s="23">
        <f>lc_detailed!AD138</f>
        <v/>
      </c>
      <c r="E137" s="23">
        <f>lc_detailed!AE138</f>
        <v/>
      </c>
      <c r="F137" s="23">
        <f>lc_detailed!AF138</f>
        <v/>
      </c>
      <c r="G137" s="23">
        <f>lc_detailed!AG138</f>
        <v/>
      </c>
      <c r="H137" s="23">
        <f>lc_detailed!AH138</f>
        <v/>
      </c>
      <c r="I137" s="23">
        <f>lc_detailed!AI138</f>
        <v/>
      </c>
      <c r="J137" s="23">
        <f>lc_detailed!AK138</f>
        <v/>
      </c>
      <c r="K137" s="23">
        <f>lc_detailed!AL138</f>
        <v/>
      </c>
      <c r="L137" s="23">
        <f>lc_detailed!Y138</f>
        <v/>
      </c>
    </row>
    <row r="138">
      <c r="A138">
        <f>lc_detailed!W139</f>
        <v/>
      </c>
      <c r="B138" s="23">
        <f>lc_detailed!AB139</f>
        <v/>
      </c>
      <c r="C138" s="23">
        <f>lc_detailed!AC139</f>
        <v/>
      </c>
      <c r="D138" s="23">
        <f>lc_detailed!AD139</f>
        <v/>
      </c>
      <c r="E138" s="23">
        <f>lc_detailed!AE139</f>
        <v/>
      </c>
      <c r="F138" s="23">
        <f>lc_detailed!AF139</f>
        <v/>
      </c>
      <c r="G138" s="23">
        <f>lc_detailed!AG139</f>
        <v/>
      </c>
      <c r="H138" s="23">
        <f>lc_detailed!AH139</f>
        <v/>
      </c>
      <c r="I138" s="23">
        <f>lc_detailed!AI139</f>
        <v/>
      </c>
      <c r="J138" s="23">
        <f>lc_detailed!AK139</f>
        <v/>
      </c>
      <c r="K138" s="23">
        <f>lc_detailed!AL139</f>
        <v/>
      </c>
      <c r="L138" s="23">
        <f>lc_detailed!Y139</f>
        <v/>
      </c>
    </row>
    <row r="139">
      <c r="A139">
        <f>lc_detailed!W140</f>
        <v/>
      </c>
      <c r="B139" s="23">
        <f>lc_detailed!AB140</f>
        <v/>
      </c>
      <c r="C139" s="23">
        <f>lc_detailed!AC140</f>
        <v/>
      </c>
      <c r="D139" s="23">
        <f>lc_detailed!AD140</f>
        <v/>
      </c>
      <c r="E139" s="23">
        <f>lc_detailed!AE140</f>
        <v/>
      </c>
      <c r="F139" s="23">
        <f>lc_detailed!AF140</f>
        <v/>
      </c>
      <c r="G139" s="23">
        <f>lc_detailed!AG140</f>
        <v/>
      </c>
      <c r="H139" s="23">
        <f>lc_detailed!AH140</f>
        <v/>
      </c>
      <c r="I139" s="23">
        <f>lc_detailed!AI140</f>
        <v/>
      </c>
      <c r="J139" s="23">
        <f>lc_detailed!AK140</f>
        <v/>
      </c>
      <c r="K139" s="23">
        <f>lc_detailed!AL140</f>
        <v/>
      </c>
      <c r="L139" s="23">
        <f>lc_detailed!Y140</f>
        <v/>
      </c>
    </row>
    <row r="140">
      <c r="A140">
        <f>lc_detailed!W141</f>
        <v/>
      </c>
      <c r="B140" s="23">
        <f>lc_detailed!AB141</f>
        <v/>
      </c>
      <c r="C140" s="23">
        <f>lc_detailed!AC141</f>
        <v/>
      </c>
      <c r="D140" s="23">
        <f>lc_detailed!AD141</f>
        <v/>
      </c>
      <c r="E140" s="23">
        <f>lc_detailed!AE141</f>
        <v/>
      </c>
      <c r="F140" s="23">
        <f>lc_detailed!AF141</f>
        <v/>
      </c>
      <c r="G140" s="23">
        <f>lc_detailed!AG141</f>
        <v/>
      </c>
      <c r="H140" s="23">
        <f>lc_detailed!AH141</f>
        <v/>
      </c>
      <c r="I140" s="23">
        <f>lc_detailed!AI141</f>
        <v/>
      </c>
      <c r="J140" s="23">
        <f>lc_detailed!AK141</f>
        <v/>
      </c>
      <c r="K140" s="23">
        <f>lc_detailed!AL141</f>
        <v/>
      </c>
      <c r="L140" s="23">
        <f>lc_detailed!Y141</f>
        <v/>
      </c>
    </row>
    <row r="141">
      <c r="A141">
        <f>lc_detailed!W142</f>
        <v/>
      </c>
      <c r="B141" s="23">
        <f>lc_detailed!AB142</f>
        <v/>
      </c>
      <c r="C141" s="23">
        <f>lc_detailed!AC142</f>
        <v/>
      </c>
      <c r="D141" s="23">
        <f>lc_detailed!AD142</f>
        <v/>
      </c>
      <c r="E141" s="23">
        <f>lc_detailed!AE142</f>
        <v/>
      </c>
      <c r="F141" s="23">
        <f>lc_detailed!AF142</f>
        <v/>
      </c>
      <c r="G141" s="23">
        <f>lc_detailed!AG142</f>
        <v/>
      </c>
      <c r="H141" s="23">
        <f>lc_detailed!AH142</f>
        <v/>
      </c>
      <c r="I141" s="23">
        <f>lc_detailed!AI142</f>
        <v/>
      </c>
      <c r="J141" s="23">
        <f>lc_detailed!AK142</f>
        <v/>
      </c>
      <c r="K141" s="23">
        <f>lc_detailed!AL142</f>
        <v/>
      </c>
      <c r="L141" s="23">
        <f>lc_detailed!Y142</f>
        <v/>
      </c>
    </row>
    <row r="142">
      <c r="A142">
        <f>lc_detailed!W143</f>
        <v/>
      </c>
      <c r="B142" s="23">
        <f>lc_detailed!AB143</f>
        <v/>
      </c>
      <c r="C142" s="23">
        <f>lc_detailed!AC143</f>
        <v/>
      </c>
      <c r="D142" s="23">
        <f>lc_detailed!AD143</f>
        <v/>
      </c>
      <c r="E142" s="23">
        <f>lc_detailed!AE143</f>
        <v/>
      </c>
      <c r="F142" s="23">
        <f>lc_detailed!AF143</f>
        <v/>
      </c>
      <c r="G142" s="23">
        <f>lc_detailed!AG143</f>
        <v/>
      </c>
      <c r="H142" s="23">
        <f>lc_detailed!AH143</f>
        <v/>
      </c>
      <c r="I142" s="23">
        <f>lc_detailed!AI143</f>
        <v/>
      </c>
      <c r="J142" s="23">
        <f>lc_detailed!AK143</f>
        <v/>
      </c>
      <c r="K142" s="23">
        <f>lc_detailed!AL143</f>
        <v/>
      </c>
      <c r="L142" s="23">
        <f>lc_detailed!Y143</f>
        <v/>
      </c>
    </row>
    <row r="143">
      <c r="A143">
        <f>lc_detailed!W144</f>
        <v/>
      </c>
      <c r="B143" s="23">
        <f>lc_detailed!AB144</f>
        <v/>
      </c>
      <c r="C143" s="23">
        <f>lc_detailed!AC144</f>
        <v/>
      </c>
      <c r="D143" s="23">
        <f>lc_detailed!AD144</f>
        <v/>
      </c>
      <c r="E143" s="23">
        <f>lc_detailed!AE144</f>
        <v/>
      </c>
      <c r="F143" s="23">
        <f>lc_detailed!AF144</f>
        <v/>
      </c>
      <c r="G143" s="23">
        <f>lc_detailed!AG144</f>
        <v/>
      </c>
      <c r="H143" s="23">
        <f>lc_detailed!AH144</f>
        <v/>
      </c>
      <c r="I143" s="23">
        <f>lc_detailed!AI144</f>
        <v/>
      </c>
      <c r="J143" s="23">
        <f>lc_detailed!AK144</f>
        <v/>
      </c>
      <c r="K143" s="23">
        <f>lc_detailed!AL144</f>
        <v/>
      </c>
      <c r="L143" s="23">
        <f>lc_detailed!Y144</f>
        <v/>
      </c>
    </row>
    <row r="144">
      <c r="A144">
        <f>lc_detailed!W145</f>
        <v/>
      </c>
      <c r="B144" s="23">
        <f>lc_detailed!AB145</f>
        <v/>
      </c>
      <c r="C144" s="23">
        <f>lc_detailed!AC145</f>
        <v/>
      </c>
      <c r="D144" s="23">
        <f>lc_detailed!AD145</f>
        <v/>
      </c>
      <c r="E144" s="23">
        <f>lc_detailed!AE145</f>
        <v/>
      </c>
      <c r="F144" s="23">
        <f>lc_detailed!AF145</f>
        <v/>
      </c>
      <c r="G144" s="23">
        <f>lc_detailed!AG145</f>
        <v/>
      </c>
      <c r="H144" s="23">
        <f>lc_detailed!AH145</f>
        <v/>
      </c>
      <c r="I144" s="23">
        <f>lc_detailed!AI145</f>
        <v/>
      </c>
      <c r="J144" s="23">
        <f>lc_detailed!AK145</f>
        <v/>
      </c>
      <c r="K144" s="23">
        <f>lc_detailed!AL145</f>
        <v/>
      </c>
      <c r="L144" s="23">
        <f>lc_detailed!Y145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2026-06-29T13:50:39Z</dcterms:modified>
  <cp:lastModifiedBy>Abigail Cheng</cp:lastModifiedBy>
</cp:coreProperties>
</file>